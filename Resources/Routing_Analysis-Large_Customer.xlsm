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esktop/Routing Analysis/"/>
    </mc:Choice>
  </mc:AlternateContent>
  <xr:revisionPtr revIDLastSave="36683" documentId="8_{6DEE5A0C-C31E-4E98-B069-D3B18A9F99CC}" xr6:coauthVersionLast="47" xr6:coauthVersionMax="47" xr10:uidLastSave="{26F6A9F7-73E5-4425-B96F-4DD745DA31A4}"/>
  <bookViews>
    <workbookView xWindow="28680" yWindow="-120" windowWidth="29040" windowHeight="15840" activeTab="2" xr2:uid="{B475FC20-7257-4762-94EB-948689A9063F}"/>
  </bookViews>
  <sheets>
    <sheet name="Count by Zone" sheetId="2" r:id="rId1"/>
    <sheet name="Master" sheetId="1" r:id="rId2"/>
    <sheet name="Statistical Analysis" sheetId="27" r:id="rId3"/>
    <sheet name="Zone Recommendation" sheetId="28" r:id="rId4"/>
  </sheets>
  <externalReferences>
    <externalReference r:id="rId5"/>
  </externalReferences>
  <definedNames>
    <definedName name="_xlnm._FilterDatabase" localSheetId="1" hidden="1">Master!$A$5:$F$720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02" i="1" l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J3" i="28" l="1"/>
  <c r="J4" i="28"/>
  <c r="E1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E4" i="2" l="1"/>
  <c r="E2" i="2"/>
  <c r="E3" i="2"/>
</calcChain>
</file>

<file path=xl/sharedStrings.xml><?xml version="1.0" encoding="utf-8"?>
<sst xmlns="http://schemas.openxmlformats.org/spreadsheetml/2006/main" count="2718" uniqueCount="1755">
  <si>
    <t>Ship To ID</t>
  </si>
  <si>
    <t>Full Address</t>
  </si>
  <si>
    <t>Ship To Trans. Zone</t>
  </si>
  <si>
    <t>Latitude</t>
  </si>
  <si>
    <t>Longitude</t>
  </si>
  <si>
    <t>WILLOW VALLEY MED LKS MNR FLR#</t>
  </si>
  <si>
    <t>300 Willow Valley Lakes Dr Willow Street, PA 17584</t>
  </si>
  <si>
    <t>ARCHETYPE</t>
  </si>
  <si>
    <t>317 N Market St Lancaster, PA 17603</t>
  </si>
  <si>
    <t>AUTOHAUS LANC INC</t>
  </si>
  <si>
    <t>1373 Manheim Pike Lancaster, PA 17601</t>
  </si>
  <si>
    <t>BOYD WILSON PROPERTY#</t>
  </si>
  <si>
    <t>600 Olde Hickory Rd Ste 100 Lancaster, PA 17601</t>
  </si>
  <si>
    <t>CALVARY FELLOWSHIP HOMES APN#</t>
  </si>
  <si>
    <t>502 Elizabeth Dr Lancaster, PA 17601</t>
  </si>
  <si>
    <t>CHAPMAN FORD#</t>
  </si>
  <si>
    <t>1485 Manheim Pike Lancaster, PA 17601</t>
  </si>
  <si>
    <t>CURTS CLEANING V</t>
  </si>
  <si>
    <t>14 Fawn Dr Quarryville, PA 17566</t>
  </si>
  <si>
    <t>DUTCH APPLE DINNER THEATRE#</t>
  </si>
  <si>
    <t>510 CENTERVILLE RD Lancaster, PA 17601</t>
  </si>
  <si>
    <t>DUTCH GOLD HONEY INC#</t>
  </si>
  <si>
    <t>2220 Dutch Gold Dr Lancaster, PA 17601</t>
  </si>
  <si>
    <t>FARM &amp; HOME CENTER#</t>
  </si>
  <si>
    <t>1383 Arcadia Rd Lancaster, PA 17601</t>
  </si>
  <si>
    <t>BBS GROCERY OUTLET#</t>
  </si>
  <si>
    <t>581 Camargo Rd Quarryville, PA 17566</t>
  </si>
  <si>
    <t>HEMPFIELD AREA RECREATION#</t>
  </si>
  <si>
    <t>1251 Stony Battery Road Landisville, PA 17538</t>
  </si>
  <si>
    <t>HUNTER KEYSTONE PETERBILT LP</t>
  </si>
  <si>
    <t>1463 Manheim Pike Lancaster, PA 17601</t>
  </si>
  <si>
    <t>JONES DEALERSHIPS INC</t>
  </si>
  <si>
    <t>1335 Manheim Pike Lancaster, PA 17601</t>
  </si>
  <si>
    <t>AUTO ONE#</t>
  </si>
  <si>
    <t>1282 Manheim Pike Lancaster, PA 17601</t>
  </si>
  <si>
    <t>LANC BIBLE COLLEGE*</t>
  </si>
  <si>
    <t>901 Eden Rd Lancaster, PA 17601</t>
  </si>
  <si>
    <t>LANC BRETHREN IN CHRIST</t>
  </si>
  <si>
    <t>1865 Fruitville Pike Lancaster, PA 17601</t>
  </si>
  <si>
    <t>LANC COUNTY ASSOC OF REALTORS#</t>
  </si>
  <si>
    <t>1930 Harrington Dr Lancaster, PA 17601</t>
  </si>
  <si>
    <t>LANC CTY CAREER TECHNOLOG#</t>
  </si>
  <si>
    <t>1730 Hans Herr Dr Willow Street, PA 17584</t>
  </si>
  <si>
    <t>LANCASTER LEBANON IU 13</t>
  </si>
  <si>
    <t>1020 New Holland Ave Lancaster, PA 17601</t>
  </si>
  <si>
    <t>MANOR CHURCH</t>
  </si>
  <si>
    <t>530 Central Manor Rd Lancaster, PA 17603</t>
  </si>
  <si>
    <t>MARY GAULS QUALITY CLEANING#</t>
  </si>
  <si>
    <t>816 State St Lancaster, PA 17603</t>
  </si>
  <si>
    <t>NORTH STAR MAINTENANCE</t>
  </si>
  <si>
    <t>449 Longmeadow Rd Lancaster, PA 17601</t>
  </si>
  <si>
    <t>OCCUPATIONAL DEVELOPMENT CENTE</t>
  </si>
  <si>
    <t>640 Martha Ave Lancaster, PA 17601</t>
  </si>
  <si>
    <t>EXCENTIA MED#</t>
  </si>
  <si>
    <t>1810 Rohrerstown Rd Lancaster, PA 17601</t>
  </si>
  <si>
    <t>ROHRERSTOWN FIRE COMPANY</t>
  </si>
  <si>
    <t>500 Elizabeth St Lancaster, PA 17603</t>
  </si>
  <si>
    <t>Salem United Church of Christ</t>
  </si>
  <si>
    <t>2312 Marietta Ave Lancaster, PA 17603</t>
  </si>
  <si>
    <t>ST JOHN NEUMANN CHURCH</t>
  </si>
  <si>
    <t>601 E Delp Rd Lancaster, PA 17601</t>
  </si>
  <si>
    <t>ST MARYS CHURCH#</t>
  </si>
  <si>
    <t>119 S Prince St Lancaster, PA 17603</t>
  </si>
  <si>
    <t>St Peters Lutheran Church</t>
  </si>
  <si>
    <t>10 Delp Rd Lancaster, PA 17601</t>
  </si>
  <si>
    <t>THE BUCK CO#</t>
  </si>
  <si>
    <t>897 Lancaster Pike Quarryville, PA 17566</t>
  </si>
  <si>
    <t>THE MENNONITE HOME MED</t>
  </si>
  <si>
    <t>1520 Harrisburg Pike Lancaster, PA 17601</t>
  </si>
  <si>
    <t>THE SALVATION ARMY#</t>
  </si>
  <si>
    <t>131 S Queen St Lancaster, PA 17603</t>
  </si>
  <si>
    <t>TURKEY HILL DAIRY WK#-Plant</t>
  </si>
  <si>
    <t>2601 River Rd Conestoga, PA 17516</t>
  </si>
  <si>
    <t>UNITARIAN UNIVERSALIST#</t>
  </si>
  <si>
    <t>538 W Chestnut St Lancaster, PA 17603</t>
  </si>
  <si>
    <t>BLUE ROCK REGIONAL FIRE DISTRI</t>
  </si>
  <si>
    <t>26 E Charlotte St Millersville, PA 17551</t>
  </si>
  <si>
    <t>RICHTER PRECISION INC</t>
  </si>
  <si>
    <t>1021 Commercial Ave Door B4 East Petersburg, PA 17520</t>
  </si>
  <si>
    <t>SELECT BUILDING SERVICES</t>
  </si>
  <si>
    <t>202 W JAMES ST Lancaster, PA 17603</t>
  </si>
  <si>
    <t>JACKSONS WINDOW SHOPPE INC#</t>
  </si>
  <si>
    <t>633 Lausch Ln Lancaster, PA 17601</t>
  </si>
  <si>
    <t>NEW PROVIDENCE CHURCH OF GOD</t>
  </si>
  <si>
    <t>269 Cinder Rd New Providence, PA 17560</t>
  </si>
  <si>
    <t>LANCASTER REHABILITATION HOSPI</t>
  </si>
  <si>
    <t>675 Good Dr Lancaster, PA 17601</t>
  </si>
  <si>
    <t>PLANET FITNESS - CARERRA#</t>
  </si>
  <si>
    <t>366 Carerra Dr Lancaster, PA 17601</t>
  </si>
  <si>
    <t>Lancaster Cty Solid Waste Man</t>
  </si>
  <si>
    <t>1299 Harrisburg Ave Lancaster, PA 17603</t>
  </si>
  <si>
    <t>Pete Annick</t>
  </si>
  <si>
    <t>1882 Manchester Ln Lancaster, PA 17601</t>
  </si>
  <si>
    <t>QUARRYVILLE PRESBYTERIAN-MED#</t>
  </si>
  <si>
    <t>625 Robert Fulton Hwy Quarryville, PA 17566</t>
  </si>
  <si>
    <t>AMERICAS AUTO AUCTION</t>
  </si>
  <si>
    <t>1040 Commercial Ave East Petersburg, PA 17520</t>
  </si>
  <si>
    <t>LANC COUNTY FOOD HUB#</t>
  </si>
  <si>
    <t>812 N Queen St Lancaster, PA 17603</t>
  </si>
  <si>
    <t>LANCASTER ENTERTAINMENT PARTNE</t>
  </si>
  <si>
    <t>1170 Garfield Ave Lancaster, PA 17601</t>
  </si>
  <si>
    <t>REALITY CHURCH#</t>
  </si>
  <si>
    <t>2301 Harrisburg Pike Lancaster, PA 17601</t>
  </si>
  <si>
    <t>SKH ROHRERSTOWN #31 Garden Cen</t>
  </si>
  <si>
    <t>301 Rohrerstown Rd Lancaster, PA 17603</t>
  </si>
  <si>
    <t>THE WOMEN &amp; BABIES HOSPITAL</t>
  </si>
  <si>
    <t>690 Good Dr Lancaster, PA 17601</t>
  </si>
  <si>
    <t>WILLOW VALLEY MANOR NORTH FLR</t>
  </si>
  <si>
    <t>71 Locust Ln Willow Street, PA 17584</t>
  </si>
  <si>
    <t>WOODCREST VILLA</t>
  </si>
  <si>
    <t>2001 Harrisburg Pike Lancaster, PA 17601</t>
  </si>
  <si>
    <t>SKH #32 BRIAN H. FOODS ROHRERS</t>
  </si>
  <si>
    <t>BRECHT ELEMENTARY SCHOOL</t>
  </si>
  <si>
    <t>1250 Lititz Pike Lancaster, PA 17601</t>
  </si>
  <si>
    <t>SCHAEFFER ELEMENTARY SCHOOL</t>
  </si>
  <si>
    <t>875 Pleasure Rd Lancaster, PA 17601</t>
  </si>
  <si>
    <t>PROVIDENCE ELEM SCHOOL</t>
  </si>
  <si>
    <t>137 Truce Rd New Providence, PA 17560</t>
  </si>
  <si>
    <t>QUARRYVILLE ELEM SCHOOL</t>
  </si>
  <si>
    <t>211 S Hess St Quarryville, PA 17566</t>
  </si>
  <si>
    <t>SOLANCO HIGH SCHOOL</t>
  </si>
  <si>
    <t>585 Solanco Rd Quarryville, PA 17566</t>
  </si>
  <si>
    <t>SMITH MIDDLE SCHOOL</t>
  </si>
  <si>
    <t>645 Kirkwood Pike Quarryville, PA 17566</t>
  </si>
  <si>
    <t>SWIFT MIDDLE SCHOOL</t>
  </si>
  <si>
    <t>1866 Robert Fulton Hwy Quarryville, PA 17566</t>
  </si>
  <si>
    <t>BART COLERAIN ELEM SCHOOL</t>
  </si>
  <si>
    <t>1336 Noble Rd Christiana, PA 17509</t>
  </si>
  <si>
    <t>CLERMONT ELEM SCHOOL</t>
  </si>
  <si>
    <t>1868 Robert Fulton Hwy Quarryville, PA 17566</t>
  </si>
  <si>
    <t>TURKEY HILL - REFRIGERATED WHS</t>
  </si>
  <si>
    <t>MILLERSVILLE - GORDINIER HALL</t>
  </si>
  <si>
    <t>30 S George St Millersville, PA 17551</t>
  </si>
  <si>
    <t>MILLERSVILLE - STUDENT MEMORIA</t>
  </si>
  <si>
    <t>113-251 113 Shenks Ln # 251 Millersville, PA 17551</t>
  </si>
  <si>
    <t>MILLERSVILLE - PUCILLO GYM</t>
  </si>
  <si>
    <t>105 Pucillo Dr Millersville, PA 17551</t>
  </si>
  <si>
    <t>MILLERSVILLE - WEST VILLAGE</t>
  </si>
  <si>
    <t>90 W Residence Hall Circle Millersville, PA 17551</t>
  </si>
  <si>
    <t>MILLERSVILLE - PALMER</t>
  </si>
  <si>
    <t>153 Creek Dr. Millersville, PA 17551</t>
  </si>
  <si>
    <t>MANORVIEW LLC</t>
  </si>
  <si>
    <t>832 Manor St Lancaster, PA 17603</t>
  </si>
  <si>
    <t>MILLERSVILLE - BARD HALL</t>
  </si>
  <si>
    <t>60 Brooks Drive Millersville, PA 17551</t>
  </si>
  <si>
    <t>Millersville Breidenstine Hall</t>
  </si>
  <si>
    <t>46 W Frederick St Millersville, PA 17551</t>
  </si>
  <si>
    <t>Millersville - Roddy / Caputo</t>
  </si>
  <si>
    <t>50 W Frederick St Millersville, PA 17551</t>
  </si>
  <si>
    <t>Millersville -McNairy Library</t>
  </si>
  <si>
    <t>9 North George Street Millersville, PA 17551</t>
  </si>
  <si>
    <t>Millersville - McComsey Hall</t>
  </si>
  <si>
    <t>43 W Frederick St Millersville, PA 17551</t>
  </si>
  <si>
    <t>Millersville Univ - Osburn Hal</t>
  </si>
  <si>
    <t>40 W Frederick St Millersville, PA 17551</t>
  </si>
  <si>
    <t>Millserville - Stayer Hall</t>
  </si>
  <si>
    <t>51 Lyte Rd Millersville, PA 17551</t>
  </si>
  <si>
    <t>LANC GENERAL HOSPITAL HEALTH C</t>
  </si>
  <si>
    <t>2100 Harrisburg Pike Lancaster, PA 17601</t>
  </si>
  <si>
    <t>FRANKLIN &amp; MARSHALL COLLEGE</t>
  </si>
  <si>
    <t>Facilities &amp; Operations LSP DD</t>
  </si>
  <si>
    <t>760 Williamson Way Bldg 20 Lancaster, PA 17603</t>
  </si>
  <si>
    <t>MILLERSVILLE-VPAC Winter Visua</t>
  </si>
  <si>
    <t>60 W Cottage Ave Millersville, PA 17551</t>
  </si>
  <si>
    <t>BCF Group Inc</t>
  </si>
  <si>
    <t>2101 Oregon Pike Ste 300 Lancaster, PA 17601</t>
  </si>
  <si>
    <t>AGGREGATES EQUIPMENT#</t>
  </si>
  <si>
    <t>9 Horseshoe Rd Leola, PA 17540</t>
  </si>
  <si>
    <t>AKRON GRACE EC CHURCH</t>
  </si>
  <si>
    <t>101 N 7th St AKRON, PA 17501</t>
  </si>
  <si>
    <t>ANTIETAM SCHOOL DISTRICT</t>
  </si>
  <si>
    <t>201 N 25TH ST Reading, PA 19606</t>
  </si>
  <si>
    <t>BIRD IN HAND FAMILY INN#</t>
  </si>
  <si>
    <t>2740 OLD PHILADELPHIA PIKE Bird in Hand, PA 17505</t>
  </si>
  <si>
    <t>BLUE MOUNTAIN SCHOOL DISTRICT#</t>
  </si>
  <si>
    <t>685 Red Dale Rd Orwigsburg, PA 17961</t>
  </si>
  <si>
    <t>CC-BOMBERGERS STORE</t>
  </si>
  <si>
    <t>555 Furnace Hills Pike Lititz, PA 17543</t>
  </si>
  <si>
    <t>BOROUGH OF AKRON</t>
  </si>
  <si>
    <t>117 S 7th St AKRON, PA 17501</t>
  </si>
  <si>
    <t>CASSELS SIGN SHOP</t>
  </si>
  <si>
    <t>784 Fruitville Pike Manheim, PA 17545</t>
  </si>
  <si>
    <t>CHAPMAN FORD LLC#</t>
  </si>
  <si>
    <t>3951 Columbia Ave Columbia, PA 17512</t>
  </si>
  <si>
    <t>COLUMBIA BORO SCHOOL DIST</t>
  </si>
  <si>
    <t>200 N 5th St Columbia, PA 17512</t>
  </si>
  <si>
    <t>DAN C WOOLLEY#</t>
  </si>
  <si>
    <t>309 Regent Dr Lititz, PA 17543</t>
  </si>
  <si>
    <t>DART CONTAINER</t>
  </si>
  <si>
    <t>60 E Main St Leola, PA 17540</t>
  </si>
  <si>
    <t>Dayspring Christian Academy</t>
  </si>
  <si>
    <t>120 College Ave Mountville, PA 17554</t>
  </si>
  <si>
    <t>DOVE WESTGATE CHURCH#</t>
  </si>
  <si>
    <t>1755 W Main St Ephrata, PA 17522</t>
  </si>
  <si>
    <t>DUTCHWAY FARM MARKET#</t>
  </si>
  <si>
    <t>2495 Stiegel Pike Schaefferstown, PA 17088</t>
  </si>
  <si>
    <t>East Fairview Church of Brethr</t>
  </si>
  <si>
    <t>1187 Fairview Rd Manheim, PA 17545</t>
  </si>
  <si>
    <t>ELECTRO SPACE FABRICATORS</t>
  </si>
  <si>
    <t>300 W High St Topton, PA 19562</t>
  </si>
  <si>
    <t>ELIZABETHTOWN BRETHREN IN CHRI</t>
  </si>
  <si>
    <t>996 E High St ELIZABETHTOWN, PA 17022</t>
  </si>
  <si>
    <t>Environmental Cleaning Solutio</t>
  </si>
  <si>
    <t>110 Landing Dr Annville, PA 17003</t>
  </si>
  <si>
    <t>EPHRATA AREA REHAB SERV#</t>
  </si>
  <si>
    <t>300 W Chestnut St Ephrata, PA 17522</t>
  </si>
  <si>
    <t>EPHRATA MANOR#</t>
  </si>
  <si>
    <t>99 Bethany Rd Ephrata, PA 17522</t>
  </si>
  <si>
    <t>EPHRATA REC CENTER#</t>
  </si>
  <si>
    <t>130 S Academy Dr Ephrata, PA 17522</t>
  </si>
  <si>
    <t>FAITH EVANG CONG CHURCH</t>
  </si>
  <si>
    <t>2124 Old Philadelphia Pike Lancaster, PA 17602</t>
  </si>
  <si>
    <t>FIRST PRESBYTERIAN CHURCH</t>
  </si>
  <si>
    <t>101 S Decatur St Strasburg, PA 17579</t>
  </si>
  <si>
    <t>FIRST UNITED METHODIST CHURCH#</t>
  </si>
  <si>
    <t>29 E Walnut St Lancaster, PA 17602</t>
  </si>
  <si>
    <t>SUNRISE LOGISTICS#</t>
  </si>
  <si>
    <t>820 N Reading Rd Ephrata, PA 17522</t>
  </si>
  <si>
    <t>GARROD HYDRAULICS#</t>
  </si>
  <si>
    <t>1050 Locust Point Rd York, PA 17406</t>
  </si>
  <si>
    <t>GETTYSBURG COLLEGE</t>
  </si>
  <si>
    <t>300 N Washington St Gettysburg, PA 17325</t>
  </si>
  <si>
    <t>GETTYSBURG SCHOOL DISTRICT***</t>
  </si>
  <si>
    <t>900 Biglerville Rd Gettysburg, PA 17325</t>
  </si>
  <si>
    <t>GLICK FIRE EQUIPMENT CO INC</t>
  </si>
  <si>
    <t>350 Mill Creek Rd Bird in Hand, PA 17505</t>
  </si>
  <si>
    <t>GREENCASTLE ANTRIM SCHOOL DIST</t>
  </si>
  <si>
    <t>500 Leitersburg St Greencastle, PA 17225</t>
  </si>
  <si>
    <t>GREENWOOD SCHOOL DISTRICT</t>
  </si>
  <si>
    <t>405 E Sunbury St Millerstown, PA 17062</t>
  </si>
  <si>
    <t>Culpeper of Leola</t>
  </si>
  <si>
    <t>33 Glenola Dr Leola, PA 17540</t>
  </si>
  <si>
    <t>HOPEWELL CHRISTIAN FELLOWSHIP</t>
  </si>
  <si>
    <t>2286 Hopewell Rd Elverson, PA 19520</t>
  </si>
  <si>
    <t>HVAC DISTRIBUTORS INC#</t>
  </si>
  <si>
    <t>2 Old Market St Mount Joy, PA 17552</t>
  </si>
  <si>
    <t>HY LINE NORTH AMERICAN LLC</t>
  </si>
  <si>
    <t>79 Industrial Rd ELIZABETHTOWN, PA 17022</t>
  </si>
  <si>
    <t>PAVLIKS CARPET CLEANING#</t>
  </si>
  <si>
    <t>863 Aarons Ln Manheim, PA 17545</t>
  </si>
  <si>
    <t>LANC AIRPORT AUTHORITY 2*</t>
  </si>
  <si>
    <t>500 AIRPORT RD Suite G Lititz, PA 17543</t>
  </si>
  <si>
    <t>LANC COUNTYWIDE COMMUNICATIONS</t>
  </si>
  <si>
    <t>28 S Charlotte St Manheim, PA 17545</t>
  </si>
  <si>
    <t>LANC HOUSING AUTHORITY</t>
  </si>
  <si>
    <t>325 Church St Lancaster, PA 17602</t>
  </si>
  <si>
    <t>LANC MORAVIAN CHURCH#</t>
  </si>
  <si>
    <t>227 N Queen St Lancaster, PA 17603</t>
  </si>
  <si>
    <t>LANC PLUMBING &amp; HEATING#</t>
  </si>
  <si>
    <t>1184 Enterprise Rd East Petersburg, PA 17520</t>
  </si>
  <si>
    <t>LANCASTER TOYOTA INC#</t>
  </si>
  <si>
    <t>5270 Main St East Petersburg, PA 17520</t>
  </si>
  <si>
    <t>LANDIS HOMES RETIREMENTMED#</t>
  </si>
  <si>
    <t>1001 E Oregon Rd Lititz, PA 17543</t>
  </si>
  <si>
    <t>LAUREL MALL OFFICE</t>
  </si>
  <si>
    <t>106 Laurel Mall Drive Hazleton, PA 18202</t>
  </si>
  <si>
    <t>LEBANON SCHOOL DISTRICT</t>
  </si>
  <si>
    <t>1000 S 8th St Lebanon, PA 17042</t>
  </si>
  <si>
    <t>LEBANON VALLEY EXPO</t>
  </si>
  <si>
    <t>80 Rocherty Rd Lebanon, PA 17042</t>
  </si>
  <si>
    <t>LITITZ CHURCH OF BRETHREN</t>
  </si>
  <si>
    <t>300 W Orange St Lititz, PA 17543</t>
  </si>
  <si>
    <t>LITITZ MORAVIAN CHURCH</t>
  </si>
  <si>
    <t>8 Church Sq Lititz, PA 17543</t>
  </si>
  <si>
    <t>LITITZ SPRINGS PARK***</t>
  </si>
  <si>
    <t>18 N Broad St Lititz, PA 17543</t>
  </si>
  <si>
    <t>Littlestown Area School Distri</t>
  </si>
  <si>
    <t>162 Newark St Littlestown, PA 17340</t>
  </si>
  <si>
    <t>LONGENECKERS HATCHERY INC</t>
  </si>
  <si>
    <t>1110 S Market St ELIZABETHTOWN, PA 17022</t>
  </si>
  <si>
    <t>MARKEYS BLDG MAINT #</t>
  </si>
  <si>
    <t>211 S Charles St Red Lion, PA 17356</t>
  </si>
  <si>
    <t>MORAVIAN MANOR#</t>
  </si>
  <si>
    <t>300 W Lemon St Lititz, PA 17543</t>
  </si>
  <si>
    <t>MOUNTVILLE CHURCH OF THE BRETH</t>
  </si>
  <si>
    <t>60 Clay St Mountville, PA 17554</t>
  </si>
  <si>
    <t>NEW CONCEPT MFG LLC#</t>
  </si>
  <si>
    <t>320 Busser Rd Emigsville, PA 17318</t>
  </si>
  <si>
    <t>NEW HOLLAND AMBULANCE</t>
  </si>
  <si>
    <t>101 E Franklin St New Holland, PA 17557</t>
  </si>
  <si>
    <t>Mission Church Pennsylvania#</t>
  </si>
  <si>
    <t>651 Lampeter Rd Lancaster, PA 17602</t>
  </si>
  <si>
    <t>NORTHEAST JANITORIAL SUPPLY LL</t>
  </si>
  <si>
    <t>847 N GILMORE ST Allentown, PA 18109</t>
  </si>
  <si>
    <t>MUNICIPAL EMERG SERVICE AUTHOR</t>
  </si>
  <si>
    <t>380 W BAINBRIDGE ST ELIZABETHTOWN, PA 17022</t>
  </si>
  <si>
    <t>OUR MOTHER PERPETUAL SCHOOL</t>
  </si>
  <si>
    <t>330 Church Ave Ephrata, PA 17522</t>
  </si>
  <si>
    <t>PA COLLEGE OF ART &amp; DESIGN</t>
  </si>
  <si>
    <t>204 N Prince St Lancaster, PA 17603</t>
  </si>
  <si>
    <t>PALMYRA AREA SCHOOL DISTRICT</t>
  </si>
  <si>
    <t>1125 Park Dr Palmyra, PA 17078</t>
  </si>
  <si>
    <t>PLEASANT VIEW RETIREMENT MED#</t>
  </si>
  <si>
    <t>544 N Penryn Rd Manheim, PA 17545</t>
  </si>
  <si>
    <t>THE RUG BEATER#</t>
  </si>
  <si>
    <t>327 N State St Brownstown, PA 17508</t>
  </si>
  <si>
    <t>RUTTERS FARM STORES #33</t>
  </si>
  <si>
    <t>661 Broadway Hanover, PA 17331</t>
  </si>
  <si>
    <t>RUTTERS FARM STORES #40</t>
  </si>
  <si>
    <t>1155 RIVER RD Marietta, PA 17547</t>
  </si>
  <si>
    <t>RUTTERS FARM STORES #44</t>
  </si>
  <si>
    <t>6040 Steltz Rd Glen Rock, PA 17327</t>
  </si>
  <si>
    <t>RUTTERS FARM STORES #49</t>
  </si>
  <si>
    <t>2345 CARLISLE RD York, PA 17408</t>
  </si>
  <si>
    <t>RUTTERS FARM STORES #50</t>
  </si>
  <si>
    <t>420 N Main St Spring Grove, PA 17362</t>
  </si>
  <si>
    <t>SHALOM CHRISTIAN ACADEMY</t>
  </si>
  <si>
    <t>126 Social Island Rd Chambersburg, PA 17202</t>
  </si>
  <si>
    <t>SIGNAL MACHINE COMPANY#</t>
  </si>
  <si>
    <t>150 King Ct New Holland, PA 17557</t>
  </si>
  <si>
    <t>SMOKER &amp; COMPANY#</t>
  </si>
  <si>
    <t>49 E Main St Leola, PA 17540</t>
  </si>
  <si>
    <t>SOUTH EASTERN SCHOOL DIST</t>
  </si>
  <si>
    <t>377 Main St Fawn Grove, PA 17321</t>
  </si>
  <si>
    <t>SOUTHERN YORK COUNTY SCHOOL DI</t>
  </si>
  <si>
    <t>3280 Fissels Church Rd Glen Rock, PA 17327</t>
  </si>
  <si>
    <t>FULTON STEAMBOAT INN</t>
  </si>
  <si>
    <t>1 Hartman Bridge Rd Lancaster, PA 17602</t>
  </si>
  <si>
    <t>YORK SUBURBAN SCHOOL DISTRICT</t>
  </si>
  <si>
    <t>1800 Hollywood Dr York, PA 17403</t>
  </si>
  <si>
    <t>THE WORSHIP CENTER#</t>
  </si>
  <si>
    <t>2384 New Holland Pike Lancaster, PA 17601</t>
  </si>
  <si>
    <t>VALLEY VIEW ALLIANCE CHURCH</t>
  </si>
  <si>
    <t>200 Alliance Ave Hallam, PA 17406</t>
  </si>
  <si>
    <t>West Shore Evangelical Free Ch</t>
  </si>
  <si>
    <t>1345 Williams Grove Rd Mechanicsburg, PA 17055</t>
  </si>
  <si>
    <t>WEST SHORE SCHOOL DISTRICT</t>
  </si>
  <si>
    <t>507 Fishing Creek Rd New Cumberland, PA 17070</t>
  </si>
  <si>
    <t>WHITE OAK MILLS#</t>
  </si>
  <si>
    <t>419 W High St ELIZABETHTOWN, PA 17022</t>
  </si>
  <si>
    <t>WHITMOYER FORD INC</t>
  </si>
  <si>
    <t>1001 E Main St Mount Joy, PA 17552</t>
  </si>
  <si>
    <t>WISSLER MOTORS INC</t>
  </si>
  <si>
    <t>1205 W Main St Mount Joy, PA 17552</t>
  </si>
  <si>
    <t>BIRD IN HAND FAMILY RESTAURANT</t>
  </si>
  <si>
    <t>2760 Old Philadelphia Pike Bird in Hand, PA 17505</t>
  </si>
  <si>
    <t>COMPANION ANIMAL HOSPITAL#</t>
  </si>
  <si>
    <t>335 Route 35 Selinsgrove, PA 17870</t>
  </si>
  <si>
    <t>FOUR SEASONS PRODUCE#</t>
  </si>
  <si>
    <t>400 Wabash Rd Ephrata, PA 17522</t>
  </si>
  <si>
    <t>DAYBREAK CHURCH#</t>
  </si>
  <si>
    <t>321 Gettysburg Pike Mechanicsburg, PA 17055</t>
  </si>
  <si>
    <t>Cathedral Village</t>
  </si>
  <si>
    <t>600 E Cathedral Rd Philadelphia, PA 19128</t>
  </si>
  <si>
    <t>Centennial School District</t>
  </si>
  <si>
    <t>48 Swan Way Warminster, PA 18974</t>
  </si>
  <si>
    <t>Cherry Hill Fire Department</t>
  </si>
  <si>
    <t>1100 Marlkress Rd Cherry Hill, NJ 08003</t>
  </si>
  <si>
    <t>Episcopal Academy</t>
  </si>
  <si>
    <t>1785 Bishop White Dr Newtown Square, PA 19073</t>
  </si>
  <si>
    <t>Faith Baptist Church-Fairless</t>
  </si>
  <si>
    <t>1515 Wistar Rd Fairless Hills, PA 19030</t>
  </si>
  <si>
    <t>Cliff Fitzgerald</t>
  </si>
  <si>
    <t>601 Ellison Dr North Wales, PA 19454</t>
  </si>
  <si>
    <t>Gloria Dei Church</t>
  </si>
  <si>
    <t>570 Welsh Rd Huntingdon Valley, PA 19006</t>
  </si>
  <si>
    <t>Grundy Hall</t>
  </si>
  <si>
    <t>1290 Almshouse Rd Doylestown, PA 18901</t>
  </si>
  <si>
    <t>HOLY FAMILY CHURCH</t>
  </si>
  <si>
    <t>15 Gender Rd Newark, DE 19713</t>
  </si>
  <si>
    <t>The Hun School of Princeton</t>
  </si>
  <si>
    <t>176 Edgerstoune Rd Princeton, NJ 08540</t>
  </si>
  <si>
    <t>Willert Manufacturing Co LLC</t>
  </si>
  <si>
    <t>447 Old Swede Rd Douglassville, PA 19518</t>
  </si>
  <si>
    <t>Le Papillon Hair Salon</t>
  </si>
  <si>
    <t>1597 The Fairway Jenkintown, PA 19046</t>
  </si>
  <si>
    <t>McGlinchey's Bar &amp; Grill</t>
  </si>
  <si>
    <t>259 S 15th St Philadelphia, PA 19102</t>
  </si>
  <si>
    <t>Methacton School District</t>
  </si>
  <si>
    <t>1001 Kriebel Mill Rd Eagleville, PA 19403</t>
  </si>
  <si>
    <t>Milford Enterprises Inc.</t>
  </si>
  <si>
    <t>2650 Milford Square Pike Quakertown, PA 18951</t>
  </si>
  <si>
    <t>Newtown Athletic &amp; Aquatic Clu</t>
  </si>
  <si>
    <t>120 Pheasant Run Newtown, PA 18940</t>
  </si>
  <si>
    <t>North Eastern Hardwood Floors</t>
  </si>
  <si>
    <t>447 Commerce Ln Ste A West Berlin, NJ 08091</t>
  </si>
  <si>
    <t>North &amp; Southampton Reformed C</t>
  </si>
  <si>
    <t>1380 Bristol Rd Churchville, PA 18966</t>
  </si>
  <si>
    <t>Longwood Gardens</t>
  </si>
  <si>
    <t>1001 Longwood Rd Kennett Square, PA 19348</t>
  </si>
  <si>
    <t>Harrison Township School Distr</t>
  </si>
  <si>
    <t>120 N MAIN ST Mullica Hill, NJ 08062</t>
  </si>
  <si>
    <t>Springfield Township Board of</t>
  </si>
  <si>
    <t>2146 Jacksonville Jobstown Rd Jobstown, NJ 08041</t>
  </si>
  <si>
    <t>Atlantic Cape Community Colleg</t>
  </si>
  <si>
    <t>5100 Black Horse Pike Mays Landing, NJ 08330</t>
  </si>
  <si>
    <t>The Easthill Grp dba The Eastw</t>
  </si>
  <si>
    <t>263 Shoemaker Rd Pottstown, PA 19464</t>
  </si>
  <si>
    <t>Estell Manor School District</t>
  </si>
  <si>
    <t>128 Cape May Ave Estell Manor, NJ 08319</t>
  </si>
  <si>
    <t>Medford Township Public School</t>
  </si>
  <si>
    <t>137 Hartford Rd Medford, NJ 08055</t>
  </si>
  <si>
    <t>Middle Township Board of Educa</t>
  </si>
  <si>
    <t>216 S MAIN ST Cape May Court House, NJ 08210</t>
  </si>
  <si>
    <t>Ciocca Hyundai</t>
  </si>
  <si>
    <t>550 S West End Blvd Quakertown, PA 18951</t>
  </si>
  <si>
    <t>Selective Interior Maintenance</t>
  </si>
  <si>
    <t>1508 THOMSON RD Roslyn, PA 19001</t>
  </si>
  <si>
    <t>Journal Register Company</t>
  </si>
  <si>
    <t>390 Eagleview Blvd EXTON, PA 19341</t>
  </si>
  <si>
    <t>Oliver Healthcare Packaging</t>
  </si>
  <si>
    <t>97 Britain Dr New Britain, PA 18901</t>
  </si>
  <si>
    <t>Christian Life Church</t>
  </si>
  <si>
    <t>3100 Galloway Rd Bensalem, PA 19020</t>
  </si>
  <si>
    <t>Pinecrest Golf Club</t>
  </si>
  <si>
    <t>101 Country Club Dr Lansdale, PA 19446</t>
  </si>
  <si>
    <t>Boathouse Sports Inc.</t>
  </si>
  <si>
    <t>425 E Hunting Park Ave Philadelphia, PA 19124</t>
  </si>
  <si>
    <t>Ron Reid Janitorial Services</t>
  </si>
  <si>
    <t>237 Jacksonville Rd Apt 5A Hatboro, PA 19040</t>
  </si>
  <si>
    <t>Manville School District</t>
  </si>
  <si>
    <t>1100 Brooks Blvd Manville, NJ 08835</t>
  </si>
  <si>
    <t>New Hanover Township BOE</t>
  </si>
  <si>
    <t>122 Fort Dix St Wrightstown, NJ 08562</t>
  </si>
  <si>
    <t>Brandywine Home Assoc / VFW</t>
  </si>
  <si>
    <t>4601 W Lincoln Hwy Downingtown, PA 19335</t>
  </si>
  <si>
    <t>TruMark Financial</t>
  </si>
  <si>
    <t>335 Commerce Dr Fort Washington, PA 19034</t>
  </si>
  <si>
    <t>ARCHBISHOP CARROLL HIGH SCHOOL</t>
  </si>
  <si>
    <t>211 W Matsonford Rd Radnor, PA 19087</t>
  </si>
  <si>
    <t>Covenant Fellowship Church</t>
  </si>
  <si>
    <t>1 Fellowship Rd Glen Mills, PA 19342</t>
  </si>
  <si>
    <t>Pinecrest Country Club Banquet</t>
  </si>
  <si>
    <t>Roman Catholic High School</t>
  </si>
  <si>
    <t>301 N Broad St Philadelphia, PA 19107</t>
  </si>
  <si>
    <t>Morrisville School District</t>
  </si>
  <si>
    <t>550 W Palmer St Morrisville, PA 19067</t>
  </si>
  <si>
    <t>Scott Honda of West Chester</t>
  </si>
  <si>
    <t>706 Autopark Blvd West Chester, PA 19382</t>
  </si>
  <si>
    <t>Shamong Township Public School</t>
  </si>
  <si>
    <t>295 Indian Mills Rd Shamong, NJ 08088</t>
  </si>
  <si>
    <t>Tinius Olsen Testing Machine C</t>
  </si>
  <si>
    <t>1065 Easton Rd Horsham, PA 19044</t>
  </si>
  <si>
    <t>Tri-Century Eye Care, P.C.</t>
  </si>
  <si>
    <t>319 2nd Street Pike Southampton, PA 18966</t>
  </si>
  <si>
    <t>Upper Bucks Co Tech School</t>
  </si>
  <si>
    <t>3115 Ridge Rd Perkasie, PA 18944</t>
  </si>
  <si>
    <t>Upper Moreland School District</t>
  </si>
  <si>
    <t>2900 Terwood Rd WILLOW GROVE, PA 19090</t>
  </si>
  <si>
    <t>Warminster Township Police Dep</t>
  </si>
  <si>
    <t>401 Gibson Ave Warminster, PA 18974</t>
  </si>
  <si>
    <t>Warminster Township Parks &amp; Re</t>
  </si>
  <si>
    <t>1100 Veterans Way Warminster, PA 18974</t>
  </si>
  <si>
    <t>WESTMINSTER PRESBYTERIAN CHURC</t>
  </si>
  <si>
    <t>10 W Pleasant Grove Rd West Chester, PA 19382</t>
  </si>
  <si>
    <t>Windcrest Animal Hospital</t>
  </si>
  <si>
    <t>3705 Lancaster Pike Wilmington, DE 19805</t>
  </si>
  <si>
    <t>Ye Olde Ale House</t>
  </si>
  <si>
    <t>405 Germantown Pike Lafayette Hill, PA 19444</t>
  </si>
  <si>
    <t>SnapCab by Bostock</t>
  </si>
  <si>
    <t>175 Titus Ave Ste 200 Warrington, PA 18976</t>
  </si>
  <si>
    <t>FAITH BAPTIST CHURCH#</t>
  </si>
  <si>
    <t>220 S 22nd St Lebanon, PA 17042</t>
  </si>
  <si>
    <t>CALVARY MONUMENT BIBLE CHURCH#</t>
  </si>
  <si>
    <t>1660 Mine Rd Paradise, PA 17562</t>
  </si>
  <si>
    <t>FLEX CELL PRECISION INC#</t>
  </si>
  <si>
    <t>1151 S Duke St Lancaster, PA 17602</t>
  </si>
  <si>
    <t>Martin Carberry</t>
  </si>
  <si>
    <t>6598 Southridge Ln Wrightsville, PA 17368</t>
  </si>
  <si>
    <t>Montgomery School</t>
  </si>
  <si>
    <t>1141 Kimberton Rd Chester Springs, PA 19425</t>
  </si>
  <si>
    <t>Fred Beans Ford Lincoln-Main</t>
  </si>
  <si>
    <t>876 N Easton Rd Doylestown, PA 18902</t>
  </si>
  <si>
    <t>Closets by Design - Custom Sto</t>
  </si>
  <si>
    <t>60 Three Tun Rd Ste 1 Malvern, PA 19355</t>
  </si>
  <si>
    <t>McLane New Jersey Inc</t>
  </si>
  <si>
    <t>742 Courses Landing Rd Carneys Point, NJ 08069</t>
  </si>
  <si>
    <t>COMMUNITY BIBLE CHURCH*</t>
  </si>
  <si>
    <t>331 Anderson Ferry Road Marietta, PA 17547</t>
  </si>
  <si>
    <t>Forrest Russell</t>
  </si>
  <si>
    <t>127 E Logan Ave Manheim, PA 17545</t>
  </si>
  <si>
    <t>THE LOOMIS COMPANY</t>
  </si>
  <si>
    <t>850 N Park Rd Wyomissing, PA 19610</t>
  </si>
  <si>
    <t>Congregation Kol Emet</t>
  </si>
  <si>
    <t>1360 Oxford Valley Rd Yardley, PA 19067</t>
  </si>
  <si>
    <t>Academy of Dover Charter Schoo</t>
  </si>
  <si>
    <t>104 Saulsbury Rd Dover, DE 19904</t>
  </si>
  <si>
    <t>Elite Air Systems</t>
  </si>
  <si>
    <t>57 Ash Cir Warminster, PA 18974</t>
  </si>
  <si>
    <t>All Jersey Janitorial Service</t>
  </si>
  <si>
    <t>1719 Ginesi Dr Freehold, NJ 07728</t>
  </si>
  <si>
    <t>LEBANON GASKET &amp; SEAL INC</t>
  </si>
  <si>
    <t>2380 Colebrook Rd Lebanon, PA 17042</t>
  </si>
  <si>
    <t>Eagle Design Group LLC</t>
  </si>
  <si>
    <t>45 Senn Dr Chester Springs, PA 19425</t>
  </si>
  <si>
    <t>Tyler Professional Services</t>
  </si>
  <si>
    <t>174 Jordan Ct Royersford, PA 19468</t>
  </si>
  <si>
    <t>LINCOLN INTERMEDIATE UNIT #12</t>
  </si>
  <si>
    <t>65 Billerbeck St New Oxford, PA 17350</t>
  </si>
  <si>
    <t>BERKS COUNTY INTERMEDIATE UNIT</t>
  </si>
  <si>
    <t>1111 Commons Blvd Reading, PA 19605</t>
  </si>
  <si>
    <t>Ciocca Volkswagon of Allentown</t>
  </si>
  <si>
    <t>1346 Lehigh St Allentown, PA 18103</t>
  </si>
  <si>
    <t>St Dorothy Parish</t>
  </si>
  <si>
    <t>4910 Township Line Rd Drexel Hill, PA 19026</t>
  </si>
  <si>
    <t>St Anne's Episcopal School</t>
  </si>
  <si>
    <t>211 Silver Lake Rd MIDDLETOWN, DE 19709</t>
  </si>
  <si>
    <t>Holy Cross Catholic School</t>
  </si>
  <si>
    <t>631 S State St Dover, DE 19901</t>
  </si>
  <si>
    <t>JOHN WRIGHT RESTAURANT</t>
  </si>
  <si>
    <t>234 N Front St Wrightsville, PA 17368</t>
  </si>
  <si>
    <t>Hill Top Preparatory School</t>
  </si>
  <si>
    <t>737 S Ithan Ave Bryn Mawr, PA 19010</t>
  </si>
  <si>
    <t>St Ephrem Church and School</t>
  </si>
  <si>
    <t>5400 Hulmeville Rd Bensalem, PA 19020</t>
  </si>
  <si>
    <t>RUTTERS FARM STORES #64</t>
  </si>
  <si>
    <t>1150 HARRISBURG PIKE Carlisle, PA 17013</t>
  </si>
  <si>
    <t>Allen M Hurst Jr Clean Sweep</t>
  </si>
  <si>
    <t>2135 Ashwood Ln ELIZABETHTOWN, PA 17022</t>
  </si>
  <si>
    <t>Robert Diller</t>
  </si>
  <si>
    <t>1 Sussex Place Lititz, PA 17543</t>
  </si>
  <si>
    <t>UMC The Shores</t>
  </si>
  <si>
    <t>2201 Bay Ave Ocean City, NJ 08226</t>
  </si>
  <si>
    <t>RUTTERS FARM STORES #56</t>
  </si>
  <si>
    <t>368 LEWISBERRY RD New Cumberland, PA 17070</t>
  </si>
  <si>
    <t>ST THERESA SCHOOL</t>
  </si>
  <si>
    <t>1200 Bridge St New Cumberland, PA 17070</t>
  </si>
  <si>
    <t>Church of the Saviour</t>
  </si>
  <si>
    <t>651 N Wayne Ave Wayne, PA 19087</t>
  </si>
  <si>
    <t>St Agnes Parish</t>
  </si>
  <si>
    <t>233 W Gay St West Chester, PA 19380</t>
  </si>
  <si>
    <t>Western Montgomery Career &amp;</t>
  </si>
  <si>
    <t>77 Gratersford Rd Limerick, PA 19468</t>
  </si>
  <si>
    <t>Bethany Wesleyan Church</t>
  </si>
  <si>
    <t>675 Blue Mountain Dr Cherryville, PA 18035</t>
  </si>
  <si>
    <t>Fred Beans VW of Devon</t>
  </si>
  <si>
    <t>315 W Lancaster Ave Devon, PA 19333</t>
  </si>
  <si>
    <t>NEW COVENANT CHRISTIAN SCHOOL</t>
  </si>
  <si>
    <t>452 Ebenezer Rd Lebanon, PA 17046</t>
  </si>
  <si>
    <t>Bermuda Janitorial Supply</t>
  </si>
  <si>
    <t>103 Tilbury Rd Salem, NJ 08079</t>
  </si>
  <si>
    <t>Bishop Shanahan</t>
  </si>
  <si>
    <t>220 Woodbine Rd Downingtown, PA 19335</t>
  </si>
  <si>
    <t>St Joseph Parish</t>
  </si>
  <si>
    <t>332 Manor Ave Downingtown, PA 19335</t>
  </si>
  <si>
    <t>GARBER METROLOGY</t>
  </si>
  <si>
    <t>520 E Oregon Rd Ste 101 Lititz, PA 17543</t>
  </si>
  <si>
    <t>SAINT CLAIR SCHOOL DISTRICT</t>
  </si>
  <si>
    <t>227 S Mill St Saint Clair, PA 17970</t>
  </si>
  <si>
    <t>Multi Flow Industries L.P.</t>
  </si>
  <si>
    <t>1434 County Line Rd Huntingdon Valley, PA 19006</t>
  </si>
  <si>
    <t>Stuart Country Day School of</t>
  </si>
  <si>
    <t>1200 Stuart Rd Princeton, NJ 08540</t>
  </si>
  <si>
    <t>Holy Family Regional Catholic</t>
  </si>
  <si>
    <t>2477 Trenton Rd Levittown, PA 19056</t>
  </si>
  <si>
    <t>KINDERHOOK EARLY LEARNING CNTR</t>
  </si>
  <si>
    <t>420 Coffee Goss Rd Marietta, PA 17547</t>
  </si>
  <si>
    <t>MIFFLIN COUNTY SCHOOL DISTRICT</t>
  </si>
  <si>
    <t>103 Green Ave Lewistown, PA 17044</t>
  </si>
  <si>
    <t>Meadowood Corporation</t>
  </si>
  <si>
    <t>3205 Skippack Pike Worcester, PA 19490</t>
  </si>
  <si>
    <t>LEBANON VALLEY HOME#</t>
  </si>
  <si>
    <t>550 E Main St Annville, PA 17003</t>
  </si>
  <si>
    <t>SPOOKY NOOK SPORTS#</t>
  </si>
  <si>
    <t>2913 Spooky Nook Rd Manheim, PA 17545</t>
  </si>
  <si>
    <t>St Peters Evangelical Lutheran</t>
  </si>
  <si>
    <t>211 S Main St North Wales, PA 19454</t>
  </si>
  <si>
    <t>ST JAMES CATHOLIC CHURCH</t>
  </si>
  <si>
    <t>505 Woodcrest Ave Lititz, PA 17543</t>
  </si>
  <si>
    <t>Precision Acura of Princeton</t>
  </si>
  <si>
    <t>3001 US Highway 1 Lawrenceville, NJ 08648</t>
  </si>
  <si>
    <t>UNITED ZION APN RETIREMENT#</t>
  </si>
  <si>
    <t>722 Furnace Hills Pike Lititz, PA 17543</t>
  </si>
  <si>
    <t>New Life Thrift Inc</t>
  </si>
  <si>
    <t>800 N Easton Rd Glenside, PA 19038</t>
  </si>
  <si>
    <t>BERWICK AREA YMCA#</t>
  </si>
  <si>
    <t>231 W 3rd St Berwick, PA 18603</t>
  </si>
  <si>
    <t>Family Worship Center</t>
  </si>
  <si>
    <t>1000 Troxel Rd Lansdale, PA 19446</t>
  </si>
  <si>
    <t>Dreamline</t>
  </si>
  <si>
    <t>75 Hawk Rd Warminster, PA 18974</t>
  </si>
  <si>
    <t>National Glass and Metal Co. I</t>
  </si>
  <si>
    <t>1424 Easton Rd Ste 400 Horsham, PA 19044</t>
  </si>
  <si>
    <t>NATIONAL NOVELTY BRUSH CO#</t>
  </si>
  <si>
    <t>505 E Fulton St Lancaster, PA 17602</t>
  </si>
  <si>
    <t>LINCOLN CHRISTIAN HOME</t>
  </si>
  <si>
    <t>1307 Apple St Ephrata, PA 17522</t>
  </si>
  <si>
    <t>St Patrick Parish</t>
  </si>
  <si>
    <t>131 Channing Ave Malvern, PA 19355</t>
  </si>
  <si>
    <t>Phil Mont Christian Academy</t>
  </si>
  <si>
    <t>35 Hillcrest Rd Erdenheim, PA 19038</t>
  </si>
  <si>
    <t>HANOVER AREA YMCA#</t>
  </si>
  <si>
    <t>500 George St Hanover, PA 17331</t>
  </si>
  <si>
    <t>Sanctuary United Methodist Chu</t>
  </si>
  <si>
    <t>1346 E Prospect Ave North Wales, PA 19454</t>
  </si>
  <si>
    <t>Delaware County Intermediate U</t>
  </si>
  <si>
    <t>200 Yale Ave Morton, PA 19070</t>
  </si>
  <si>
    <t>PARADISE CONCRETE SOLUTIONS#</t>
  </si>
  <si>
    <t>2771 Lincoln Hwy E Ronks, PA 17572</t>
  </si>
  <si>
    <t>CALVARY CHURCH</t>
  </si>
  <si>
    <t>820 Route 113 Souderton, PA 18964</t>
  </si>
  <si>
    <t>KEPIRO COMPANY INC</t>
  </si>
  <si>
    <t>2850 WILLOW STREET PIKE SUITE B Willow Street, PA 17584</t>
  </si>
  <si>
    <t>Bible Baptist Church</t>
  </si>
  <si>
    <t>1237 Paoli Pike West Chester, PA 19380</t>
  </si>
  <si>
    <t>SUMMIT INTERNATIONAL SCHOOL</t>
  </si>
  <si>
    <t>74 Harrison School Rd Grantville, PA 17028</t>
  </si>
  <si>
    <t>ATOMIC DESIGN INC#</t>
  </si>
  <si>
    <t>10 Wynfield Dr Lititz, PA 17543</t>
  </si>
  <si>
    <t>Peter Becker Community</t>
  </si>
  <si>
    <t>800 Maple Ave Harleysville, PA 19438</t>
  </si>
  <si>
    <t>Kendall Electric</t>
  </si>
  <si>
    <t>15 Colwell Ln CONSHOHOCKEN, PA 19428</t>
  </si>
  <si>
    <t>Pine Run Health Center</t>
  </si>
  <si>
    <t>777 Ferry Rd Doylestown, PA 18901</t>
  </si>
  <si>
    <t>Haverford College</t>
  </si>
  <si>
    <t>370 W LANCASTER AVE HAVERFORD, PA 19041</t>
  </si>
  <si>
    <t>CONESTOGA CHRISTIAN SCHOOL#</t>
  </si>
  <si>
    <t>2760 Main St Morgantown, PA 19543</t>
  </si>
  <si>
    <t>Roseto Borough</t>
  </si>
  <si>
    <t>164 Garibaldi Ave Roseto, PA 18013</t>
  </si>
  <si>
    <t>Stone Hill Church of Princeton</t>
  </si>
  <si>
    <t>1025 Bunn Dr Princeton, NJ 08540</t>
  </si>
  <si>
    <t>KEYSTONE CHURCH</t>
  </si>
  <si>
    <t>6 Pequea Dr Paradise, PA 17562</t>
  </si>
  <si>
    <t>Bishop McHugh Regional Catholi</t>
  </si>
  <si>
    <t>2221 Route 9 N Cape May Court House, NJ 08210</t>
  </si>
  <si>
    <t>Misko Inc.</t>
  </si>
  <si>
    <t>171 Philips Rd EXTON, PA 19341</t>
  </si>
  <si>
    <t>EXETER BIBLE CHURCH</t>
  </si>
  <si>
    <t>926 Philadelphia Ter Birdsboro, PA 19508</t>
  </si>
  <si>
    <t>HICKORY HOUSE NURSING HOME#</t>
  </si>
  <si>
    <t>3120 Horseshoe Pike Honey Brook, PA 19344</t>
  </si>
  <si>
    <t>Horsham Athletic Club LLC</t>
  </si>
  <si>
    <t>400 Horsham Rd Horsham, PA 19044</t>
  </si>
  <si>
    <t>Sweetbriar Restaurant</t>
  </si>
  <si>
    <t>11 Lindenwold Ave Ambler, PA 19002</t>
  </si>
  <si>
    <t>Newark Charter Jr High Campus</t>
  </si>
  <si>
    <t>1089 Elkton Rd Newark, DE 19711</t>
  </si>
  <si>
    <t>Newark Charter High Campus</t>
  </si>
  <si>
    <t>200 McIntire Dr Newark, DE 19711</t>
  </si>
  <si>
    <t>Bright New Scholars Academy</t>
  </si>
  <si>
    <t>355 Corporate Blvd Newark, DE 19702</t>
  </si>
  <si>
    <t>ADCOCK BROTHERS SERVICE CENTER</t>
  </si>
  <si>
    <t>14 Anthony Dr Manheim, PA 17545</t>
  </si>
  <si>
    <t>ROCK LITITZ STUDIO</t>
  </si>
  <si>
    <t>100 Rock Lititz Blvd Lititz, PA 17543</t>
  </si>
  <si>
    <t>ENGEL MACHINERY INC#</t>
  </si>
  <si>
    <t>3740 Board Rd York, PA 17406</t>
  </si>
  <si>
    <t>Biospectra Inc</t>
  </si>
  <si>
    <t>100 Majestic Way Bangor, PA 18013</t>
  </si>
  <si>
    <t>MARGARET E MOUL HOME</t>
  </si>
  <si>
    <t>2050 Barley Rd York, PA 17408</t>
  </si>
  <si>
    <t>DALLASTOWN NURSING CENTER</t>
  </si>
  <si>
    <t>623 E MAIN ST DALLASTOWN, PA 17313</t>
  </si>
  <si>
    <t>MOORES LAUNDROMAT V</t>
  </si>
  <si>
    <t>205 E 6th St Lititz, PA 17543</t>
  </si>
  <si>
    <t>St Huberts High School</t>
  </si>
  <si>
    <t>7320 Torresdale Ave Philadelphia, PA 19136</t>
  </si>
  <si>
    <t>South Brunswick School Distric</t>
  </si>
  <si>
    <t>4 Executive Dr Monmouth Junction, NJ 08852</t>
  </si>
  <si>
    <t>Renaissance Academy Charter Sc</t>
  </si>
  <si>
    <t>413 Fairview St Phoenixville, PA 19460</t>
  </si>
  <si>
    <t>St Eleanor Catholic Church</t>
  </si>
  <si>
    <t>647 Locust St Collegeville, PA 19426</t>
  </si>
  <si>
    <t>TODDS PRO CLEAN#</t>
  </si>
  <si>
    <t>26 Lake Aldred Ter Pequea, PA 17565</t>
  </si>
  <si>
    <t>Holy Child School At Rosemont</t>
  </si>
  <si>
    <t>1344 MONTGOMERY AVE Bryn Mawr, PA 19010</t>
  </si>
  <si>
    <t>CC ST JOHNS UNITED CHURCH OF C</t>
  </si>
  <si>
    <t>659 S 4th St Denver, PA 17517</t>
  </si>
  <si>
    <t>ABC123 Early Learning Center</t>
  </si>
  <si>
    <t>2280 KIMBERTON RD Phoenixville, PA 19460</t>
  </si>
  <si>
    <t>Transcend Facility Management</t>
  </si>
  <si>
    <t>479 THOMAS JONES WAY EXTON, PA 19341</t>
  </si>
  <si>
    <t>Solebury School</t>
  </si>
  <si>
    <t>6832 Phillips Mill Rd New Hope, PA 18938</t>
  </si>
  <si>
    <t>First Church of Our Lord Jesus</t>
  </si>
  <si>
    <t>5105 N 5TH ST Philadelphia, PA 19120</t>
  </si>
  <si>
    <t>St Mary Rehabilitation Hospita</t>
  </si>
  <si>
    <t>1208 Langhorne Newtown Rd Langhorne, PA 19047</t>
  </si>
  <si>
    <t>FLEETWOOD BIBLE CHURCH</t>
  </si>
  <si>
    <t>2847 Moselem Springs Rd Fleetwood, PA 19522</t>
  </si>
  <si>
    <t>Maddie Colon</t>
  </si>
  <si>
    <t>1330 Magee Ave Philadelphia, PA 19111</t>
  </si>
  <si>
    <t>JESSIS CLEANING SERVICE</t>
  </si>
  <si>
    <t>1636 Santa Barbara Dr Lancaster, PA 17601</t>
  </si>
  <si>
    <t>Galloway Township Municipal</t>
  </si>
  <si>
    <t>300 E Jimmie Leeds Rd Galloway, NJ 08205</t>
  </si>
  <si>
    <t>PHYTOGENX INC</t>
  </si>
  <si>
    <t>35 Thousand Oaks Blvd Morgantown, PA 19543</t>
  </si>
  <si>
    <t>ABC FACILITY SERVICES INC#</t>
  </si>
  <si>
    <t>5 Greenview Ln Avondale, PA 19311</t>
  </si>
  <si>
    <t>Chandler Hall</t>
  </si>
  <si>
    <t>99 BARCLAY ST Newtown, PA 18940</t>
  </si>
  <si>
    <t>YB WELDING INC</t>
  </si>
  <si>
    <t>990 Progress Rd Chambersburg, PA 17201</t>
  </si>
  <si>
    <t>Audi of Devon</t>
  </si>
  <si>
    <t>222 W Lancaster Ave Devon, PA 19333</t>
  </si>
  <si>
    <t>Gwynedd Mercy Academy Elementa</t>
  </si>
  <si>
    <t>816 Norristown Rd Ambler, PA 19002</t>
  </si>
  <si>
    <t>Artsana USA INC</t>
  </si>
  <si>
    <t>1826 William Penn Way Lancaster, PA 17601</t>
  </si>
  <si>
    <t>Paramount SR Living at Maytown</t>
  </si>
  <si>
    <t>2760 Maytown Rd Maytown, PA 17550</t>
  </si>
  <si>
    <t>The Bottom Line</t>
  </si>
  <si>
    <t>7220 Windsor Dr Allentown, PA 18106</t>
  </si>
  <si>
    <t>Matteras Liquors Canals</t>
  </si>
  <si>
    <t>1613 Route 47 Rio Grande, NJ 08242</t>
  </si>
  <si>
    <t>Calvary Chapel of Delaware Cou</t>
  </si>
  <si>
    <t>500 Brandywine Dr Chadds Ford, PA 19317</t>
  </si>
  <si>
    <t>Fox &amp; Roach</t>
  </si>
  <si>
    <t>338 W Lancaster Ave HAVERFORD, PA 19041</t>
  </si>
  <si>
    <t>Rock Lititz Pod 2#</t>
  </si>
  <si>
    <t>201 Rock Lititz Blvd Lititz, PA 17543</t>
  </si>
  <si>
    <t>CHRIST COMMUNITY CHURCH</t>
  </si>
  <si>
    <t>1190 Phoenixville Pike West Chester, PA 19380</t>
  </si>
  <si>
    <t>Golden Paws Pet Resort &amp; Spa</t>
  </si>
  <si>
    <t>8 Sharon Rd Robbinsville, NJ 08691</t>
  </si>
  <si>
    <t>RUTTERS FARM STORES #77</t>
  </si>
  <si>
    <t>77 BENVENUE RD Duncannon, PA 17020</t>
  </si>
  <si>
    <t>Suburban Testing Labs Inc.#</t>
  </si>
  <si>
    <t>1037F Macarthur Rd Reading, PA 19605</t>
  </si>
  <si>
    <t>NJ Veterans Home at Vineland</t>
  </si>
  <si>
    <t>524 N West Blvd Vineland, NJ 08360</t>
  </si>
  <si>
    <t>ADVENT LUTHERAN CHURCH</t>
  </si>
  <si>
    <t>1601 Green Ln West Chester, PA 19382</t>
  </si>
  <si>
    <t>MASONIC VILLAGE MED LANDSCAPE#</t>
  </si>
  <si>
    <t>137 Pump House Ln ELIZABETHTOWN, PA 17022</t>
  </si>
  <si>
    <t>George School</t>
  </si>
  <si>
    <t>1690 Newtown Langhorne Rd- PMB 4062 Newtown, PA 18940</t>
  </si>
  <si>
    <t>JOSE L OTERO</t>
  </si>
  <si>
    <t>401 Eden Rd Lancaster, PA 17601</t>
  </si>
  <si>
    <t>GROSFILLEX INC#</t>
  </si>
  <si>
    <t>230 Old West Penn Ave Robesonia, PA 19551</t>
  </si>
  <si>
    <t>ALBRIGHT COLLEGE</t>
  </si>
  <si>
    <t>1621 N 13th St Reading, PA 19604</t>
  </si>
  <si>
    <t>CC - The Grayson School</t>
  </si>
  <si>
    <t>211 W Matsonford Rd Wayne, PA 19087</t>
  </si>
  <si>
    <t>Assumption BVM School</t>
  </si>
  <si>
    <t>290 State Rd West Grove, PA 19390</t>
  </si>
  <si>
    <t>The Cliffs at Callowhill</t>
  </si>
  <si>
    <t>1010 Callowhill St Philadelphia, PA 19123</t>
  </si>
  <si>
    <t>Kingsway Regional School Distr</t>
  </si>
  <si>
    <t>213 Kings Hwy Woolwich Township, NJ 08085</t>
  </si>
  <si>
    <t>Holy Name Of Jesus Parish &amp; Sc</t>
  </si>
  <si>
    <t>6150 Allentown Blvd Harrisburg, PA 17112</t>
  </si>
  <si>
    <t>TEMPLE SINAI</t>
  </si>
  <si>
    <t>1401 Limekiln Pike DRESHER, PA 19025</t>
  </si>
  <si>
    <t>Wright's Cleaning Services</t>
  </si>
  <si>
    <t>245 Riverview Dr Ephrata, PA 17522</t>
  </si>
  <si>
    <t>Watchung Regional High School</t>
  </si>
  <si>
    <t>108 Stirling Rd, WARREN, NJ 07059</t>
  </si>
  <si>
    <t>Saint Monica Church</t>
  </si>
  <si>
    <t>635 First Ave Berwyn, PA 19312</t>
  </si>
  <si>
    <t>FRIENDSHIP YMCA</t>
  </si>
  <si>
    <t>5000 Commons Dr Harrisburg, PA 17112</t>
  </si>
  <si>
    <t>Mickey's Black Box</t>
  </si>
  <si>
    <t>101 Rock Lititz Blvd Lititz, PA 17543</t>
  </si>
  <si>
    <t>J &amp; T Commercial Cleaning Serv</t>
  </si>
  <si>
    <t>117 Lori Cir EXTON, PA 19341</t>
  </si>
  <si>
    <t>Mike Mussina</t>
  </si>
  <si>
    <t>737 White Church Rd Muncy, PA 17756</t>
  </si>
  <si>
    <t>FAITH BIBLE CHURCH</t>
  </si>
  <si>
    <t>2075 Harrisburg Ave Mount Joy, PA 17552</t>
  </si>
  <si>
    <t>Flemington-Raritan Regional BO</t>
  </si>
  <si>
    <t>50 Court St Flemington, NJ 08822</t>
  </si>
  <si>
    <t>FLOORGUY SUPPLY LLC</t>
  </si>
  <si>
    <t>12 McCullough Drive, Suite 10 New Castle, DE 19720</t>
  </si>
  <si>
    <t>IMMACULATE CONCEPTION SCHOOL</t>
  </si>
  <si>
    <t>314 OLD ALLERTON RD ANNANDALE, NJ 08801</t>
  </si>
  <si>
    <t>Rutters Farm Store #80</t>
  </si>
  <si>
    <t>1160 Centre Turnpike Drive Orwigsburg, PA 17961</t>
  </si>
  <si>
    <t>Union League Liberty Hill</t>
  </si>
  <si>
    <t>800 Ridge Pike Lafayette Hill, PA 19444</t>
  </si>
  <si>
    <t>RD CLEANING SERVICES</t>
  </si>
  <si>
    <t>37 Hampton Ln Lancaster, PA 17601</t>
  </si>
  <si>
    <t>Holy Spirit High School</t>
  </si>
  <si>
    <t>500 S New Rd Absecon, NJ 08201</t>
  </si>
  <si>
    <t>Lower Township School District</t>
  </si>
  <si>
    <t>905 Seashore Rd Cape May, NJ 08204</t>
  </si>
  <si>
    <t>1125 S State St Ephrata, PA 17522</t>
  </si>
  <si>
    <t>TRINITY LUTHERAN CHURCH</t>
  </si>
  <si>
    <t>1190 Valley Forge Rd NORRISTOWN, PA 19403</t>
  </si>
  <si>
    <t>Chester Charter Scholars Acade</t>
  </si>
  <si>
    <t>1500 Highland Ave Chester, PA 19013</t>
  </si>
  <si>
    <t>THE WILLOWSTONE SCHOOL</t>
  </si>
  <si>
    <t>340 Central Ave Malvern, PA 19355</t>
  </si>
  <si>
    <t>VIC'S CARPET DRY CLEANERS &amp; DR</t>
  </si>
  <si>
    <t>1149 Lone Eagle Rd Coatesville, PA 19320</t>
  </si>
  <si>
    <t>CORPORATE CLEANING GROUP INC</t>
  </si>
  <si>
    <t>1746 Hallman Dr Blue Bell, PA 19422</t>
  </si>
  <si>
    <t>LSC Communications LLC Brands</t>
  </si>
  <si>
    <t>301 Butterfly Commons Dr York, PA 17402</t>
  </si>
  <si>
    <t>Ron Hopp</t>
  </si>
  <si>
    <t>501 Fitch Rd Hatboro, PA 19040</t>
  </si>
  <si>
    <t>Eastampton Township School Dis</t>
  </si>
  <si>
    <t>1 Student Drive Eastampton, NJ 08060</t>
  </si>
  <si>
    <t>SCIENCE HISTORY INSTITUTE</t>
  </si>
  <si>
    <t>315 Chestnut St Philadelphia, PA 19106</t>
  </si>
  <si>
    <t>Baresville Elementary School</t>
  </si>
  <si>
    <t>135 Sanford Ave Hanover, PA 17331</t>
  </si>
  <si>
    <t>BERWICK AREA SCHOOL DIST</t>
  </si>
  <si>
    <t>1200 N Vine St Berwick, PA 18603</t>
  </si>
  <si>
    <t>BLUE MOUNTAIN WEST ELEMENTARY</t>
  </si>
  <si>
    <t>20 N Front Street Schuylkill Haven, PA 17972</t>
  </si>
  <si>
    <t>BLUE MOUNTAIN HIGH SCHOOL</t>
  </si>
  <si>
    <t>1076 W Market St Schuylkill Haven, PA 17972</t>
  </si>
  <si>
    <t>BLUE MOUNTAIN MIDDLE SCHOOL</t>
  </si>
  <si>
    <t>COLUMBIA HIGH SCHOOL</t>
  </si>
  <si>
    <t>901 IRONVILLE PIKE Columbia, PA 17512</t>
  </si>
  <si>
    <t>CONRAD WEISER MIDDLE SCHOOL</t>
  </si>
  <si>
    <t>347 E Penn Ave Robesonia, PA 19551</t>
  </si>
  <si>
    <t>DONEGAL INTERMEDIATE SCHOOL</t>
  </si>
  <si>
    <t>1179 River Rd Marietta, PA 17547</t>
  </si>
  <si>
    <t>EASTERN YORK HIGH SCHOOL</t>
  </si>
  <si>
    <t>720 Cool Creek Rd Wrightsville, PA 17368</t>
  </si>
  <si>
    <t>EASTERN YORK MIDDLE SCHOOL</t>
  </si>
  <si>
    <t>746 Cool Creek Rd Wrightsville, PA 17368</t>
  </si>
  <si>
    <t>ELIZABETHTOWN AREA SCHOOLS</t>
  </si>
  <si>
    <t>600 E High St ELIZABETHTOWN, PA 17022</t>
  </si>
  <si>
    <t>END OF THE RAINBOW</t>
  </si>
  <si>
    <t>35 Kirkland Dr Red Lion, PA 17356</t>
  </si>
  <si>
    <t>HANOVER PUBLIC SCHOOL DISTRICT</t>
  </si>
  <si>
    <t>305 FAME AVENUE Hanover, PA 17331</t>
  </si>
  <si>
    <t>NORTHWEST SCHOOL STORAGE</t>
  </si>
  <si>
    <t>1315 Old Forge Rd Lebanon, PA 17046</t>
  </si>
  <si>
    <t>SKH GARDEN CENTER Dover Kathy</t>
  </si>
  <si>
    <t>3949 Carlisle Rd Dover, PA 17315</t>
  </si>
  <si>
    <t>SKH DELL CORPORATE LITITZ PIKE</t>
  </si>
  <si>
    <t>813 Lititz Pike Lititz, PA 17543</t>
  </si>
  <si>
    <t>SKH N/OUTLET HBURG</t>
  </si>
  <si>
    <t>5350 Linglestown Rd Harrisburg, PA 17112</t>
  </si>
  <si>
    <t>SKH NURSERY York</t>
  </si>
  <si>
    <t>4450 Lincoln Hwy York, PA 17406</t>
  </si>
  <si>
    <t>THE WHOLE CHILD LEARNING CENTE</t>
  </si>
  <si>
    <t>55 N Brick Ln Elverson, PA 19520</t>
  </si>
  <si>
    <t>WEST YORK SCHOOL WAREHOUSE</t>
  </si>
  <si>
    <t>2625 WEST CLARK AVE York, PA 17408</t>
  </si>
  <si>
    <t>Greater Egg Harbor Dist Oakcre</t>
  </si>
  <si>
    <t>Absegami High School</t>
  </si>
  <si>
    <t>201 S Wrangleboro Rd Galloway, NJ 08205</t>
  </si>
  <si>
    <t>Afton Elementary School</t>
  </si>
  <si>
    <t>1673 Quarry Rd Yardley, PA 19067</t>
  </si>
  <si>
    <t>Atlantic City High School</t>
  </si>
  <si>
    <t>1400 N Albany Ave Atlantic City, NJ 08401</t>
  </si>
  <si>
    <t>Barth Elementary</t>
  </si>
  <si>
    <t>467 West Walnut St Pottstown, PA 19464</t>
  </si>
  <si>
    <t>Maintenance Warehouse</t>
  </si>
  <si>
    <t>540 Trestle Pl Downingtown, PA 19335</t>
  </si>
  <si>
    <t>District Administrative Office</t>
  </si>
  <si>
    <t>386 City Line Ave Phoenixville, PA 19460</t>
  </si>
  <si>
    <t>Brickmill Elementary School</t>
  </si>
  <si>
    <t>378 Brick Mill Rd MIDDLETOWN, DE 19709</t>
  </si>
  <si>
    <t>Cedar Lane Elementary School</t>
  </si>
  <si>
    <t>1259 Cedar Lane Rd MIDDLETOWN, DE 19709</t>
  </si>
  <si>
    <t>Charles Boehm Middle School</t>
  </si>
  <si>
    <t>866 Big Oak Rd Yardley, PA 19067</t>
  </si>
  <si>
    <t>COB - Neshaminy Manor Nursing</t>
  </si>
  <si>
    <t>1660 Easton Rd Warrington, PA 18976</t>
  </si>
  <si>
    <t>Clearview Regional High School</t>
  </si>
  <si>
    <t>625 Breakneck Rd Mullica Hill, NJ 08062</t>
  </si>
  <si>
    <t>Pleasant Valley High School</t>
  </si>
  <si>
    <t>1671 Route 209 Brodheadsville, PA 18322</t>
  </si>
  <si>
    <t>Colonial Elementary School</t>
  </si>
  <si>
    <t>230 Flourtown Rd PLYMOUTH MEETING, PA 19462</t>
  </si>
  <si>
    <t>Colonial Middle School</t>
  </si>
  <si>
    <t>716 Belvoir Rd PLYMOUTH MEETING, PA 19462</t>
  </si>
  <si>
    <t>Fort Washington Elementary Sch</t>
  </si>
  <si>
    <t>1010 Fort Washington Ave Fort Washington, PA 19034</t>
  </si>
  <si>
    <t>RTMSD Maintenance &amp; Operations</t>
  </si>
  <si>
    <t>134 Barren Rd Media, PA 19063</t>
  </si>
  <si>
    <t>Administration Building</t>
  </si>
  <si>
    <t>118 S 6th St Odessa, DE 19730</t>
  </si>
  <si>
    <t>Fred Beans Toyota of Flemingto</t>
  </si>
  <si>
    <t>174 US Highway 202/31 N Flemington, NJ 08822</t>
  </si>
  <si>
    <t>Dennis Township Primary School</t>
  </si>
  <si>
    <t>601 Hagen Rd Cape May Court House, NJ 08210</t>
  </si>
  <si>
    <t>Edgewood Elementary School</t>
  </si>
  <si>
    <t>899 Oxford Valley Rd Yardley, PA 19067</t>
  </si>
  <si>
    <t>Perkiomen Valley School Distri</t>
  </si>
  <si>
    <t>EVERGREEN ELEMENTARY SCHOOL</t>
  </si>
  <si>
    <t>98 Kagey Rd Collegeville, PA 19426</t>
  </si>
  <si>
    <t>FRANKLIN ELEMENTARY SCHOOL</t>
  </si>
  <si>
    <t>970 N Franklin St Pottstown, PA 19464</t>
  </si>
  <si>
    <t>George L. Hess Educational Com</t>
  </si>
  <si>
    <t>700 Babcock Rd Mays Landing, NJ 08330</t>
  </si>
  <si>
    <t>Hibbert Group</t>
  </si>
  <si>
    <t>890 Ships Landing Way New Castle, DE 19720</t>
  </si>
  <si>
    <t>Highland Regional High School</t>
  </si>
  <si>
    <t>450 Erial Rd Blackwood, NJ 08012</t>
  </si>
  <si>
    <t>Greenwood Elementary School</t>
  </si>
  <si>
    <t>420 Greenwood Rd Kennett Square, PA 19348</t>
  </si>
  <si>
    <t>Indian Mills Memorial School</t>
  </si>
  <si>
    <t>Joseph C. Shaner Memorial Scho</t>
  </si>
  <si>
    <t>5801 3rd St Mays Landing, NJ 08330</t>
  </si>
  <si>
    <t>New Garden Elementary School</t>
  </si>
  <si>
    <t>265 New Garden Rd Toughkenamon, PA 19374</t>
  </si>
  <si>
    <t>Kennett High School</t>
  </si>
  <si>
    <t>100 E South St Kennett Square, PA 19348</t>
  </si>
  <si>
    <t>LINCOLN ELEMENTARY</t>
  </si>
  <si>
    <t>461 N York St Pottstown, PA 19464</t>
  </si>
  <si>
    <t>409 Conservatory Rd Kennett Square, PA 19348</t>
  </si>
  <si>
    <t>Cedar Creek High School</t>
  </si>
  <si>
    <t>1701 New York Ave Egg Harbor City, NJ 08215</t>
  </si>
  <si>
    <t>Makefield Elementary School</t>
  </si>
  <si>
    <t>1939 Makefield Rd Yardley, PA 19067</t>
  </si>
  <si>
    <t>Manor Elementary School</t>
  </si>
  <si>
    <t>401 Penn Valley Rd Levittown, PA 19054</t>
  </si>
  <si>
    <t>Mary D. Lang Elementary School</t>
  </si>
  <si>
    <t>409 Center St Kennett Square, PA 19348</t>
  </si>
  <si>
    <t>Everett Meredith Middle School</t>
  </si>
  <si>
    <t>504 S Broad St MIDDLETOWN, DE 19709</t>
  </si>
  <si>
    <t>Middle Township High School</t>
  </si>
  <si>
    <t>300 E Atlantic Ave Cape May Court House, NJ 08210</t>
  </si>
  <si>
    <t>Middletown High School</t>
  </si>
  <si>
    <t>120 Silver Lake Rd MIDDLETOWN, DE 19709</t>
  </si>
  <si>
    <t>OPERATIONS</t>
  </si>
  <si>
    <t>35 Ruth H Mancuso Ln Glassboro, NJ 08028</t>
  </si>
  <si>
    <t>Central Middle School</t>
  </si>
  <si>
    <t>144 N Walnut St Perkasie, PA 18944</t>
  </si>
  <si>
    <t>SOUTH MIDDLE SCHOOL</t>
  </si>
  <si>
    <t>610 S 5th St Perkasie, PA 18944</t>
  </si>
  <si>
    <t>West RockHill Elementary</t>
  </si>
  <si>
    <t>1000 Washington Ave Sellersville, PA 18960</t>
  </si>
  <si>
    <t>NORTH MIDDLE SCHOOL</t>
  </si>
  <si>
    <t>1500 N 5th St Perkasie, PA 18944</t>
  </si>
  <si>
    <t>West Campus - Pennsbury High S</t>
  </si>
  <si>
    <t>608 S Olds Blvd Fairless Hills, PA 19030</t>
  </si>
  <si>
    <t>East Campus - Pennsbury High S</t>
  </si>
  <si>
    <t>705 Hood Blvd Fairless Hills, PA 19030</t>
  </si>
  <si>
    <t>Fallsington Elementary School</t>
  </si>
  <si>
    <t>134 Yardley Ave Fallsington, PA 19054</t>
  </si>
  <si>
    <t>Village Park Elementary School</t>
  </si>
  <si>
    <t>75 Unity Dr Fairless Hills, PA 19030</t>
  </si>
  <si>
    <t>Oxford Valley Elementary Schoo</t>
  </si>
  <si>
    <t>430 Trenton Rd Fairless Hills, PA 19030</t>
  </si>
  <si>
    <t>Central Warehouse</t>
  </si>
  <si>
    <t>9 Queen Anne Ct Langhorne, PA 19047</t>
  </si>
  <si>
    <t>Pennwood Middle School</t>
  </si>
  <si>
    <t>1523 Makefield Rd Yardley, PA 19067</t>
  </si>
  <si>
    <t>South Elementary School</t>
  </si>
  <si>
    <t>200 E 3rd Ave Trappe, PA 19426</t>
  </si>
  <si>
    <t>Perkiomen Valley Middle School</t>
  </si>
  <si>
    <t>5 Tammanund Circle Collegeville, PA 19426</t>
  </si>
  <si>
    <t>220 Big Rd Zieglerville, PA 19492</t>
  </si>
  <si>
    <t>Perkiomen Valley High School</t>
  </si>
  <si>
    <t>509 Gravel Pike Collegeville, PA 19426</t>
  </si>
  <si>
    <t>Pitman High School</t>
  </si>
  <si>
    <t>225 Linden Ave Pitman, NJ 08071</t>
  </si>
  <si>
    <t>Pleasantville Public Schools</t>
  </si>
  <si>
    <t>Pleasantville High School</t>
  </si>
  <si>
    <t>701 Mill Rd Pleasantville, NJ 08232</t>
  </si>
  <si>
    <t>Plymouth Elementary School</t>
  </si>
  <si>
    <t>542 Plymouth Rd PLYMOUTH MEETING, PA 19462</t>
  </si>
  <si>
    <t>Plymouth Whitemarsh High Schoo</t>
  </si>
  <si>
    <t>201 E Germantown Pike PLYMOUTH MEETING, PA 19462</t>
  </si>
  <si>
    <t>PSEG - "Hope Creek Plant"</t>
  </si>
  <si>
    <t>1 Alloway Creek Neck Rd Hancock's Bridge, NJ 08038</t>
  </si>
  <si>
    <t>PSEG - "Salem Plant"</t>
  </si>
  <si>
    <t>Buttonwood Road Hancocks Bridge, NJ 08038</t>
  </si>
  <si>
    <t>Quarry Hill Elementary School</t>
  </si>
  <si>
    <t>1625 Quarry Rd Yardley, PA 19067</t>
  </si>
  <si>
    <t>Radnor High School - Maint. Sh</t>
  </si>
  <si>
    <t>130 King of Prussia Rd Radnor, PA 19087</t>
  </si>
  <si>
    <t>Redding Intermediate School</t>
  </si>
  <si>
    <t>201 New St MIDDLETOWN, DE 19709</t>
  </si>
  <si>
    <t>Ridge Park Elementary School</t>
  </si>
  <si>
    <t>200 Karrs Ln CONSHOHOCKEN, PA 19428</t>
  </si>
  <si>
    <t>Eleanor Roosevelt Elementary S</t>
  </si>
  <si>
    <t>185 Walton Dr Morrisville, PA 19067</t>
  </si>
  <si>
    <t>St Michael the Archangel Schoo</t>
  </si>
  <si>
    <t>130 Levittown Pkwy Levittown, PA 19054</t>
  </si>
  <si>
    <t>Schwenksville Elementary Schoo</t>
  </si>
  <si>
    <t>55 2nd St Schwenksville, PA 19473</t>
  </si>
  <si>
    <t>Silver Lake Elementary School</t>
  </si>
  <si>
    <t>200 E Cochran St MIDDLETOWN, DE 19709</t>
  </si>
  <si>
    <t>Southern Regional SD Warehouse</t>
  </si>
  <si>
    <t>190 Cedar Bridge Rd Manahawkin, NJ 08050</t>
  </si>
  <si>
    <t>Spring-Ford Inter Flex Bldg#2</t>
  </si>
  <si>
    <t>833 S Lewis Rd Royersford, PA 19468</t>
  </si>
  <si>
    <t>St Andrew School CEC</t>
  </si>
  <si>
    <t>51 Wrights Rd Newtown, PA 18940</t>
  </si>
  <si>
    <t>Townsend Elementary School</t>
  </si>
  <si>
    <t>126 Main St Townsend, DE 19734</t>
  </si>
  <si>
    <t>Maintenance / Transportation D</t>
  </si>
  <si>
    <t>920 Old Lancaster Rd Berwyn, PA 19312</t>
  </si>
  <si>
    <t>Charles F. Patton Middle Schoo</t>
  </si>
  <si>
    <t>760 Unionville Rd Kennett Square, PA 19348</t>
  </si>
  <si>
    <t>Upper Dublin High School</t>
  </si>
  <si>
    <t>800 Loch Alsh Ave Fort Washington, PA 19034</t>
  </si>
  <si>
    <t>WALT DISNEY ELEMENTARY SCHOOL</t>
  </si>
  <si>
    <t>200 Lakeside Dr Levittown, PA 19054</t>
  </si>
  <si>
    <t>William Penn Middle School</t>
  </si>
  <si>
    <t>1524 Derbyshire Rd Yardley, PA 19067</t>
  </si>
  <si>
    <t>Indian Lane Elementary School</t>
  </si>
  <si>
    <t>309 S Old Middletown Rd Media, PA 19063</t>
  </si>
  <si>
    <t>Media Elementary School</t>
  </si>
  <si>
    <t>120 E Front St Media, PA 19063</t>
  </si>
  <si>
    <t>Springton Lake Middle School</t>
  </si>
  <si>
    <t>1900 N Providence Rd Media, PA 19063</t>
  </si>
  <si>
    <t>Penncrest High School</t>
  </si>
  <si>
    <t>J E FRITZ ELEMENTARY</t>
  </si>
  <si>
    <t>845 Hornig Rd Lancaster, PA 17601</t>
  </si>
  <si>
    <t>LEOLA ELEMENTARY</t>
  </si>
  <si>
    <t>11 School Dr Leola, PA 17540</t>
  </si>
  <si>
    <t>SMOKETOWN ELEMENTARY</t>
  </si>
  <si>
    <t>2426 Old Philadelphia Pike Lancaster, PA 17602</t>
  </si>
  <si>
    <t>BROWNSTOWN ELEMENTARY</t>
  </si>
  <si>
    <t>51 School Lane Ave Brownstown, PA 17508</t>
  </si>
  <si>
    <t>Maple Glen Elementary School</t>
  </si>
  <si>
    <t>1581 Fort Washington Ave Maple Glen, PA 19002</t>
  </si>
  <si>
    <t>Cumberland Regional High Schoo</t>
  </si>
  <si>
    <t>90 Silver Lake Rd Bridgeton, NJ 08302</t>
  </si>
  <si>
    <t>MT PENN PRIMARY CENTER</t>
  </si>
  <si>
    <t>201 N 25TH ST Mount Penn, PA 19606</t>
  </si>
  <si>
    <t>South Western High School</t>
  </si>
  <si>
    <t>200 Bowman Rd Hanover, PA 17331</t>
  </si>
  <si>
    <t>DISTRICT WAREHOUSE</t>
  </si>
  <si>
    <t>1181 McDermott Dr West Chester, PA 19380</t>
  </si>
  <si>
    <t>West Manheim Elementary School</t>
  </si>
  <si>
    <t>2000 Baltimore Pike Hanover, PA 17331</t>
  </si>
  <si>
    <t>One River Place AAA Bldg</t>
  </si>
  <si>
    <t>1 River Pl Wilmington, DE 19801</t>
  </si>
  <si>
    <t>Bordentown Regional High Schoo</t>
  </si>
  <si>
    <t>318 Ward Ave Bordentown, NJ 08505</t>
  </si>
  <si>
    <t>Florence Twp. Memorial High Sc</t>
  </si>
  <si>
    <t>1050 Cedar Ln Burlington, NJ 08016</t>
  </si>
  <si>
    <t>Stafford Intermediate School</t>
  </si>
  <si>
    <t>1000 McKinley Ave Manahawkin, NJ 08050</t>
  </si>
  <si>
    <t>Chadds Ford Elementary School</t>
  </si>
  <si>
    <t>3 Baltimore Pike Chadds Ford, PA 19317</t>
  </si>
  <si>
    <t>Grasse Elementary School</t>
  </si>
  <si>
    <t>600 Rickert Rd Sellersville, PA 18960</t>
  </si>
  <si>
    <t>Marrows Road Associates</t>
  </si>
  <si>
    <t>1352 Marrows Rd Newark, DE 19711</t>
  </si>
  <si>
    <t>New Hope-Solebury Lower Elem.</t>
  </si>
  <si>
    <t>3020 Sugan Rd New Hope, PA 18938</t>
  </si>
  <si>
    <t>Park Hills Elementary School</t>
  </si>
  <si>
    <t>137 W Granger St Hanover, PA 17331</t>
  </si>
  <si>
    <t>Unionville Elementary</t>
  </si>
  <si>
    <t>1775 W Doe Run Rd Kennett Square, PA 19348</t>
  </si>
  <si>
    <t>BRECKNOCK ELEMENTARY</t>
  </si>
  <si>
    <t>1332 Alleghenyville Rd Mohnton, PA 19540</t>
  </si>
  <si>
    <t>CUMRU ELEMENTARY SCHOOL</t>
  </si>
  <si>
    <t>601 Philadelphia Ave Reading, PA 19607</t>
  </si>
  <si>
    <t>GOVERNOR MIFFLIN MIDDLE SCHOOL</t>
  </si>
  <si>
    <t>130 E Lancaster Ave Shillington, PA 19607</t>
  </si>
  <si>
    <t>GOVERNOR MIFFLIN HIGH SCHOOL</t>
  </si>
  <si>
    <t>101 S Waverly St Shillington, PA 19607</t>
  </si>
  <si>
    <t>William Penn High School</t>
  </si>
  <si>
    <t>101 W College Ave York, PA 17401</t>
  </si>
  <si>
    <t>PALMYRA AREA SD WAREHOUSE</t>
  </si>
  <si>
    <t>Pocopson Elementary School</t>
  </si>
  <si>
    <t>1105 Pocopson Rd West Chester, PA 19382</t>
  </si>
  <si>
    <t>STEELTON HIGHSPIRE HIGH SCHOOL</t>
  </si>
  <si>
    <t>250 Reynders St Steelton, PA 17113</t>
  </si>
  <si>
    <t>CMCSSSD -Maintenance Dept</t>
  </si>
  <si>
    <t>148 Crest Haven Rd Cape May Court House, NJ 08210</t>
  </si>
  <si>
    <t>Alfred G. Waters Middle School</t>
  </si>
  <si>
    <t>1235 Cedar Lane Rd MIDDLETOWN, DE 19709</t>
  </si>
  <si>
    <t>Buena Regional High School</t>
  </si>
  <si>
    <t>125 Weymouth Rd Buena, NJ 08310</t>
  </si>
  <si>
    <t>J. P. Cleary Elementary School</t>
  </si>
  <si>
    <t>1501 Central Ave Minotola, NJ 08341</t>
  </si>
  <si>
    <t>Collins Lake Elementary School</t>
  </si>
  <si>
    <t>620 Cains Mill Rd Williamstown, NJ 08094</t>
  </si>
  <si>
    <t>Milanesi Elementary School</t>
  </si>
  <si>
    <t>880 Harding Hwy Buena, NJ 08310</t>
  </si>
  <si>
    <t>Upper Township Elementary Scho</t>
  </si>
  <si>
    <t>50 N Old Tuckahoe Rd Marmora, NJ 08223</t>
  </si>
  <si>
    <t>Hopewell Valley Regional Schoo</t>
  </si>
  <si>
    <t>425 S Main St Pennington, NJ 08534</t>
  </si>
  <si>
    <t>Appoquinimink High School</t>
  </si>
  <si>
    <t>1080 Bunker Hill Rd MIDDLETOWN, DE 19709</t>
  </si>
  <si>
    <t>PSEG - "Materials Center"</t>
  </si>
  <si>
    <t>1 Alloway Creek Neck Rd Hancocks Bridge, NJ 08038</t>
  </si>
  <si>
    <t>SKH    NURSERY HUMMELSTOWN</t>
  </si>
  <si>
    <t>1075 Middletown Rd Hummelstown, PA 17036</t>
  </si>
  <si>
    <t>110 Pitney Rd Lancaster, PA 17602</t>
  </si>
  <si>
    <t>UTI Universal Technical Instit</t>
  </si>
  <si>
    <t>750 Pennsylvania Dr EXTON, PA 19341</t>
  </si>
  <si>
    <t>Riverfront School</t>
  </si>
  <si>
    <t>500 E Front St Florence, NJ 08518</t>
  </si>
  <si>
    <t>SKH    NURSERY MECH</t>
  </si>
  <si>
    <t>51 Gettysburg Pike Mechanicsburg, PA 17055</t>
  </si>
  <si>
    <t>Tropicana Receiving Dept.</t>
  </si>
  <si>
    <t>Morris Ave &amp; The Boardwalk Atlantic City, NJ 08401</t>
  </si>
  <si>
    <t>V.A. Medical Hospital</t>
  </si>
  <si>
    <t>1400 Blackhorse Hill Rd Coatesville, PA 19320</t>
  </si>
  <si>
    <t>Maintenance Bldg. - NHTS</t>
  </si>
  <si>
    <t>46 Schoolhouse Rd Wrightstown, NJ 08562</t>
  </si>
  <si>
    <t>HOSPICE OF LANC COUNTY</t>
  </si>
  <si>
    <t>4075 Old Harrisburg Pike Mount Joy, PA 17552</t>
  </si>
  <si>
    <t>New Hope-Solebury High School</t>
  </si>
  <si>
    <t>182 W Bridge St New Hope, PA 18938</t>
  </si>
  <si>
    <t>New Hope-Solebury Middle Schoo</t>
  </si>
  <si>
    <t>New Hope-Solebury Upper Elem S</t>
  </si>
  <si>
    <t>186 W Bridge St New Hope, PA 18938</t>
  </si>
  <si>
    <t>Skippack Elementary</t>
  </si>
  <si>
    <t>4081 Heckler Rd Collegeville, PA 19426</t>
  </si>
  <si>
    <t>Sterling Regional High School</t>
  </si>
  <si>
    <t>501 S Warwick Rd Somerdale, NJ 08083</t>
  </si>
  <si>
    <t>CLAIR GLOBAL</t>
  </si>
  <si>
    <t>1 Ellen Ave Lititz, PA 17543</t>
  </si>
  <si>
    <t>Kenneth G. Lilly Fasteners</t>
  </si>
  <si>
    <t>855 Dawson Dr Newark, DE 19713</t>
  </si>
  <si>
    <t>Supplee Presbyterian Church</t>
  </si>
  <si>
    <t>855 E Welsh Rd Maple Glen, PA 19002</t>
  </si>
  <si>
    <t>Bunker Hill Elementary School</t>
  </si>
  <si>
    <t>1070 Bunker Hill Rd MIDDLETOWN, DE 19709</t>
  </si>
  <si>
    <t>WILSON SCHOOL RECEIVING DEPT</t>
  </si>
  <si>
    <t>4 Cloister Ct Sinking Spring, PA 19608</t>
  </si>
  <si>
    <t>507 Fishing Creek Rd Lewisberry, PA 17339</t>
  </si>
  <si>
    <t>Buena Regional Middle School</t>
  </si>
  <si>
    <t>175 Weymouth Rd Buena, NJ 08310</t>
  </si>
  <si>
    <t>GOVERNOR MIFFLIN Maintenance B</t>
  </si>
  <si>
    <t>600 Governor Dr Shillington, PA 19607</t>
  </si>
  <si>
    <t>DALLASTOWN AREA SCHOOL DIST</t>
  </si>
  <si>
    <t>DALLASTOWN INTERMEDIATE SCHOOL</t>
  </si>
  <si>
    <t>94 Beck Rd York, PA 17403</t>
  </si>
  <si>
    <t>Pennfield Middle School</t>
  </si>
  <si>
    <t>726 Forty Foot Rd Hatfield, PA 19440</t>
  </si>
  <si>
    <t>Central Regional High School</t>
  </si>
  <si>
    <t>509 Forest Hills Pkwy Bayville, NJ 08721</t>
  </si>
  <si>
    <t>MIFFLIN COUNTY MIDDLE SCHOOL</t>
  </si>
  <si>
    <t>2 Manor Dr Lewistown, PA 17044</t>
  </si>
  <si>
    <t>LANCASTER HEALTH CENTER WATER</t>
  </si>
  <si>
    <t>625 S Duke St Lancaster, PA 17602</t>
  </si>
  <si>
    <t>Newtown Commons West Complex</t>
  </si>
  <si>
    <t>642 Newtown Yardley Rd Newtown, PA 18940</t>
  </si>
  <si>
    <t>LUTHERCARE  NURSING BLDG</t>
  </si>
  <si>
    <t>400 Saint Luke Dr Lititz, PA 17543</t>
  </si>
  <si>
    <t>East Derry Elementary School</t>
  </si>
  <si>
    <t>2316 Back Maitland Rd Lewistown, PA 17044</t>
  </si>
  <si>
    <t>MIFFLIN COUNTY JUNIOR HIGH</t>
  </si>
  <si>
    <t>700 Cedar St Lewistown, PA 17044</t>
  </si>
  <si>
    <t>Mifflin County High School</t>
  </si>
  <si>
    <t>501 6th St Lewistown, PA 17044</t>
  </si>
  <si>
    <t>INDIAN VALLEY CENTER</t>
  </si>
  <si>
    <t>125 Kish Rd Reedsville, PA 17084</t>
  </si>
  <si>
    <t>LEWISTOWN INTERMEDIATE SCHOOL</t>
  </si>
  <si>
    <t>212 Green Ave Lewistown, PA 17044</t>
  </si>
  <si>
    <t>LEWISTOWN STRODES MILLS ELEMEN</t>
  </si>
  <si>
    <t>185 Chestnut Ridge Rd McVeytown, PA 17051</t>
  </si>
  <si>
    <t>Bancroft Elementary School</t>
  </si>
  <si>
    <t>181 Bancroft Rd Kennett Square, PA 19348</t>
  </si>
  <si>
    <t>DONEGAL JUNIOR HIGH SCHOOL</t>
  </si>
  <si>
    <t>915 ANDERSON FERRY RD Mount Joy, PA 17552</t>
  </si>
  <si>
    <t>DONEGAL PRIMARY SCHOOL</t>
  </si>
  <si>
    <t>1055 Koser Rd Mount Joy, PA 17552</t>
  </si>
  <si>
    <t>NEWPORT ELEMENTARY SCHOOL</t>
  </si>
  <si>
    <t>559 N 5th St Newport, PA 17074</t>
  </si>
  <si>
    <t>801 Mill Rd Pleasantville, NJ 08232</t>
  </si>
  <si>
    <t>MILTON S HERSHEY MEDICAL CENTE</t>
  </si>
  <si>
    <t>500 University Dr Hershey, PA 17033</t>
  </si>
  <si>
    <t>Brigantine Board Of Education</t>
  </si>
  <si>
    <t>301 E Evans Blvd Brigantine, NJ 08203</t>
  </si>
  <si>
    <t>DONEGAL HIGH SCHOOL</t>
  </si>
  <si>
    <t>1025 Koser Rd Mount Joy, PA 17552</t>
  </si>
  <si>
    <t>Old State Elementary School</t>
  </si>
  <si>
    <t>580 Tony Marchio Dr Townsend, DE 19734</t>
  </si>
  <si>
    <t>LANDIS RUN INTERMEDIATE SCHOOL</t>
  </si>
  <si>
    <t>25 Blue Streak Blvd Lancaster, PA 17606</t>
  </si>
  <si>
    <t>NEFF ELEMENTARY SCHOOL</t>
  </si>
  <si>
    <t>21 Valley Rd Lancaster, PA 17601</t>
  </si>
  <si>
    <t>Knowledge A to Z Charter Schoo</t>
  </si>
  <si>
    <t>1725 Park Blvd Camden, NJ 08103</t>
  </si>
  <si>
    <t>MUHLENBERG ELEMENTARY CENTER</t>
  </si>
  <si>
    <t>610 Sharp Ave Reading, PA 19605</t>
  </si>
  <si>
    <t>Princeton Day School Ice Rink</t>
  </si>
  <si>
    <t>600 Great Rd Princeton, NJ 08540</t>
  </si>
  <si>
    <t>Newark Charter High School</t>
  </si>
  <si>
    <t>WILLIAMSPORT AREA SCHOOL DIST</t>
  </si>
  <si>
    <t>1400 W 3rd St Williamsport, PA 17701</t>
  </si>
  <si>
    <t>100 S. West Associates LLC</t>
  </si>
  <si>
    <t>300 Water St Wilmington, DE 19801</t>
  </si>
  <si>
    <t>Alice Costello School</t>
  </si>
  <si>
    <t>301 Haakon Rd Brooklawn, NJ 08030</t>
  </si>
  <si>
    <t>HOGAN LEARNING ACADEMY</t>
  </si>
  <si>
    <t>73 Lyons Rd Fleetwood, PA 19522</t>
  </si>
  <si>
    <t>FAIRVIEW ELEMENTARY SCHOOL</t>
  </si>
  <si>
    <t>220 Fairview Ave Waynesboro, PA 17268</t>
  </si>
  <si>
    <t>CONRAD WEISER HIGH SCHOOL</t>
  </si>
  <si>
    <t>44 Big Spring Rd Robesonia, PA 19551</t>
  </si>
  <si>
    <t>Five Ponds Golf Club</t>
  </si>
  <si>
    <t>1225 W Street Rd Warminster, PA 18974</t>
  </si>
  <si>
    <t>EBENEZER GROCERIES</t>
  </si>
  <si>
    <t>465 N Reading Rd Ephrata, PA 17522</t>
  </si>
  <si>
    <t>ENVIRONMENTAL CLEANING</t>
  </si>
  <si>
    <t>1490 S White Oak St Lebanon, PA 17042</t>
  </si>
  <si>
    <t>Eastern High School</t>
  </si>
  <si>
    <t>1401 Laurel Oak Rd Voorhees, NJ 08043</t>
  </si>
  <si>
    <t>Sandy Run Middle School</t>
  </si>
  <si>
    <t>520 TWINING RD DRESHER, PA 19025</t>
  </si>
  <si>
    <t>Teledyne Judson Technologies</t>
  </si>
  <si>
    <t>221 Commerce Dr Montgomeryville, PA 18936</t>
  </si>
  <si>
    <t>OLEY VALLEY ELEMENTARY SCHOOL</t>
  </si>
  <si>
    <t>3257 Friedensburg Rd Oley, PA 19547</t>
  </si>
  <si>
    <t>BluePearl Veterinary Partners</t>
  </si>
  <si>
    <t>301 Veterans Hwy Levittown, PA 19056</t>
  </si>
  <si>
    <t>HR PHARMACEUTICALS INC</t>
  </si>
  <si>
    <t>3630 Concord Rd York, PA 17402</t>
  </si>
  <si>
    <t>ELMA Electronic Inc.</t>
  </si>
  <si>
    <t>235 Gibraltar Rd Horsham, PA 19044</t>
  </si>
  <si>
    <t>Hatfield Elementary School</t>
  </si>
  <si>
    <t>1701 Fairgrounds Rd Hatfield, PA 19440</t>
  </si>
  <si>
    <t>Nash Elementary School</t>
  </si>
  <si>
    <t>1560 Liberty Bell Dr Harleysville, PA 19438</t>
  </si>
  <si>
    <t>Bucks County Justice Center</t>
  </si>
  <si>
    <t>100 N Main St Fl 2 Doylestown, PA 18901</t>
  </si>
  <si>
    <t>Work Space Property Trust L.P</t>
  </si>
  <si>
    <t>110 Gibraltar Rd Horsham, PA 19044</t>
  </si>
  <si>
    <t>5 Walnut Grove Dr Horsham, PA 19044</t>
  </si>
  <si>
    <t>100 Witmer Rd Horsham, PA 19044</t>
  </si>
  <si>
    <t>Central Baptist Church of Wayn</t>
  </si>
  <si>
    <t>106 W Wayne Ave Wayne, PA 19087</t>
  </si>
  <si>
    <t>116 Newark St Littlestown, PA 17340</t>
  </si>
  <si>
    <t>CAN BERKS CORPORATION OF AMERI</t>
  </si>
  <si>
    <t>3721 Pottsville Pike Reading, PA 19605</t>
  </si>
  <si>
    <t>HIGH POINT BAPTIST CHAPEL</t>
  </si>
  <si>
    <t>HIGH POINT BAPTIST CAMP</t>
  </si>
  <si>
    <t>200 Chapel Rd Birdsboro, PA 19508</t>
  </si>
  <si>
    <t>A.M. Kulp Elementary School</t>
  </si>
  <si>
    <t>801 Cowpath Rd Hatfield, PA 19440</t>
  </si>
  <si>
    <t>Thomas Fitzwater Elem School</t>
  </si>
  <si>
    <t>30 School Ln WILLOW GROVE, PA 19090</t>
  </si>
  <si>
    <t>LITITZ REC CENTER</t>
  </si>
  <si>
    <t>201 Rock Lititz Blvd Ste 10 Lititz, PA 17543</t>
  </si>
  <si>
    <t>Milton H Allen School</t>
  </si>
  <si>
    <t>24 Allen Ave Medford, NJ 08055</t>
  </si>
  <si>
    <t>MOT Charter High School</t>
  </si>
  <si>
    <t>1275 Cedar Lane Rd MIDDLETOWN, DE 19709</t>
  </si>
  <si>
    <t>EPHRATA BOROUGH PARKS</t>
  </si>
  <si>
    <t>35 E Fulton St Ephrata, PA 17522</t>
  </si>
  <si>
    <t>Workspace Property Trust Thera</t>
  </si>
  <si>
    <t>555 Business Center Dr Horsham, PA 19044</t>
  </si>
  <si>
    <t>R B Myers Co LLC</t>
  </si>
  <si>
    <t>161 Millerick Ave Lawrenceville, NJ 08648</t>
  </si>
  <si>
    <t>CENTRAL DAUPHIN SCHOOL#</t>
  </si>
  <si>
    <t>CENTRAL DAUPHIN EAST HIGH SCHO</t>
  </si>
  <si>
    <t>626 Rutherford Rd Harrisburg, PA 17109</t>
  </si>
  <si>
    <t>CENTRAL DAUPHIN EAST MIDDLE SC</t>
  </si>
  <si>
    <t>628 Rutherford Rd Harrisburg, PA 17109</t>
  </si>
  <si>
    <t>CENTRAL DAUPHIN MIDDLE SCHOOL</t>
  </si>
  <si>
    <t>4600 Locust Ln Harrisburg, PA 17109</t>
  </si>
  <si>
    <t>ENGINEERED MATERIALS SOLUTIONS</t>
  </si>
  <si>
    <t>600 Valley Rd Hamburg, PA 19526</t>
  </si>
  <si>
    <t>WITMANS CLEANING SERVICE LLC</t>
  </si>
  <si>
    <t>1107 ELIZABETH AVE - REAR Laureldale, PA 19605</t>
  </si>
  <si>
    <t>LANC COUNTY BIBLE CHURCH#</t>
  </si>
  <si>
    <t>LANC COUNTY BIBLE BLOOMSBURG</t>
  </si>
  <si>
    <t>2421 Columbia Blvd Bloomsburg, PA 17815</t>
  </si>
  <si>
    <t>Kirby's Mill Elementary School</t>
  </si>
  <si>
    <t>151 Hartford Rd Medford, NJ 08055</t>
  </si>
  <si>
    <t>Cranberry Pine Elementary</t>
  </si>
  <si>
    <t>400 Fairview Rd Medford, NJ 08055</t>
  </si>
  <si>
    <t>Taunton Forge</t>
  </si>
  <si>
    <t>32 Evergreen Trl Medford, NJ 08055</t>
  </si>
  <si>
    <t>OAKLYN ELEMENTARY SCHOOL</t>
  </si>
  <si>
    <t>115 Oak St Sunbury, PA 17801</t>
  </si>
  <si>
    <t>SHIKELLAMY SCHOOL - WHSE/MAINT</t>
  </si>
  <si>
    <t>600 Walnut St Sunbury, PA 17801</t>
  </si>
  <si>
    <t>CARON MED TREATMENT CENTERS</t>
  </si>
  <si>
    <t>243 N Galen Hall Rd Wernersville, PA 19565</t>
  </si>
  <si>
    <t>EAST YORK ELEMENTARY</t>
  </si>
  <si>
    <t>701 Erlen Dr York, PA 17402</t>
  </si>
  <si>
    <t>VALLEY VIEW ELEMENTARY</t>
  </si>
  <si>
    <t>850 Southern Rd York, PA 17403</t>
  </si>
  <si>
    <t>YORK SUBURBAN MIDDLE SCHOOL</t>
  </si>
  <si>
    <t>455 Sundale Dr York, PA 17402</t>
  </si>
  <si>
    <t>YORK SUBURBAN HIGH SCHOOL</t>
  </si>
  <si>
    <t>Bedminster Elementary</t>
  </si>
  <si>
    <t>2914 Fretz Valley Rd Perkasie, PA 18944</t>
  </si>
  <si>
    <t>Deibler Elementary</t>
  </si>
  <si>
    <t>1122 W Schwenkmill Rd Perkasie, PA 18944</t>
  </si>
  <si>
    <t>Guth Elementary</t>
  </si>
  <si>
    <t>601 N 7th St Perkasie, PA 18944</t>
  </si>
  <si>
    <t>Sellersville Elementary</t>
  </si>
  <si>
    <t>122 W Ridge Ave Sellersville, PA 18960</t>
  </si>
  <si>
    <t>Emory H. Markle Middle School</t>
  </si>
  <si>
    <t>225 Bowman Rd Hanover, PA 17331</t>
  </si>
  <si>
    <t>ENVIRONMENTAL - HARRISBURG EAS</t>
  </si>
  <si>
    <t>3501 Paxton St Harrisburg, PA 17111</t>
  </si>
  <si>
    <t>Community Health &amp; Dental</t>
  </si>
  <si>
    <t>351 W Schuylkill Rd Pottstown, PA 19465</t>
  </si>
  <si>
    <t>CHAMBERSBURG AREA SCHOOL DISTR</t>
  </si>
  <si>
    <t>721 S 6th St Chambersburg, PA 17201</t>
  </si>
  <si>
    <t>DONEGAL SCHOOL MAINTENANCE SHO</t>
  </si>
  <si>
    <t>1005 Koser Rd Mount Joy, PA 17552</t>
  </si>
  <si>
    <t>CEDAR CLIFF HIGH SCHOOL</t>
  </si>
  <si>
    <t>1301 Carlisle Rd CAMP HILL, PA 17011</t>
  </si>
  <si>
    <t>RED LAND HIGH SCHOOL</t>
  </si>
  <si>
    <t>560 Fishing Creek Rd Lewisberry, PA 17339</t>
  </si>
  <si>
    <t>FRANKLIN LEARNING CENTER</t>
  </si>
  <si>
    <t>2397 Loop Rd Chambersburg, PA 17202</t>
  </si>
  <si>
    <t>Abington Junior High School</t>
  </si>
  <si>
    <t>900 Highland Ave Abington, PA 19001</t>
  </si>
  <si>
    <t>Bryn Mawr College</t>
  </si>
  <si>
    <t>101 N Merion Ave Bryn Mawr, PA 19010</t>
  </si>
  <si>
    <t>YMCA of BUCKS</t>
  </si>
  <si>
    <t>YMCA of Bucks Fairless Hills</t>
  </si>
  <si>
    <t>601 S Oxford Valley Rd Fairless Hills, PA 19030</t>
  </si>
  <si>
    <t>TWIN VALLEY HIGH SCHOOL</t>
  </si>
  <si>
    <t>4897 N Twin Valley Rd Elverson, PA 19520</t>
  </si>
  <si>
    <t>1700 Bell Ave Hamilton, NJ 08619</t>
  </si>
  <si>
    <t>COUNTY OF LANC - FACILITIES MG</t>
  </si>
  <si>
    <t>950 Eshelman Mill Rd Lancaster, PA 17602</t>
  </si>
  <si>
    <t>Lorewood Grove Elementary Scho</t>
  </si>
  <si>
    <t>820 Mapleton Ave MIDDLETOWN, DE 19709</t>
  </si>
  <si>
    <t>WARRIOR RUN MIDDLE SCHOOL</t>
  </si>
  <si>
    <t>4860 Susquehanna Trl Turbotville, PA 17772</t>
  </si>
  <si>
    <t>REAMSTOWN ELEMENTARY</t>
  </si>
  <si>
    <t>44 S Reamstown Rd Reamstown, PA 17567</t>
  </si>
  <si>
    <t>DENVER ELEMENTARY</t>
  </si>
  <si>
    <t>700 S 4th St Denver, PA 17517</t>
  </si>
  <si>
    <t>COCALICO MIDDLE SCHOOL</t>
  </si>
  <si>
    <t>650 S 6th St Denver, PA 17517</t>
  </si>
  <si>
    <t>COCALICO HIGH SCHOOL</t>
  </si>
  <si>
    <t>810 S 4th St Denver, PA 17517</t>
  </si>
  <si>
    <t>Sunik LLC</t>
  </si>
  <si>
    <t>600 E Mermaid Ln Wyndmoor, PA 19038</t>
  </si>
  <si>
    <t>DANVILLE AREA SCHOOL DIST</t>
  </si>
  <si>
    <t>1021 Liberty St Danville, PA 17821</t>
  </si>
  <si>
    <t>Frederick Living</t>
  </si>
  <si>
    <t>2849 Big Rd Zieglerville, PA 19492</t>
  </si>
  <si>
    <t>FAIRLANE VILLAGE MALL</t>
  </si>
  <si>
    <t>7211 Fairlane Village Mall Pottsville, PA 17901</t>
  </si>
  <si>
    <t>ENVIRONMENTAL - DG POTTSVILLE</t>
  </si>
  <si>
    <t>1044 Keystone Blvd Pottsville, PA 17901</t>
  </si>
  <si>
    <t>GOVERNOR MIFFLIN PARK ELEMENTA</t>
  </si>
  <si>
    <t>598 Governor Dr Shillington, PA 19607</t>
  </si>
  <si>
    <t>LOYALSOCK HIGH SCHOOL</t>
  </si>
  <si>
    <t>1801 Loyalsock Dr Williamsport, PA 17701</t>
  </si>
  <si>
    <t>BMW of the Main Line</t>
  </si>
  <si>
    <t>225 Bala Ave Bala Cynwyd, PA 19004</t>
  </si>
  <si>
    <t>Ewing Building &amp; Grounds Dept</t>
  </si>
  <si>
    <t>220 Ewingville Rd Trenton, NJ 08638</t>
  </si>
  <si>
    <t>FRED BEANS FORD OF BOYERTOWN</t>
  </si>
  <si>
    <t>525 N Route 100 Bechtelsville, PA 19505</t>
  </si>
  <si>
    <t>1801 N 12TH ST Reading, PA 19604</t>
  </si>
  <si>
    <t>Peachtree Health Group LLC</t>
  </si>
  <si>
    <t>26900 Lewes Georgetown Hwy Harbeson, DE 19951</t>
  </si>
  <si>
    <t>SHIKELLAMY HIGH SCHOOL</t>
  </si>
  <si>
    <t>TOM MASANO AUTO GROUP</t>
  </si>
  <si>
    <t>46 Grace St Reading, PA 19611</t>
  </si>
  <si>
    <t>Susquehanna Printing Company</t>
  </si>
  <si>
    <t>1704 Hempstead Rd Lancaster, PA 17601</t>
  </si>
  <si>
    <t>Ciocca Audi Allentown</t>
  </si>
  <si>
    <t>4725 Hamilton Blvd Allentown, PA 18103</t>
  </si>
  <si>
    <t>CHAMBERSBURG HOSPITAL</t>
  </si>
  <si>
    <t>112 N 7th ST - DOCK 2 Chambersburg, PA 17201</t>
  </si>
  <si>
    <t>Facilities Garage</t>
  </si>
  <si>
    <t>260 Constitution Ave Gettysburg, PA 17325</t>
  </si>
  <si>
    <t>Aston</t>
  </si>
  <si>
    <t>100 Crozerville Rd Aston, PA 19014</t>
  </si>
  <si>
    <t>Marple</t>
  </si>
  <si>
    <t>85 N Malin Rd Broomall, PA 19008</t>
  </si>
  <si>
    <t>Folcroft</t>
  </si>
  <si>
    <t>701 Henderson Blvd N Folcroft, PA 19032</t>
  </si>
  <si>
    <t>MANHEIM TWP SCHOOL MAINTENANCE</t>
  </si>
  <si>
    <t>75 Valley Rd Lancaster, PA 17601</t>
  </si>
  <si>
    <t>Rossmoyne Elementary</t>
  </si>
  <si>
    <t>1225 Rossmoyne Rd Mechanicsburg, PA 17055</t>
  </si>
  <si>
    <t>AUDUBON JR-SR HIGH SCHOOL</t>
  </si>
  <si>
    <t>350 Edgewood Ave Audubon, NJ 08106</t>
  </si>
  <si>
    <t>BioSpectra</t>
  </si>
  <si>
    <t>LANC COUNTY BIBLE CLARKS SUMMI</t>
  </si>
  <si>
    <t>607 N Abington Rd Clarks Summit, PA 18411</t>
  </si>
  <si>
    <t>Caesars Atlantic City</t>
  </si>
  <si>
    <t>2100 Pacific Ave Atlantic City, NJ 08401</t>
  </si>
  <si>
    <t>MASONIC VILLAGES OF THE GRAND</t>
  </si>
  <si>
    <t>MASONIC VILLAGE LAFAYETTE VILL</t>
  </si>
  <si>
    <t>801 Ridge Pike Lafayette Hill, PA 19444</t>
  </si>
  <si>
    <t>Holmdel High School</t>
  </si>
  <si>
    <t>36 Crawfords Corner Rd Holmdel, NJ 07733</t>
  </si>
  <si>
    <t>William R Satz Middle School</t>
  </si>
  <si>
    <t>24 Crawfords Corner Rd Holmdel, NJ 07733</t>
  </si>
  <si>
    <t>Indian Hill School</t>
  </si>
  <si>
    <t>735 Holmdel Rd Holmdel, NJ 07733</t>
  </si>
  <si>
    <t>Village Elementary School</t>
  </si>
  <si>
    <t>67 McCampbell Rd Holmdel, NJ 07733</t>
  </si>
  <si>
    <t>Meadowview Nursing Home COA</t>
  </si>
  <si>
    <t>235 Dolphin Ave Northfield, NJ 08225</t>
  </si>
  <si>
    <t>Royal Suites Housekeeping Patr</t>
  </si>
  <si>
    <t>1507 Boardwalk Atlantic City, NJ 08401</t>
  </si>
  <si>
    <t>Reading-Fleming Intermediate S</t>
  </si>
  <si>
    <t>St Matthew's United Methodist</t>
  </si>
  <si>
    <t>600 Walker Rd Wayne, PA 19087</t>
  </si>
  <si>
    <t>Mold Base Industries</t>
  </si>
  <si>
    <t>7501 Derry Street Harrisburg, PA 17111</t>
  </si>
  <si>
    <t>CONESTOGA VALLEY NEW MIDDLE SC</t>
  </si>
  <si>
    <t>2114 Horseshoe Rd Lancaster, PA 17601</t>
  </si>
  <si>
    <t>Donegal-DPS Food Service</t>
  </si>
  <si>
    <t>Donegal-DHS Food Service</t>
  </si>
  <si>
    <t>Henry Company</t>
  </si>
  <si>
    <t>336 Cold Stream Rd Kimberton, PA 19442</t>
  </si>
  <si>
    <t>Crystal Run Elem</t>
  </si>
  <si>
    <t>1470 Aviator Way MIDDLETOWN, PA 19079</t>
  </si>
  <si>
    <t>Churchman's Medical Assoc. Con</t>
  </si>
  <si>
    <t>620 Churchmans Rd Newark, DE 19702</t>
  </si>
  <si>
    <t>1100 US Highway 130 Robbinsville, NJ 08691</t>
  </si>
  <si>
    <t>Black Doctors Consortium</t>
  </si>
  <si>
    <t>2001 W Lehigh Ave Philadelphia, PA 19132</t>
  </si>
  <si>
    <t>YMCA - Deer Path</t>
  </si>
  <si>
    <t>144 W Woodschurch Rd Flemington, NJ 08822</t>
  </si>
  <si>
    <t>Hughesville JR/SR High School</t>
  </si>
  <si>
    <t>349 Cemetery St Hughesville, PA 17737</t>
  </si>
  <si>
    <t>Askar Elementary School</t>
  </si>
  <si>
    <t>350 S Broad St Hughesville, PA 17737</t>
  </si>
  <si>
    <t>BYRON ENTERPRISES</t>
  </si>
  <si>
    <t>2125 W Norwegian St Pottsville, PA 17901</t>
  </si>
  <si>
    <t>ELITE SPORTSWEAR</t>
  </si>
  <si>
    <t>2525 N 12th St  # 9-12 Reading, PA 19605</t>
  </si>
  <si>
    <t>ECS Corporate Support Center</t>
  </si>
  <si>
    <t>110 Landings Dr Annville, PA 17003</t>
  </si>
  <si>
    <t>Zone</t>
  </si>
  <si>
    <t>Total Zones</t>
  </si>
  <si>
    <t xml:space="preserve">Total Zones with customers </t>
  </si>
  <si>
    <t>Total Zones with 5+</t>
  </si>
  <si>
    <t>Total Zones with 10+</t>
  </si>
  <si>
    <t>Ship To #</t>
  </si>
  <si>
    <t>Mean_Lat</t>
  </si>
  <si>
    <t>Mean_Lon</t>
  </si>
  <si>
    <t>Std_Lat</t>
  </si>
  <si>
    <t>Std_Lon</t>
  </si>
  <si>
    <t>Var_Lat</t>
  </si>
  <si>
    <t>Var_Lon</t>
  </si>
  <si>
    <t>Current Zone</t>
  </si>
  <si>
    <t>Optimal Zone</t>
  </si>
  <si>
    <t>BALLY RIBBON MILLS</t>
  </si>
  <si>
    <t>CHR CORPORATION#</t>
  </si>
  <si>
    <t>Elizabethtown College *V*</t>
  </si>
  <si>
    <t>FAIRFIELD AREA SCHOOL DISTRICT</t>
  </si>
  <si>
    <t>GARDEN SPOT VILLAGE APN</t>
  </si>
  <si>
    <t>LANC MENNONITE HIGH SCHOOL</t>
  </si>
  <si>
    <t>NORTHERN LEBANON SCHOOL DIST#</t>
  </si>
  <si>
    <t>NORTHERN YORK SCHOOL DIST</t>
  </si>
  <si>
    <t>PINE GROVE AREA SCHOOL</t>
  </si>
  <si>
    <t>READING BAKERY SYSTEMS#</t>
  </si>
  <si>
    <t>RED LION AREA SCHOOL DISTRICT#</t>
  </si>
  <si>
    <t>RUTTERS FARM STORE #10</t>
  </si>
  <si>
    <t>RUTTERS FARM STORE #14</t>
  </si>
  <si>
    <t>RUTTERS FARM STORE #17</t>
  </si>
  <si>
    <t>RUTTERS FARM STORE #24</t>
  </si>
  <si>
    <t>Rutters Farm Store # 47</t>
  </si>
  <si>
    <t>RUTTERS FARM STORE #52</t>
  </si>
  <si>
    <t>RUTTERS FARM STORE #53</t>
  </si>
  <si>
    <t>RUTTERS FARM STORE #60</t>
  </si>
  <si>
    <t>RUTTERS FARM STORES #1</t>
  </si>
  <si>
    <t>RUTTERS FARM STORES #12</t>
  </si>
  <si>
    <t>RUTTERS FARM STORES #15</t>
  </si>
  <si>
    <t>RUTTERS FARM STORES #18</t>
  </si>
  <si>
    <t>RUTTERS FARM STORES #2</t>
  </si>
  <si>
    <t>RUTTERS FARM STORES #21</t>
  </si>
  <si>
    <t>RUTTERS FARM STORES #22</t>
  </si>
  <si>
    <t>RUTTERS FARM STORES #25</t>
  </si>
  <si>
    <t>RUTTERS FARM STORES #26</t>
  </si>
  <si>
    <t>RUTTERS FARM STORES #28</t>
  </si>
  <si>
    <t>RUTTERS FARM STORES #30</t>
  </si>
  <si>
    <t>RUTTERS FARM STORES #32</t>
  </si>
  <si>
    <t>RUTTERS FARM STORES #35</t>
  </si>
  <si>
    <t>RUTTERS FARM STORES #38</t>
  </si>
  <si>
    <t>RUTTERS FARM STORES #39</t>
  </si>
  <si>
    <t>RUTTERS FARM STORES #42</t>
  </si>
  <si>
    <t>RUTTERS FARM STORES #43</t>
  </si>
  <si>
    <t>RUTTERS FARM STORES #46</t>
  </si>
  <si>
    <t>RUTTERS FARM STORES #48</t>
  </si>
  <si>
    <t>RUTTERS FARM STORES #51</t>
  </si>
  <si>
    <t>RUTTERS FARM STORES #54</t>
  </si>
  <si>
    <t>RUTTERS FARM STORES #57</t>
  </si>
  <si>
    <t>RUTTERS FARM STORES #58</t>
  </si>
  <si>
    <t>RUTTERS FARM STORES #7</t>
  </si>
  <si>
    <t>RUTTERS FARM STORES #74</t>
  </si>
  <si>
    <t>RUTTERS FARM STORES #78</t>
  </si>
  <si>
    <t>RUTTERS FARM STORES #8</t>
  </si>
  <si>
    <t>RUTTERS FARM STORES #9</t>
  </si>
  <si>
    <t>STEPHENSON EQUIPMENT#</t>
  </si>
  <si>
    <t>STEPS TO SUCCESS INC#</t>
  </si>
  <si>
    <t>THADDEUS STEVENS COLLEGE#</t>
  </si>
  <si>
    <t>RUTTERS FARM STORES #62</t>
  </si>
  <si>
    <t>Cornerstone Health &amp; Fitness</t>
  </si>
  <si>
    <t>Pennswood Village</t>
  </si>
  <si>
    <t>Central Receiving Department</t>
  </si>
  <si>
    <t>Central Montco Technical High</t>
  </si>
  <si>
    <t>Bucks County Intermediate Unit</t>
  </si>
  <si>
    <t>Cowtown Bawl Inc.</t>
  </si>
  <si>
    <t>St. Joseph St Robert School</t>
  </si>
  <si>
    <t>Bucks County Technical High Sc</t>
  </si>
  <si>
    <t>Penn Valley Elementary School</t>
  </si>
  <si>
    <t>Polytech High School</t>
  </si>
  <si>
    <t>RUTTERS FARM STORE #63</t>
  </si>
  <si>
    <t>Image Keepers Inc - CC</t>
  </si>
  <si>
    <t>RUTTERS FARM STORES #59</t>
  </si>
  <si>
    <t>Maurice River Township BOE</t>
  </si>
  <si>
    <t>RUTTERS FARM STORES #31</t>
  </si>
  <si>
    <t>St Andrews School of Delaware,</t>
  </si>
  <si>
    <t>Nationwide Janitorial Grp, LLC</t>
  </si>
  <si>
    <t>Gill St Bernards School</t>
  </si>
  <si>
    <t>Paul's Run Retirement Communit</t>
  </si>
  <si>
    <t>RUTTERS FARM STORES #11</t>
  </si>
  <si>
    <t>RUTTERS FARM STORES #3</t>
  </si>
  <si>
    <t>RUTTERS FARM STORES #27</t>
  </si>
  <si>
    <t>RUTTERS FARM STORES #65</t>
  </si>
  <si>
    <t>RUTTERS FARM STORES #6</t>
  </si>
  <si>
    <t>RUTTERS FARM STORES #4</t>
  </si>
  <si>
    <t>RUTTERS FARM STORE #45</t>
  </si>
  <si>
    <t>RUTTERS FARM STORES #66</t>
  </si>
  <si>
    <t>RUTTERS FARM STORE #5</t>
  </si>
  <si>
    <t>Premier CSI</t>
  </si>
  <si>
    <t>ST ANNES RETIREMENT HOUSEKEEPI</t>
  </si>
  <si>
    <t>CAMP CURTIN YMCA#</t>
  </si>
  <si>
    <t>Fairview Village Church</t>
  </si>
  <si>
    <t>HAMILTON HEALTH CENTER INC#</t>
  </si>
  <si>
    <t>RUTTERS FARM STORE #16</t>
  </si>
  <si>
    <t>Wildwood Convention Center</t>
  </si>
  <si>
    <t>Inline 309 Hockey</t>
  </si>
  <si>
    <t>RUTTERS FARM STORES #23</t>
  </si>
  <si>
    <t>RUTTERS FARM STORES #29</t>
  </si>
  <si>
    <t>RUTTERS FARM STORES #20</t>
  </si>
  <si>
    <t>Penn Oaks Golf Club</t>
  </si>
  <si>
    <t>Newark Charter Meece Campus</t>
  </si>
  <si>
    <t>The Gardens Operator LLC</t>
  </si>
  <si>
    <t>Holy Cross Regional Catholic S</t>
  </si>
  <si>
    <t>RUTTERS FARM STORES #36</t>
  </si>
  <si>
    <t>RUTTERS FARM STORE #34</t>
  </si>
  <si>
    <t>RED CABOOSE MOTEL#</t>
  </si>
  <si>
    <t>RUTTERS FARM STORE  #37</t>
  </si>
  <si>
    <t>RUTTERS FARM STORES #67</t>
  </si>
  <si>
    <t>RUTTERS FARM STORES #69</t>
  </si>
  <si>
    <t>RUTTERS FARM STORES #70</t>
  </si>
  <si>
    <t>RUTTERS FARM STORES #68</t>
  </si>
  <si>
    <t>Howell Township School Distric</t>
  </si>
  <si>
    <t>RUTTERS FARM STORES #72</t>
  </si>
  <si>
    <t>Maple Farm/Garden Spot</t>
  </si>
  <si>
    <t>RUTTERS FARM STORES #81</t>
  </si>
  <si>
    <t>RUTTERS FARM STORES #41</t>
  </si>
  <si>
    <t>RUTTERS FARM STORES #91</t>
  </si>
  <si>
    <t>GLANZMANN SUBARU INC</t>
  </si>
  <si>
    <t>COLUMBIA COTTAGE LINGLESTOWN</t>
  </si>
  <si>
    <t>RUTTERS FARM STORES #92</t>
  </si>
  <si>
    <t>SKH Duane Yoder LITITZ</t>
  </si>
  <si>
    <t>ASD - Receiving Department</t>
  </si>
  <si>
    <t>William Davies Middle School</t>
  </si>
  <si>
    <t>Warehouse - Great Valley S.D.</t>
  </si>
  <si>
    <t>Kennett Middle School</t>
  </si>
  <si>
    <t>Kimberly - Clark Chester Mill</t>
  </si>
  <si>
    <t>Lakeside Youth Services</t>
  </si>
  <si>
    <t>METHACTON SD FACILITIES BLDG</t>
  </si>
  <si>
    <t>Pennridge High School</t>
  </si>
  <si>
    <t>Pottstown Middle School</t>
  </si>
  <si>
    <t>Pottstown High School</t>
  </si>
  <si>
    <t>Timber Creek Regional High Sch</t>
  </si>
  <si>
    <t>Triton Regional High School</t>
  </si>
  <si>
    <t>West Chester University Wareho</t>
  </si>
  <si>
    <t>Women Against Abuse CP</t>
  </si>
  <si>
    <t>Robscott Associates LLC</t>
  </si>
  <si>
    <t>EASTERN LANC CTY SCHOOL DIST</t>
  </si>
  <si>
    <t>INTERMEDIATE SCHOOL</t>
  </si>
  <si>
    <t>CENTRAL YORK HIGH SCHOOL</t>
  </si>
  <si>
    <t>CORNWALL LEBANON SD - WAREHOUS</t>
  </si>
  <si>
    <t>GREENCASTLE HIGH SCHOOL</t>
  </si>
  <si>
    <t>CITY OF YORK - ROOSELVELT WHSE</t>
  </si>
  <si>
    <t>Lansdale Hospital</t>
  </si>
  <si>
    <t>Div. of Support Services</t>
  </si>
  <si>
    <t>Lewistown Elementary School</t>
  </si>
  <si>
    <t>JL CLARK MFG CO</t>
  </si>
  <si>
    <t>MANHEIM TWP HIGH SCHOOL</t>
  </si>
  <si>
    <t>Northern Lebanon Secondary Sch</t>
  </si>
  <si>
    <t>Lanc General Hospital 2</t>
  </si>
  <si>
    <t>COCALICO SERVICE CENTER</t>
  </si>
  <si>
    <t>CAN CORPORATION OF AMERICA</t>
  </si>
  <si>
    <t>Medford Memorial Middle School</t>
  </si>
  <si>
    <t>Maurice Everett Haines School</t>
  </si>
  <si>
    <t>Chairville Elementary School</t>
  </si>
  <si>
    <t>Seylar Elementary</t>
  </si>
  <si>
    <t>ENVIRONMENTAL - DOLLAR GENERAL</t>
  </si>
  <si>
    <t>Bobby's Run School 4-5</t>
  </si>
  <si>
    <t>Dover Air Force Base Hospital</t>
  </si>
  <si>
    <t>ADAMSTOWN ELEMENTARY</t>
  </si>
  <si>
    <t>Delaware Valley Residential Ca</t>
  </si>
  <si>
    <t>Central York School Food Servi</t>
  </si>
  <si>
    <t>Women Against Abuse AP</t>
  </si>
  <si>
    <t>YORK HOSPITAL RECEIVING DOCK</t>
  </si>
  <si>
    <t>Atilis Gym EHT</t>
  </si>
  <si>
    <t>SKH Mt Joy</t>
  </si>
  <si>
    <t>Galloway SD Operations Bldg</t>
  </si>
  <si>
    <t>Masonic Village Transportation</t>
  </si>
  <si>
    <t>ENVIRONMENTAL - Members 1st</t>
  </si>
  <si>
    <t>Extra Space Storage</t>
  </si>
  <si>
    <t>23 N 7th St Bally, PA 19503</t>
  </si>
  <si>
    <t>600 Rutherford Rd Harrisburg, PA 17109</t>
  </si>
  <si>
    <t>2295 N Susquehanna Trl Ste C York, PA 17404</t>
  </si>
  <si>
    <t>700 New School Ln DALLASTOWN, PA 17313</t>
  </si>
  <si>
    <t>365 Route 41 Gap, PA 17527</t>
  </si>
  <si>
    <t>649 E Lincoln Ave Myerstown, PA 17067</t>
  </si>
  <si>
    <t>2136 N 13th St Reading, PA 19604</t>
  </si>
  <si>
    <t>1 Alpha Dr ELIZABETHTOWN, PA 17022</t>
  </si>
  <si>
    <t>4840 Fairfield Rd Fairfield, PA 17320</t>
  </si>
  <si>
    <t>433 S Kinzer Ave New Holland, PA 17557</t>
  </si>
  <si>
    <t>2392 Mount Joy Rd Manheim, PA 17545</t>
  </si>
  <si>
    <t>2176 Lincoln Hwy E Lancaster, PA 17602</t>
  </si>
  <si>
    <t>345 SCHOOL DR Fredericksburg, PA 17026</t>
  </si>
  <si>
    <t>650 S Baltimore St Dillsburg, PA 17019</t>
  </si>
  <si>
    <t>103 School St Pine Grove, PA 17963</t>
  </si>
  <si>
    <t>380 Old W Penn Ave Robesonia, PA 19551</t>
  </si>
  <si>
    <t>696 Delta Rd Red Lion, PA 17356</t>
  </si>
  <si>
    <t>2115 BANNISTER ST York, PA 17404</t>
  </si>
  <si>
    <t>899 N US Route 15 Dillsburg, PA 17019</t>
  </si>
  <si>
    <t>2115 E Berlin Rd East Berlin, PA 17316</t>
  </si>
  <si>
    <t>2600 Delta Rd Brogue, PA 17309</t>
  </si>
  <si>
    <t>509 GREENBRIAR RD York, PA 17404</t>
  </si>
  <si>
    <t>1400 BALTIMORE ST Hanover, PA 17331</t>
  </si>
  <si>
    <t>2215 Old Trail Rd Etters, PA 17319</t>
  </si>
  <si>
    <t>4425 W Market St York, PA 17408</t>
  </si>
  <si>
    <t>1099 HAINES RD York, PA 17402</t>
  </si>
  <si>
    <t>1425 SEVEN VALLEYS RD York, PA 17407</t>
  </si>
  <si>
    <t>2125 N Susquehanna Trl York, PA 17404</t>
  </si>
  <si>
    <t>725 Arsenal Rd York, PA 17406</t>
  </si>
  <si>
    <t>249 N Main St Shrewsbury, PA 17361</t>
  </si>
  <si>
    <t>5 S Main St Manchester, PA 17345</t>
  </si>
  <si>
    <t>35 E Canal St Dover, PA 17315</t>
  </si>
  <si>
    <t>1520 PENNSYLVANIA AVE York, PA 17404</t>
  </si>
  <si>
    <t>615 S Main St Shrewsbury, PA 17361</t>
  </si>
  <si>
    <t>301 N Main St Red Lion, PA 17356</t>
  </si>
  <si>
    <t>2 S Broad St NEW FREEDOM, PA 17349</t>
  </si>
  <si>
    <t>463 W Main St DALLASTOWN, PA 17313</t>
  </si>
  <si>
    <t>1090 OLD TRAIL RD Etters, PA 17319</t>
  </si>
  <si>
    <t>700 W Market St Hallam, PA 17406</t>
  </si>
  <si>
    <t>179 W Main St Windsor, PA 17366</t>
  </si>
  <si>
    <t>3 Charles Ave Stewartstown, PA 17363</t>
  </si>
  <si>
    <t>1590 KENNETH RD York, PA 17408</t>
  </si>
  <si>
    <t>99 Abbottstown St East Berlin, PA 17316</t>
  </si>
  <si>
    <t>5 Winterstown Rd Red Lion, PA 17356</t>
  </si>
  <si>
    <t>35 N Main St Jacobus, PA 17407</t>
  </si>
  <si>
    <t>5305 N SUSQUEHANNA TRL York, PA 17406</t>
  </si>
  <si>
    <t>1450 MOUNT ZION RD York, PA 17402</t>
  </si>
  <si>
    <t>7680 LINCOLN HWY Abbottstown, PA 17301</t>
  </si>
  <si>
    <t>2251 N George St York, PA 17406</t>
  </si>
  <si>
    <t>4030 Lincoln Way E Fayetteville, PA 17222</t>
  </si>
  <si>
    <t>7438 Anthony Hwy Waynesboro, PA 17268</t>
  </si>
  <si>
    <t>129 LEADERS HEIGHTS RD York, PA 17403</t>
  </si>
  <si>
    <t>791 Delta Rd Red Lion, PA 17356</t>
  </si>
  <si>
    <t>7201 Paxton St Harrisburg, PA 17111</t>
  </si>
  <si>
    <t>18 Quarry Rd Leola, PA 17540</t>
  </si>
  <si>
    <t>750 E King St Lancaster, PA 17602</t>
  </si>
  <si>
    <t>910 S RICHLAND AVE York, PA 17403</t>
  </si>
  <si>
    <t>740 Edison Furlong Rd Furlong, PA 18925</t>
  </si>
  <si>
    <t>2500 Lower State Rd Doylestown, PA 18901</t>
  </si>
  <si>
    <t>322 W Bridge St New Hope, PA 18938</t>
  </si>
  <si>
    <t>1382 Newtown Langhorne Rd Newtown, PA 18940</t>
  </si>
  <si>
    <t>2001 Old Lincoln Hwy Langhorne, PA 19047</t>
  </si>
  <si>
    <t>821 PLYMOUTH RD PLYMOUTH MEETING, PA 19462</t>
  </si>
  <si>
    <t>266 N Broad St Doylestown, PA 18901</t>
  </si>
  <si>
    <t>780 Route 40 Pilesgrove, NJ 08098</t>
  </si>
  <si>
    <t>850 Euclid Ave Warrington, PA 18976</t>
  </si>
  <si>
    <t>610 Wistar Rd Fairless Hills, PA 19030</t>
  </si>
  <si>
    <t>180 Northturn Ln Levittown, PA 19054</t>
  </si>
  <si>
    <t>1824 Dr Dennis Foreman Dr Mays Landing, NJ 08330</t>
  </si>
  <si>
    <t>3 Iron Bridge Dr Collegeville, PA 19426</t>
  </si>
  <si>
    <t>823 Walnut Shade Road Woodside, DE 19980</t>
  </si>
  <si>
    <t>141 S POTOMAC ST Waynesboro, PA 17268</t>
  </si>
  <si>
    <t>146 N Ronks Rd Ronks, PA 17572</t>
  </si>
  <si>
    <t>69 W MAIN ST Fawn Grove, PA 17321</t>
  </si>
  <si>
    <t>3593 Route 47 Port Elizabeth, NJ 08348</t>
  </si>
  <si>
    <t>1 Airport Rd Shippensburg, PA 17257</t>
  </si>
  <si>
    <t>350 Noxontown Rd MIDDLETOWN, DE 19709</t>
  </si>
  <si>
    <t>1032 Hickory Ridge Dr Chalfont, PA 18914</t>
  </si>
  <si>
    <t>25 St Bernards Rd Gladstone, NJ 07934</t>
  </si>
  <si>
    <t>9896 Bustleton Ave Philadelphia, PA 19115</t>
  </si>
  <si>
    <t>160 N HILLS RD York, PA 17402</t>
  </si>
  <si>
    <t>2490 CAPE HORN RD York, PA 17402</t>
  </si>
  <si>
    <t>8210 DERRY ST Hummelstown, PA 17036</t>
  </si>
  <si>
    <t>1391 S MAIN ST Chambersburg, PA 17201</t>
  </si>
  <si>
    <t>1009 YORK ST Hanover, PA 17331</t>
  </si>
  <si>
    <t>201 COOL SPRINGS RD Wrightsville, PA 17368</t>
  </si>
  <si>
    <t>415 Harrisburg Ave Lancaster, PA 17603</t>
  </si>
  <si>
    <t>14 W PENNSYLVANIA AVE Stewartstown, PA 17363</t>
  </si>
  <si>
    <t>1455 YORK RD Carlisle, PA 17015</t>
  </si>
  <si>
    <t>6837 LINCOLN WAY E Fayetteville, PA 17222</t>
  </si>
  <si>
    <t>501 Washington Ln Ste 202 Jenkintown, PA 19046</t>
  </si>
  <si>
    <t>3952 Columbia Ave Columbia, PA 17512</t>
  </si>
  <si>
    <t>2135 N 6th St Harrisburg, PA 17110</t>
  </si>
  <si>
    <t>3044 W Germantown Pike Eagleville, PA 19403</t>
  </si>
  <si>
    <t>110 S 17th St Harrisburg, PA 17104</t>
  </si>
  <si>
    <t>362 N MAIN ST York, PA 17403</t>
  </si>
  <si>
    <t>4501 Boardwalk Wildwood, NJ 08260</t>
  </si>
  <si>
    <t>2117 Bethlehem Pike Hatfield, PA 19440</t>
  </si>
  <si>
    <t>3849 HEMPLAND RD Mountville, PA 17554</t>
  </si>
  <si>
    <t>714 W MAIN ST Mechanicsburg, PA 17055</t>
  </si>
  <si>
    <t>2800 VINE ST MIDDLETOWN, PA 17057</t>
  </si>
  <si>
    <t>150 Penn Oaks Dr West Chester, PA 19382</t>
  </si>
  <si>
    <t>2001 Patriot Way Newark, DE 19711</t>
  </si>
  <si>
    <t>849 Big Oak Rd Pittsgrove, NJ 08318</t>
  </si>
  <si>
    <t>701 Locust St Collegeville, PA 19426</t>
  </si>
  <si>
    <t>3050 HEIDLERSBURG RD York Springs, PA 17372</t>
  </si>
  <si>
    <t>370 W MAIN ST Leola, PA 17540</t>
  </si>
  <si>
    <t>312 Paradise Ln Ronks, PA 17572</t>
  </si>
  <si>
    <t>27335 Route 75 N Mifflintown, PA 17059</t>
  </si>
  <si>
    <t>378 N MAIN ST Mercersburg, PA 17236</t>
  </si>
  <si>
    <t>100 GRAND ST Hamburg, PA 19526</t>
  </si>
  <si>
    <t>405 HISTORIC DR Strasburg, PA 17579</t>
  </si>
  <si>
    <t>798 W MAIN ST Annville, PA 17003</t>
  </si>
  <si>
    <t>67 Windeler Rd Howell, NJ 07731</t>
  </si>
  <si>
    <t>4498 LINCOLN WAY W Saint Thomas, PA 17252</t>
  </si>
  <si>
    <t>604 Oak St AKRON, PA 17501</t>
  </si>
  <si>
    <t>15 NEW ENTERPRISE DR Leesport, PA 19533</t>
  </si>
  <si>
    <t>1621 W CUMBERLAND ST Lebanon, PA 17042</t>
  </si>
  <si>
    <t>5267 LINCOLN HWY Gap, PA 17527</t>
  </si>
  <si>
    <t>1001 S York Rd Hatboro, PA 19040</t>
  </si>
  <si>
    <t>1000 Alexandra Ln Harrisburg, PA 17110</t>
  </si>
  <si>
    <t>15475 KUTZTOWN RD Kutztown, PA 19530</t>
  </si>
  <si>
    <t>581 Freemason Dr ELIZABETHTOWN, PA 17022</t>
  </si>
  <si>
    <t>1050 Lititz Pike Lititz, PA 17543</t>
  </si>
  <si>
    <t>1876 Dr Dennis Foreman Dr Mays Landing, NJ 08330</t>
  </si>
  <si>
    <t>400 Pennington Ave Trenton, NJ 08618</t>
  </si>
  <si>
    <t>7 N Bacton Hill Rd Frazer, PA 19355</t>
  </si>
  <si>
    <t>195 Sunny Dell Rd Landenberg, PA 19350</t>
  </si>
  <si>
    <t>1 Avenue of the States Chester, PA 19013</t>
  </si>
  <si>
    <t>111 Chestnut Ln North Wales, PA 19454</t>
  </si>
  <si>
    <t>4001-C Eagleville Rd Eagleville, PA 19403</t>
  </si>
  <si>
    <t>1228 N 5th St Perkasie, PA 18944</t>
  </si>
  <si>
    <t>600 N Franklin St Pottstown, PA 19464</t>
  </si>
  <si>
    <t>750 N Washington St Pottstown, PA 19464</t>
  </si>
  <si>
    <t>501 Jarvis Rd Erial, NJ 08081</t>
  </si>
  <si>
    <t>250 Schubert Ave Runnemede, NJ 08078</t>
  </si>
  <si>
    <t>821 S Matlack St West Chester, PA 19382</t>
  </si>
  <si>
    <t>5301 Germantown Ave Philadelphia, PA 19144</t>
  </si>
  <si>
    <t>153 E Chestnut Hill Rd Newark, DE 19713</t>
  </si>
  <si>
    <t>154 Eastern School Rd New Holland, PA 17557</t>
  </si>
  <si>
    <t>601 Mundis Mill Rd York, PA 17406</t>
  </si>
  <si>
    <t>2021 State Dr Lebanon, PA 17042</t>
  </si>
  <si>
    <t>300 S Ridge Ave Greencastle, PA 17225</t>
  </si>
  <si>
    <t>200 N Albemarle St York, PA 17403</t>
  </si>
  <si>
    <t>100 Medical Campus Dr Lansdale, PA 19446</t>
  </si>
  <si>
    <t>201 Shore Rd Northfield, NJ 08225</t>
  </si>
  <si>
    <t>1 Manor Dr Lewistown, PA 17044</t>
  </si>
  <si>
    <t>303 N Plum St Lancaster, PA 17602</t>
  </si>
  <si>
    <t>115 Blue Streak blvd Lancaster, PA 17601</t>
  </si>
  <si>
    <t>555 N Duke St Lancaster, PA 17602</t>
  </si>
  <si>
    <t>820 S 4th St Denver, PA 17517</t>
  </si>
  <si>
    <t>28 Branin Rd Medford, NJ 08055</t>
  </si>
  <si>
    <t>240 Gibraltar Rd Horsham, PA 19044</t>
  </si>
  <si>
    <t>326 June Ave Blandon, PA 19510</t>
  </si>
  <si>
    <t>55 Mill St Medford, NJ 08055</t>
  </si>
  <si>
    <t>162 Stokes Rd Medford, NJ 08055</t>
  </si>
  <si>
    <t>36 Chairville Rd Medford, NJ 08055</t>
  </si>
  <si>
    <t>820 Callowhill Rd Perkasie, PA 18944</t>
  </si>
  <si>
    <t>30 Martha Dr BETHEL, PA 19507</t>
  </si>
  <si>
    <t>32 Dimsdale Dr Lumberton, NJ 08048</t>
  </si>
  <si>
    <t>300 Tuskegee Blvd Apt Ste300 Dover, DE 19902</t>
  </si>
  <si>
    <t>256 W Main St Adamstown, PA 19501</t>
  </si>
  <si>
    <t>280 Jacksonville Rd Warminster, PA 18974</t>
  </si>
  <si>
    <t>5250 N 13th St Philadelphia, PA 19141</t>
  </si>
  <si>
    <t>1001 S George St York, PA 17403</t>
  </si>
  <si>
    <t>323 S Pitney Rd Galloway, NJ 08205</t>
  </si>
  <si>
    <t>945 E Main St Mount Joy, PA 17552</t>
  </si>
  <si>
    <t>99 S. Reed Rd Absecon, NJ 08205</t>
  </si>
  <si>
    <t>75 Village Green Dr ELIZABETHTOWN, PA 17022</t>
  </si>
  <si>
    <t>5000 Marketplace Way Enola, PA 17025</t>
  </si>
  <si>
    <t>1008 Greenhill Rd West Chester, PA 19380</t>
  </si>
  <si>
    <t>Review</t>
  </si>
  <si>
    <t>No Change</t>
  </si>
  <si>
    <t>REVIEW NEEDED</t>
  </si>
  <si>
    <t>Review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</si>
</sst>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0" borderId="0" xfId="0" applyFill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2055495</xdr:colOff>
          <xdr:row>0</xdr:row>
          <xdr:rowOff>150000</xdr:rowOff>
        </xdr:from>
        <xdr:to>
          <xdr:col>2</xdr:col>
          <xdr:colOff>1964474</xdr:colOff>
          <xdr:row>2</xdr:row>
          <xdr:rowOff>163829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Means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2080259</xdr:colOff>
          <xdr:row>0</xdr:row>
          <xdr:rowOff>131444</xdr:rowOff>
        </xdr:from>
        <xdr:to>
          <xdr:col>3</xdr:col>
          <xdr:colOff>573405</xdr:colOff>
          <xdr:row>2</xdr:row>
          <xdr:rowOff>150494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Std Dev and Var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</xdr:colOff>
          <xdr:row>0</xdr:row>
          <xdr:rowOff>136418</xdr:rowOff>
        </xdr:from>
        <xdr:to>
          <xdr:col>1</xdr:col>
          <xdr:colOff>1864728</xdr:colOff>
          <xdr:row>2</xdr:row>
          <xdr:rowOff>173355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Extract Zones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177165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114300</xdr:rowOff>
        </xdr:from>
        <xdr:to>
          <xdr:col>1</xdr:col>
          <xdr:colOff>121920</xdr:colOff>
          <xdr:row>2</xdr:row>
          <xdr:rowOff>106680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121920</xdr:rowOff>
        </xdr:from>
        <xdr:to>
          <xdr:col>1</xdr:col>
          <xdr:colOff>2011680</xdr:colOff>
          <xdr:row>2</xdr:row>
          <xdr:rowOff>99060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Optimal Zone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hillyard-my.sharepoint.com/personal/mpointek_hillyard_com/Documents/Desktop/Routing%20Analysis/Routing%20Analysis_vba.xlsm" TargetMode="External"/><Relationship Id="rId1" Type="http://schemas.openxmlformats.org/officeDocument/2006/relationships/externalLinkPath" Target="Routing%20Analysis_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ivot - Average"/>
      <sheetName val="Pivot - Zones by Orders"/>
      <sheetName val="Route Information"/>
      <sheetName val="API"/>
      <sheetName val="Export"/>
      <sheetName val="Lookup"/>
      <sheetName val="Z Score by Cluster"/>
      <sheetName val="Zone Finder"/>
      <sheetName val="1430001"/>
      <sheetName val="1430002"/>
      <sheetName val="1430003"/>
      <sheetName val="1430004"/>
      <sheetName val="1430005"/>
      <sheetName val="1430006"/>
      <sheetName val="1430007"/>
      <sheetName val="1430008"/>
      <sheetName val="1430009"/>
      <sheetName val="1430010"/>
      <sheetName val="1430011"/>
      <sheetName val="1430012"/>
      <sheetName val="1430013"/>
      <sheetName val="1430014"/>
      <sheetName val="1430015"/>
      <sheetName val="1430016"/>
      <sheetName val="1430017"/>
      <sheetName val="1430018"/>
      <sheetName val="1430019"/>
      <sheetName val="1430020"/>
      <sheetName val="1430021"/>
      <sheetName val="1430022"/>
      <sheetName val="1430023"/>
      <sheetName val="1430024"/>
      <sheetName val="1430025"/>
      <sheetName val="1430026"/>
      <sheetName val="1430027"/>
      <sheetName val="1430028"/>
      <sheetName val="1430029"/>
      <sheetName val="1430030"/>
      <sheetName val="1430031"/>
      <sheetName val="1430032"/>
      <sheetName val="1430033"/>
      <sheetName val="1430034"/>
      <sheetName val="1430035"/>
      <sheetName val="1430036"/>
      <sheetName val="1430037"/>
      <sheetName val="1430038"/>
      <sheetName val="1430039"/>
      <sheetName val="1430040"/>
      <sheetName val="1430041"/>
      <sheetName val="1430044"/>
      <sheetName val="1430045"/>
      <sheetName val="1430046"/>
      <sheetName val="1430047"/>
      <sheetName val="1430048"/>
      <sheetName val="1430999"/>
      <sheetName val="1431999"/>
    </sheetNames>
    <sheetDataSet>
      <sheetData sheetId="0"/>
      <sheetData sheetId="1"/>
      <sheetData sheetId="2"/>
      <sheetData sheetId="3"/>
      <sheetData sheetId="4">
        <row r="2">
          <cell r="G2">
            <v>416047</v>
          </cell>
          <cell r="H2" t="str">
            <v>EAST PENN - CENTRAL</v>
          </cell>
          <cell r="I2" t="str">
            <v>Lyon Station</v>
          </cell>
          <cell r="K2" t="str">
            <v>102 Deka Rd</v>
          </cell>
          <cell r="L2" t="str">
            <v>PA</v>
          </cell>
          <cell r="M2">
            <v>19536</v>
          </cell>
          <cell r="N2" t="str">
            <v>102 Deka Rd Lyon Station, PA 19536</v>
          </cell>
        </row>
        <row r="3">
          <cell r="G3">
            <v>243124</v>
          </cell>
          <cell r="H3" t="str">
            <v>Central Bucks School District</v>
          </cell>
          <cell r="I3" t="str">
            <v>Doylestown</v>
          </cell>
          <cell r="J3" t="str">
            <v>Philly Suburbs - North</v>
          </cell>
          <cell r="K3" t="str">
            <v>320 W Swamp Rd</v>
          </cell>
          <cell r="L3" t="str">
            <v>PA</v>
          </cell>
          <cell r="M3">
            <v>18901</v>
          </cell>
          <cell r="N3" t="str">
            <v>320 W Swamp Rd Doylestown, PA 18901</v>
          </cell>
        </row>
        <row r="4">
          <cell r="G4">
            <v>433106</v>
          </cell>
          <cell r="H4" t="str">
            <v>CENTRAL YORK HIGH SCHOOL</v>
          </cell>
          <cell r="I4" t="str">
            <v>York</v>
          </cell>
          <cell r="K4" t="str">
            <v>601 Mundis Mill Rd</v>
          </cell>
          <cell r="L4" t="str">
            <v>PA</v>
          </cell>
          <cell r="M4">
            <v>17406</v>
          </cell>
          <cell r="N4" t="str">
            <v>601 Mundis Mill Rd York, PA 17406</v>
          </cell>
        </row>
        <row r="5">
          <cell r="G5">
            <v>435642</v>
          </cell>
          <cell r="H5" t="str">
            <v>CITY OF YORK - ROOSELVELT WHSE</v>
          </cell>
          <cell r="I5" t="str">
            <v>York</v>
          </cell>
          <cell r="K5" t="str">
            <v>200 N Albemarle St</v>
          </cell>
          <cell r="L5" t="str">
            <v>PA</v>
          </cell>
          <cell r="M5">
            <v>17403</v>
          </cell>
          <cell r="N5" t="str">
            <v>200 N Albemarle St York, PA 17403</v>
          </cell>
        </row>
        <row r="6">
          <cell r="G6">
            <v>244072</v>
          </cell>
          <cell r="H6" t="str">
            <v>North Eastern Hardwood Floors</v>
          </cell>
          <cell r="I6" t="str">
            <v>West Berlin</v>
          </cell>
          <cell r="J6" t="str">
            <v>Cherry Hill</v>
          </cell>
          <cell r="K6" t="str">
            <v>447 Commerce Ln Ste A</v>
          </cell>
          <cell r="L6" t="str">
            <v>NJ</v>
          </cell>
          <cell r="M6">
            <v>8091</v>
          </cell>
          <cell r="N6" t="str">
            <v>447 Commerce Ln Ste A West Berlin, NJ 08091</v>
          </cell>
        </row>
        <row r="7">
          <cell r="G7">
            <v>480380</v>
          </cell>
          <cell r="H7" t="str">
            <v>Caesars Atlantic City</v>
          </cell>
          <cell r="I7" t="str">
            <v>Atlantic City</v>
          </cell>
          <cell r="J7" t="str">
            <v>Atlantic City</v>
          </cell>
          <cell r="K7" t="str">
            <v>2100 Pacific Ave</v>
          </cell>
          <cell r="L7" t="str">
            <v>NJ</v>
          </cell>
          <cell r="M7">
            <v>8401</v>
          </cell>
          <cell r="N7" t="str">
            <v>2100 Pacific Ave Atlantic City, NJ 08401</v>
          </cell>
        </row>
        <row r="8">
          <cell r="G8">
            <v>332037</v>
          </cell>
          <cell r="H8" t="str">
            <v>Kingsway Regional School Distr</v>
          </cell>
          <cell r="I8" t="str">
            <v>Woolwich Township</v>
          </cell>
          <cell r="K8" t="str">
            <v>213 Kings Hwy</v>
          </cell>
          <cell r="L8" t="str">
            <v>NJ</v>
          </cell>
          <cell r="M8">
            <v>8085</v>
          </cell>
          <cell r="N8" t="str">
            <v>213 Kings Hwy Woolwich Township, NJ 08085</v>
          </cell>
        </row>
        <row r="9">
          <cell r="G9">
            <v>416113</v>
          </cell>
          <cell r="H9" t="str">
            <v>ASD - Receiving Department</v>
          </cell>
          <cell r="I9" t="str">
            <v>Abington</v>
          </cell>
          <cell r="J9" t="str">
            <v>Philly Suburbs - Lower</v>
          </cell>
          <cell r="K9" t="str">
            <v>900 Highland Ave</v>
          </cell>
          <cell r="L9" t="str">
            <v>PA</v>
          </cell>
          <cell r="M9">
            <v>19001</v>
          </cell>
          <cell r="N9" t="str">
            <v>900 Highland Ave Abington, PA 19001</v>
          </cell>
        </row>
        <row r="10">
          <cell r="G10">
            <v>419003</v>
          </cell>
          <cell r="H10" t="str">
            <v>West Chester University Wareho</v>
          </cell>
          <cell r="I10" t="str">
            <v>West Chester</v>
          </cell>
          <cell r="K10" t="str">
            <v>821 S Matlack St</v>
          </cell>
          <cell r="L10" t="str">
            <v>PA</v>
          </cell>
          <cell r="M10">
            <v>19382</v>
          </cell>
          <cell r="N10" t="str">
            <v>821 S Matlack St West Chester, PA 19382</v>
          </cell>
        </row>
        <row r="11">
          <cell r="G11">
            <v>418076</v>
          </cell>
          <cell r="H11" t="str">
            <v>METHACTON SD FACILITIES BLDG</v>
          </cell>
          <cell r="I11" t="str">
            <v>Eagleville</v>
          </cell>
          <cell r="K11" t="str">
            <v>4001-C Eagleville Rd</v>
          </cell>
          <cell r="L11" t="str">
            <v>PA</v>
          </cell>
          <cell r="M11">
            <v>19403</v>
          </cell>
          <cell r="N11" t="str">
            <v>4001-C Eagleville Rd Eagleville, PA 19403</v>
          </cell>
        </row>
        <row r="12">
          <cell r="G12">
            <v>418156</v>
          </cell>
          <cell r="H12" t="str">
            <v>Central Receiving Department</v>
          </cell>
          <cell r="I12" t="str">
            <v>Langhorne</v>
          </cell>
          <cell r="K12" t="str">
            <v>2001 Old Lincoln Hwy</v>
          </cell>
          <cell r="L12" t="str">
            <v>PA</v>
          </cell>
          <cell r="M12">
            <v>19047</v>
          </cell>
          <cell r="N12" t="str">
            <v>2001 Old Lincoln Hwy Langhorne, PA 19047</v>
          </cell>
        </row>
        <row r="13">
          <cell r="G13">
            <v>417399</v>
          </cell>
          <cell r="H13" t="str">
            <v>Warehouse - Great Valley S.D.</v>
          </cell>
          <cell r="I13" t="str">
            <v>Frazer</v>
          </cell>
          <cell r="K13" t="str">
            <v>7 N Bacton Hill Rd</v>
          </cell>
          <cell r="L13" t="str">
            <v>PA</v>
          </cell>
          <cell r="M13">
            <v>19355</v>
          </cell>
          <cell r="N13" t="str">
            <v>7 N Bacton Hill Rd Frazer, PA 19355</v>
          </cell>
        </row>
        <row r="14">
          <cell r="G14">
            <v>316969</v>
          </cell>
          <cell r="H14" t="str">
            <v>Howell Township School Distric</v>
          </cell>
          <cell r="I14" t="str">
            <v>Howell</v>
          </cell>
          <cell r="J14" t="str">
            <v>Trenton - East Shore</v>
          </cell>
          <cell r="K14" t="str">
            <v>67 Windeler Rd</v>
          </cell>
          <cell r="L14" t="str">
            <v>NJ</v>
          </cell>
          <cell r="M14">
            <v>7731</v>
          </cell>
          <cell r="N14" t="str">
            <v>67 Windeler Rd Howell, NJ 07731</v>
          </cell>
        </row>
        <row r="15">
          <cell r="G15">
            <v>239854</v>
          </cell>
          <cell r="H15" t="str">
            <v>DONEGAL SCHOOL DISTRICT#</v>
          </cell>
          <cell r="I15" t="str">
            <v>Mount Joy</v>
          </cell>
          <cell r="K15" t="str">
            <v>1051 KOSER RD</v>
          </cell>
          <cell r="L15" t="str">
            <v>PA</v>
          </cell>
          <cell r="M15">
            <v>17552</v>
          </cell>
          <cell r="N15" t="str">
            <v>1051 KOSER RD Mount Joy, PA 17552</v>
          </cell>
        </row>
        <row r="16">
          <cell r="G16">
            <v>428193</v>
          </cell>
          <cell r="H16" t="str">
            <v>EASTERN LANC CTY SCHOOL DIST</v>
          </cell>
          <cell r="I16" t="str">
            <v>New Holland</v>
          </cell>
          <cell r="K16" t="str">
            <v>154 Eastern School Rd</v>
          </cell>
          <cell r="L16" t="str">
            <v>PA</v>
          </cell>
          <cell r="M16">
            <v>17557</v>
          </cell>
          <cell r="N16" t="str">
            <v>154 Eastern School Rd New Holland, PA 17557</v>
          </cell>
        </row>
        <row r="17">
          <cell r="G17">
            <v>239970</v>
          </cell>
          <cell r="H17" t="str">
            <v>Elizabethtown College *V*</v>
          </cell>
          <cell r="I17" t="str">
            <v>ELIZABETHTOWN</v>
          </cell>
          <cell r="K17" t="str">
            <v>1 Alpha Dr</v>
          </cell>
          <cell r="L17" t="str">
            <v>PA</v>
          </cell>
          <cell r="M17">
            <v>17022</v>
          </cell>
          <cell r="N17" t="str">
            <v>1 Alpha Dr ELIZABETHTOWN, PA 17022</v>
          </cell>
        </row>
        <row r="18">
          <cell r="G18">
            <v>434902</v>
          </cell>
          <cell r="H18" t="str">
            <v>GREENCASTLE HIGH SCHOOL</v>
          </cell>
          <cell r="I18" t="str">
            <v>Greencastle</v>
          </cell>
          <cell r="K18" t="str">
            <v>300 S Ridge Ave</v>
          </cell>
          <cell r="L18" t="str">
            <v>PA</v>
          </cell>
          <cell r="M18">
            <v>17225</v>
          </cell>
          <cell r="N18" t="str">
            <v>300 S Ridge Ave Greencastle, PA 17225</v>
          </cell>
        </row>
        <row r="19">
          <cell r="G19">
            <v>240729</v>
          </cell>
          <cell r="H19" t="str">
            <v>LANC CTY CAREER TECHNOLOG#</v>
          </cell>
          <cell r="I19" t="str">
            <v>Willow Street</v>
          </cell>
          <cell r="K19" t="str">
            <v>1730 Hans Herr Dr</v>
          </cell>
          <cell r="L19" t="str">
            <v>PA</v>
          </cell>
          <cell r="M19">
            <v>17584</v>
          </cell>
          <cell r="N19" t="str">
            <v>1730 Hans Herr Dr Willow Street, PA 17584</v>
          </cell>
        </row>
        <row r="20">
          <cell r="G20">
            <v>415635</v>
          </cell>
          <cell r="H20" t="str">
            <v>NORTHWEST SCHOOL STORAGE</v>
          </cell>
          <cell r="I20" t="str">
            <v>Lebanon</v>
          </cell>
          <cell r="K20" t="str">
            <v>1315 Old Forge Rd</v>
          </cell>
          <cell r="L20" t="str">
            <v>PA</v>
          </cell>
          <cell r="M20">
            <v>17046</v>
          </cell>
          <cell r="N20" t="str">
            <v>1315 Old Forge Rd Lebanon, PA 17046</v>
          </cell>
        </row>
        <row r="21">
          <cell r="G21">
            <v>418444</v>
          </cell>
          <cell r="H21" t="str">
            <v>Radnor High School - Maint. Sh</v>
          </cell>
          <cell r="I21" t="str">
            <v>Radnor</v>
          </cell>
          <cell r="K21" t="str">
            <v>130 King of Prussia Rd</v>
          </cell>
          <cell r="L21" t="str">
            <v>PA</v>
          </cell>
          <cell r="M21">
            <v>19087</v>
          </cell>
          <cell r="N21" t="str">
            <v>130 King of Prussia Rd Radnor, PA 19087</v>
          </cell>
        </row>
        <row r="22">
          <cell r="G22">
            <v>242183</v>
          </cell>
          <cell r="H22" t="str">
            <v>TURKEY HILL DAIRY WK#-Plant</v>
          </cell>
          <cell r="I22" t="str">
            <v>Conestoga</v>
          </cell>
          <cell r="K22" t="str">
            <v>2601 River Rd</v>
          </cell>
          <cell r="L22" t="str">
            <v>PA</v>
          </cell>
          <cell r="M22">
            <v>17516</v>
          </cell>
          <cell r="N22" t="str">
            <v>2601 River Rd Conestoga, PA 17516</v>
          </cell>
        </row>
        <row r="23">
          <cell r="G23">
            <v>241278</v>
          </cell>
          <cell r="H23" t="str">
            <v>NORTHERN YORK SCHOOL DIST</v>
          </cell>
          <cell r="I23" t="str">
            <v>Dillsburg</v>
          </cell>
          <cell r="K23" t="str">
            <v>650 S Baltimore St</v>
          </cell>
          <cell r="L23" t="str">
            <v>PA</v>
          </cell>
          <cell r="M23">
            <v>17019</v>
          </cell>
          <cell r="N23" t="str">
            <v>650 S Baltimore St Dillsburg, PA 17019</v>
          </cell>
        </row>
        <row r="24">
          <cell r="G24">
            <v>241552</v>
          </cell>
          <cell r="H24" t="str">
            <v>RED LION AREA SCHOOL DISTRICT#</v>
          </cell>
          <cell r="I24" t="str">
            <v>Red Lion</v>
          </cell>
          <cell r="K24" t="str">
            <v>696 Delta Rd</v>
          </cell>
          <cell r="L24" t="str">
            <v>PA</v>
          </cell>
          <cell r="M24">
            <v>17356</v>
          </cell>
          <cell r="N24" t="str">
            <v>696 Delta Rd Red Lion, PA 17356</v>
          </cell>
        </row>
        <row r="25">
          <cell r="G25">
            <v>418384</v>
          </cell>
          <cell r="H25" t="str">
            <v>Pleasantville High School</v>
          </cell>
          <cell r="I25" t="str">
            <v>Pleasantville</v>
          </cell>
          <cell r="K25" t="str">
            <v>701 Mill Rd</v>
          </cell>
          <cell r="L25" t="str">
            <v>NJ</v>
          </cell>
          <cell r="M25">
            <v>8232</v>
          </cell>
          <cell r="N25" t="str">
            <v>701 Mill Rd Pleasantville, NJ 08232</v>
          </cell>
        </row>
        <row r="26">
          <cell r="G26">
            <v>438125</v>
          </cell>
          <cell r="H26" t="str">
            <v>WILSON SCHOOL RECEIVING DEPT</v>
          </cell>
          <cell r="I26" t="str">
            <v>Sinking Spring</v>
          </cell>
          <cell r="K26" t="str">
            <v>4 Cloister Ct</v>
          </cell>
          <cell r="L26" t="str">
            <v>PA</v>
          </cell>
          <cell r="M26">
            <v>19608</v>
          </cell>
          <cell r="N26" t="str">
            <v>4 Cloister Ct Sinking Spring, PA 19608</v>
          </cell>
        </row>
        <row r="27">
          <cell r="G27">
            <v>438555</v>
          </cell>
          <cell r="H27" t="str">
            <v>WEST SHORE SCHOOL DISTRICT</v>
          </cell>
          <cell r="I27" t="str">
            <v>Lewisberry</v>
          </cell>
          <cell r="K27" t="str">
            <v>507 Fishing Creek Rd</v>
          </cell>
          <cell r="L27" t="str">
            <v>PA</v>
          </cell>
          <cell r="M27">
            <v>17339</v>
          </cell>
          <cell r="N27" t="str">
            <v>507 Fishing Creek Rd Lewisberry, PA 17339</v>
          </cell>
        </row>
        <row r="28">
          <cell r="G28">
            <v>418317</v>
          </cell>
          <cell r="H28" t="str">
            <v>Pennridge High School</v>
          </cell>
          <cell r="I28" t="str">
            <v>Perkasie</v>
          </cell>
          <cell r="K28" t="str">
            <v>1228 N 5th St</v>
          </cell>
          <cell r="L28" t="str">
            <v>PA</v>
          </cell>
          <cell r="M28">
            <v>18944</v>
          </cell>
          <cell r="N28" t="str">
            <v>1228 N 5th St Perkasie, PA 18944</v>
          </cell>
        </row>
        <row r="29">
          <cell r="G29">
            <v>430805</v>
          </cell>
          <cell r="H29" t="str">
            <v>Hopewell Valley Regional Schoo</v>
          </cell>
          <cell r="I29" t="str">
            <v>Pennington</v>
          </cell>
          <cell r="K29" t="str">
            <v>425 S Main St</v>
          </cell>
          <cell r="L29" t="str">
            <v>NJ</v>
          </cell>
          <cell r="M29">
            <v>8534</v>
          </cell>
          <cell r="N29" t="str">
            <v>425 S Main St Pennington, NJ 08534</v>
          </cell>
        </row>
        <row r="30">
          <cell r="G30">
            <v>246009</v>
          </cell>
          <cell r="H30" t="str">
            <v>Perkiomen Valley School Distri</v>
          </cell>
          <cell r="I30" t="str">
            <v>Collegeville</v>
          </cell>
          <cell r="K30" t="str">
            <v>3 Iron Bridge Dr</v>
          </cell>
          <cell r="L30" t="str">
            <v>PA</v>
          </cell>
          <cell r="M30">
            <v>19426</v>
          </cell>
          <cell r="N30" t="str">
            <v>3 Iron Bridge Dr Collegeville, PA 19426</v>
          </cell>
        </row>
        <row r="31">
          <cell r="G31">
            <v>239905</v>
          </cell>
          <cell r="H31" t="str">
            <v>DUTCHWAY FARM MARKET#</v>
          </cell>
          <cell r="I31" t="str">
            <v>Myerstown</v>
          </cell>
          <cell r="K31" t="str">
            <v>649 E Lincoln Ave</v>
          </cell>
          <cell r="L31" t="str">
            <v>PA</v>
          </cell>
          <cell r="M31">
            <v>17067</v>
          </cell>
          <cell r="N31" t="str">
            <v>649 E Lincoln Ave Myerstown, PA 17067</v>
          </cell>
        </row>
        <row r="32">
          <cell r="G32">
            <v>307799</v>
          </cell>
          <cell r="H32" t="str">
            <v>South Brunswick School Distric</v>
          </cell>
          <cell r="I32" t="str">
            <v>Monmouth Junction</v>
          </cell>
          <cell r="K32" t="str">
            <v>4 Executive Dr</v>
          </cell>
          <cell r="L32" t="str">
            <v>NJ</v>
          </cell>
          <cell r="M32">
            <v>8852</v>
          </cell>
          <cell r="N32" t="str">
            <v>4 Executive Dr Monmouth Junction, NJ 08852</v>
          </cell>
        </row>
        <row r="33">
          <cell r="G33">
            <v>481761</v>
          </cell>
          <cell r="H33" t="str">
            <v>CONESTOGA VALLEY NEW MIDDLE SC</v>
          </cell>
          <cell r="I33" t="str">
            <v>Lancaster</v>
          </cell>
          <cell r="K33" t="str">
            <v>2114 Horseshoe Rd</v>
          </cell>
          <cell r="L33" t="str">
            <v>PA</v>
          </cell>
          <cell r="M33">
            <v>17601</v>
          </cell>
          <cell r="N33" t="str">
            <v>2114 Horseshoe Rd Lancaster, PA 17601</v>
          </cell>
        </row>
        <row r="34">
          <cell r="G34">
            <v>480632</v>
          </cell>
          <cell r="H34" t="str">
            <v>Masonic Village Transportation</v>
          </cell>
          <cell r="I34" t="str">
            <v>ELIZABETHTOWN</v>
          </cell>
          <cell r="K34" t="str">
            <v>75 Village Green Dr</v>
          </cell>
          <cell r="L34" t="str">
            <v>PA</v>
          </cell>
          <cell r="M34">
            <v>17022</v>
          </cell>
          <cell r="N34" t="str">
            <v>75 Village Green Dr ELIZABETHTOWN, PA 17022</v>
          </cell>
        </row>
        <row r="35">
          <cell r="G35">
            <v>418409</v>
          </cell>
          <cell r="H35" t="str">
            <v>Pottstown High School</v>
          </cell>
          <cell r="I35" t="str">
            <v>Pottstown</v>
          </cell>
          <cell r="K35" t="str">
            <v>750 N Washington St</v>
          </cell>
          <cell r="L35" t="str">
            <v>PA</v>
          </cell>
          <cell r="M35">
            <v>19464</v>
          </cell>
          <cell r="N35" t="str">
            <v>750 N Washington St Pottstown, PA 19464</v>
          </cell>
        </row>
        <row r="36">
          <cell r="G36">
            <v>472262</v>
          </cell>
          <cell r="H36" t="str">
            <v>Ewing Building &amp; Grounds Dept</v>
          </cell>
          <cell r="I36" t="str">
            <v>Trenton</v>
          </cell>
          <cell r="K36" t="str">
            <v>220 Ewingville Rd</v>
          </cell>
          <cell r="L36" t="str">
            <v>NJ</v>
          </cell>
          <cell r="M36">
            <v>8638</v>
          </cell>
          <cell r="N36" t="str">
            <v>220 Ewingville Rd Trenton, NJ 08638</v>
          </cell>
        </row>
        <row r="37">
          <cell r="G37">
            <v>440465</v>
          </cell>
          <cell r="H37" t="str">
            <v>DALLASTOWN INTERMEDIATE SCHOOL</v>
          </cell>
          <cell r="I37" t="str">
            <v>York</v>
          </cell>
          <cell r="K37" t="str">
            <v>94 Beck Rd</v>
          </cell>
          <cell r="L37" t="str">
            <v>PA</v>
          </cell>
          <cell r="M37">
            <v>17403</v>
          </cell>
          <cell r="N37" t="str">
            <v>94 Beck Rd York, PA 17403</v>
          </cell>
        </row>
        <row r="38">
          <cell r="G38">
            <v>481104</v>
          </cell>
          <cell r="H38" t="str">
            <v>Reading-Fleming Intermediate S</v>
          </cell>
          <cell r="I38" t="str">
            <v>Flemington</v>
          </cell>
          <cell r="K38" t="str">
            <v>50 Court St</v>
          </cell>
          <cell r="L38" t="str">
            <v>NJ</v>
          </cell>
          <cell r="M38">
            <v>8822</v>
          </cell>
          <cell r="N38" t="str">
            <v>50 Court St Flemington, NJ 08822</v>
          </cell>
        </row>
        <row r="39">
          <cell r="G39">
            <v>246000</v>
          </cell>
          <cell r="H39" t="str">
            <v>Pennswood Village</v>
          </cell>
          <cell r="I39" t="str">
            <v>Newtown</v>
          </cell>
          <cell r="K39" t="str">
            <v>1382 Newtown Langhorne Rd</v>
          </cell>
          <cell r="L39" t="str">
            <v>PA</v>
          </cell>
          <cell r="M39">
            <v>18940</v>
          </cell>
          <cell r="N39" t="str">
            <v>1382 Newtown Langhorne Rd Newtown, PA 18940</v>
          </cell>
        </row>
        <row r="40">
          <cell r="G40">
            <v>241439</v>
          </cell>
          <cell r="H40" t="str">
            <v>PINE GROVE AREA SCHOOL</v>
          </cell>
          <cell r="I40" t="str">
            <v>Pine Grove</v>
          </cell>
          <cell r="K40" t="str">
            <v>103 School St</v>
          </cell>
          <cell r="L40" t="str">
            <v>PA</v>
          </cell>
          <cell r="M40">
            <v>17963</v>
          </cell>
          <cell r="N40" t="str">
            <v>103 School St Pine Grove, PA 17963</v>
          </cell>
        </row>
        <row r="41">
          <cell r="G41">
            <v>458049</v>
          </cell>
          <cell r="H41" t="str">
            <v>Spring-Ford 7th Grade Center</v>
          </cell>
          <cell r="I41" t="str">
            <v>Royersford</v>
          </cell>
          <cell r="K41" t="str">
            <v>833 S Lewis Rd Bldg 2</v>
          </cell>
          <cell r="L41" t="str">
            <v>PA</v>
          </cell>
          <cell r="M41">
            <v>19468</v>
          </cell>
          <cell r="N41" t="str">
            <v>833 S Lewis Rd Bldg 2 Royersford, PA 19468</v>
          </cell>
        </row>
        <row r="42">
          <cell r="G42">
            <v>240204</v>
          </cell>
          <cell r="H42" t="str">
            <v>GETTYSBURG SCHOOL DISTRICT***</v>
          </cell>
          <cell r="I42" t="str">
            <v>Gettysburg</v>
          </cell>
          <cell r="K42" t="str">
            <v>900 Biglerville Rd</v>
          </cell>
          <cell r="L42" t="str">
            <v>PA</v>
          </cell>
          <cell r="M42">
            <v>17325</v>
          </cell>
          <cell r="N42" t="str">
            <v>900 Biglerville Rd Gettysburg, PA 17325</v>
          </cell>
        </row>
        <row r="43">
          <cell r="G43">
            <v>293616</v>
          </cell>
          <cell r="H43" t="str">
            <v>ST ANNES RETIREMENT HOUSEKEEPI</v>
          </cell>
          <cell r="I43" t="str">
            <v>Columbia</v>
          </cell>
          <cell r="K43" t="str">
            <v>3952 Columbia Ave</v>
          </cell>
          <cell r="L43" t="str">
            <v>PA</v>
          </cell>
          <cell r="M43">
            <v>17512</v>
          </cell>
          <cell r="N43" t="str">
            <v>3952 Columbia Ave Columbia, PA 17512</v>
          </cell>
        </row>
        <row r="44">
          <cell r="G44">
            <v>415451</v>
          </cell>
          <cell r="H44" t="str">
            <v>ELIZABETHTOWN AREA SCHOOLS</v>
          </cell>
          <cell r="I44" t="str">
            <v>ELIZABETHTOWN</v>
          </cell>
          <cell r="K44" t="str">
            <v>600 E High St</v>
          </cell>
          <cell r="L44" t="str">
            <v>PA</v>
          </cell>
          <cell r="M44">
            <v>17022</v>
          </cell>
          <cell r="N44" t="str">
            <v>600 E High St ELIZABETHTOWN, PA 17022</v>
          </cell>
        </row>
        <row r="45">
          <cell r="G45">
            <v>433393</v>
          </cell>
          <cell r="H45" t="str">
            <v>SKH #32 BRIAN H. FOODS ROHRERS</v>
          </cell>
          <cell r="I45" t="str">
            <v>Lancaster</v>
          </cell>
          <cell r="K45" t="str">
            <v>301 Rohrerstown Rd</v>
          </cell>
          <cell r="L45" t="str">
            <v>PA</v>
          </cell>
          <cell r="M45">
            <v>17603</v>
          </cell>
          <cell r="N45" t="str">
            <v>301 Rohrerstown Rd Lancaster, PA 17603</v>
          </cell>
        </row>
        <row r="46">
          <cell r="G46">
            <v>480267</v>
          </cell>
          <cell r="H46" t="str">
            <v>Galloway SD Operations Bldg</v>
          </cell>
          <cell r="I46" t="str">
            <v>Absecon</v>
          </cell>
          <cell r="J46" t="str">
            <v>Atlantic City</v>
          </cell>
          <cell r="K46" t="str">
            <v>99 S. Reed Rd</v>
          </cell>
          <cell r="L46" t="str">
            <v>NJ</v>
          </cell>
          <cell r="M46">
            <v>8205</v>
          </cell>
          <cell r="N46" t="str">
            <v>99 S. Reed Rd Absecon, NJ 08205</v>
          </cell>
        </row>
        <row r="47">
          <cell r="G47">
            <v>416847</v>
          </cell>
          <cell r="H47" t="str">
            <v>William Davies Middle School</v>
          </cell>
          <cell r="I47" t="str">
            <v>Mays Landing</v>
          </cell>
          <cell r="K47" t="str">
            <v>1876 Dr Dennis Foreman Dr</v>
          </cell>
          <cell r="L47" t="str">
            <v>NJ</v>
          </cell>
          <cell r="M47">
            <v>8330</v>
          </cell>
          <cell r="N47" t="str">
            <v>1876 Dr Dennis Foreman Dr Mays Landing, NJ 08330</v>
          </cell>
        </row>
        <row r="48">
          <cell r="G48">
            <v>469954</v>
          </cell>
          <cell r="H48" t="str">
            <v>DISTRICT WAREHOUSE</v>
          </cell>
          <cell r="I48" t="str">
            <v>Hamilton</v>
          </cell>
          <cell r="K48" t="str">
            <v>1700 Bell Ave</v>
          </cell>
          <cell r="L48" t="str">
            <v>NJ</v>
          </cell>
          <cell r="M48">
            <v>8619</v>
          </cell>
          <cell r="N48" t="str">
            <v>1700 Bell Ave Hamilton, NJ 08619</v>
          </cell>
        </row>
        <row r="49">
          <cell r="G49">
            <v>415358</v>
          </cell>
          <cell r="H49" t="str">
            <v>BERWICK AREA SCHOOL DIST</v>
          </cell>
          <cell r="I49" t="str">
            <v>Berwick</v>
          </cell>
          <cell r="K49" t="str">
            <v>1200 N Vine St</v>
          </cell>
          <cell r="L49" t="str">
            <v>PA</v>
          </cell>
          <cell r="M49">
            <v>18603</v>
          </cell>
          <cell r="N49" t="str">
            <v>1200 N Vine St Berwick, PA 18603</v>
          </cell>
        </row>
        <row r="50">
          <cell r="G50">
            <v>470410</v>
          </cell>
          <cell r="H50" t="str">
            <v>Bobby's Run School 4-5</v>
          </cell>
          <cell r="I50" t="str">
            <v>Lumberton</v>
          </cell>
          <cell r="J50" t="str">
            <v>Cherry Hill</v>
          </cell>
          <cell r="K50" t="str">
            <v>32 Dimsdale Dr</v>
          </cell>
          <cell r="L50" t="str">
            <v>NJ</v>
          </cell>
          <cell r="M50">
            <v>8048</v>
          </cell>
          <cell r="N50" t="str">
            <v>32 Dimsdale Dr Lumberton, NJ 08048</v>
          </cell>
        </row>
        <row r="51">
          <cell r="G51">
            <v>239516</v>
          </cell>
          <cell r="H51" t="str">
            <v>CENTRAL DAUPHIN SCHOOL#</v>
          </cell>
          <cell r="I51" t="str">
            <v>Harrisburg</v>
          </cell>
          <cell r="K51" t="str">
            <v>600 Rutherford Rd</v>
          </cell>
          <cell r="L51" t="str">
            <v>PA</v>
          </cell>
          <cell r="M51">
            <v>17109</v>
          </cell>
          <cell r="N51" t="str">
            <v>600 Rutherford Rd Harrisburg, PA 17109</v>
          </cell>
        </row>
        <row r="52">
          <cell r="G52">
            <v>418234</v>
          </cell>
          <cell r="H52" t="str">
            <v>OPERATIONS</v>
          </cell>
          <cell r="I52" t="str">
            <v>Glassboro</v>
          </cell>
          <cell r="K52" t="str">
            <v>35 Ruth H Mancuso Ln</v>
          </cell>
          <cell r="L52" t="str">
            <v>NJ</v>
          </cell>
          <cell r="M52">
            <v>8028</v>
          </cell>
          <cell r="N52" t="str">
            <v>35 Ruth H Mancuso Ln Glassboro, NJ 08028</v>
          </cell>
        </row>
        <row r="53">
          <cell r="G53">
            <v>423964</v>
          </cell>
          <cell r="H53" t="str">
            <v>Pleasantville Middle School</v>
          </cell>
          <cell r="I53" t="str">
            <v>Pleasantville</v>
          </cell>
          <cell r="K53" t="str">
            <v>801 Mill Rd</v>
          </cell>
          <cell r="L53" t="str">
            <v>NJ</v>
          </cell>
          <cell r="M53">
            <v>8232</v>
          </cell>
          <cell r="N53" t="str">
            <v>801 Mill Rd Pleasantville, NJ 08232</v>
          </cell>
        </row>
        <row r="54">
          <cell r="G54">
            <v>455119</v>
          </cell>
          <cell r="H54" t="str">
            <v>Eastern High School</v>
          </cell>
          <cell r="I54" t="str">
            <v>Voorhees</v>
          </cell>
          <cell r="J54" t="str">
            <v>Cherry Hill</v>
          </cell>
          <cell r="K54" t="str">
            <v>1401 Laurel Oak Rd</v>
          </cell>
          <cell r="L54" t="str">
            <v>NJ</v>
          </cell>
          <cell r="M54">
            <v>8043</v>
          </cell>
          <cell r="N54" t="str">
            <v>1401 Laurel Oak Rd Voorhees, NJ 08043</v>
          </cell>
        </row>
        <row r="55">
          <cell r="G55">
            <v>417743</v>
          </cell>
          <cell r="H55" t="str">
            <v>Lakeside Youth Services</v>
          </cell>
          <cell r="I55" t="str">
            <v>North Wales</v>
          </cell>
          <cell r="K55" t="str">
            <v>111 Chestnut Ln</v>
          </cell>
          <cell r="L55" t="str">
            <v>PA</v>
          </cell>
          <cell r="M55">
            <v>19454</v>
          </cell>
          <cell r="N55" t="str">
            <v>111 Chestnut Ln North Wales, PA 19454</v>
          </cell>
        </row>
        <row r="56">
          <cell r="G56">
            <v>456539</v>
          </cell>
          <cell r="H56" t="str">
            <v>Lanc General Hospital 2</v>
          </cell>
          <cell r="I56" t="str">
            <v>Lancaster</v>
          </cell>
          <cell r="K56" t="str">
            <v>555 N Duke St</v>
          </cell>
          <cell r="L56" t="str">
            <v>PA</v>
          </cell>
          <cell r="M56">
            <v>17602</v>
          </cell>
          <cell r="N56" t="str">
            <v>555 N Duke St Lancaster, PA 17602</v>
          </cell>
        </row>
        <row r="57">
          <cell r="G57">
            <v>416280</v>
          </cell>
          <cell r="H57" t="str">
            <v>Maintenance Warehouse</v>
          </cell>
          <cell r="I57" t="str">
            <v>Downingtown</v>
          </cell>
          <cell r="K57" t="str">
            <v>540 Trestle Pl</v>
          </cell>
          <cell r="L57" t="str">
            <v>PA</v>
          </cell>
          <cell r="M57">
            <v>19335</v>
          </cell>
          <cell r="N57" t="str">
            <v>540 Trestle Pl Downingtown, PA 19335</v>
          </cell>
        </row>
        <row r="58">
          <cell r="G58">
            <v>242080</v>
          </cell>
          <cell r="H58" t="str">
            <v>THADDEUS STEVENS COLLEGE#</v>
          </cell>
          <cell r="I58" t="str">
            <v>Lancaster</v>
          </cell>
          <cell r="K58" t="str">
            <v>750 E King St</v>
          </cell>
          <cell r="L58" t="str">
            <v>PA</v>
          </cell>
          <cell r="M58">
            <v>17602</v>
          </cell>
          <cell r="N58" t="str">
            <v>750 E King St Lancaster, PA 17602</v>
          </cell>
        </row>
        <row r="59">
          <cell r="G59">
            <v>448558</v>
          </cell>
          <cell r="H59" t="str">
            <v>Pleasantville Public Schools</v>
          </cell>
          <cell r="I59" t="str">
            <v>Pleasantville</v>
          </cell>
          <cell r="K59" t="str">
            <v>801 Mill Rd</v>
          </cell>
          <cell r="L59" t="str">
            <v>NJ</v>
          </cell>
          <cell r="M59">
            <v>8232</v>
          </cell>
          <cell r="N59" t="str">
            <v>801 Mill Rd Pleasantville, NJ 08232</v>
          </cell>
        </row>
        <row r="60">
          <cell r="G60">
            <v>460379</v>
          </cell>
          <cell r="H60" t="str">
            <v>CAN CORPORATION OF AMERICA</v>
          </cell>
          <cell r="I60" t="str">
            <v>Blandon</v>
          </cell>
          <cell r="K60" t="str">
            <v>326 June Ave</v>
          </cell>
          <cell r="L60" t="str">
            <v>PA</v>
          </cell>
          <cell r="M60">
            <v>19510</v>
          </cell>
          <cell r="N60" t="str">
            <v>326 June Ave Blandon, PA 19510</v>
          </cell>
        </row>
        <row r="61">
          <cell r="G61">
            <v>242605</v>
          </cell>
          <cell r="H61" t="str">
            <v>FOUR SEASONS PRODUCE#</v>
          </cell>
          <cell r="I61" t="str">
            <v>Ephrata</v>
          </cell>
          <cell r="K61" t="str">
            <v>400 Wabash Rd</v>
          </cell>
          <cell r="L61" t="str">
            <v>PA</v>
          </cell>
          <cell r="M61">
            <v>17522</v>
          </cell>
          <cell r="N61" t="str">
            <v>400 Wabash Rd Ephrata, PA 17522</v>
          </cell>
        </row>
        <row r="62">
          <cell r="G62">
            <v>244387</v>
          </cell>
          <cell r="H62" t="str">
            <v>Greater Egg Harbor Dist Oakcre</v>
          </cell>
          <cell r="I62" t="str">
            <v>Mays Landing</v>
          </cell>
          <cell r="K62" t="str">
            <v>1824 Dr Dennis Foreman Dr</v>
          </cell>
          <cell r="L62" t="str">
            <v>NJ</v>
          </cell>
          <cell r="M62">
            <v>8330</v>
          </cell>
          <cell r="N62" t="str">
            <v>1824 Dr Dennis Foreman Dr Mays Landing, NJ 08330</v>
          </cell>
        </row>
        <row r="63">
          <cell r="G63">
            <v>415723</v>
          </cell>
          <cell r="H63" t="str">
            <v>SKH Duane Yoder LITITZ</v>
          </cell>
          <cell r="I63" t="str">
            <v>Lititz</v>
          </cell>
          <cell r="K63" t="str">
            <v>1050 Lititz Pike</v>
          </cell>
          <cell r="L63" t="str">
            <v>PA</v>
          </cell>
          <cell r="M63">
            <v>17543</v>
          </cell>
          <cell r="N63" t="str">
            <v>1050 Lititz Pike Lititz, PA 17543</v>
          </cell>
        </row>
        <row r="64">
          <cell r="G64">
            <v>337510</v>
          </cell>
          <cell r="H64" t="str">
            <v>Watchung Regional High School</v>
          </cell>
          <cell r="I64" t="str">
            <v>WARREN</v>
          </cell>
          <cell r="K64" t="str">
            <v>108 Stirling Rd</v>
          </cell>
          <cell r="L64" t="str">
            <v>NJ</v>
          </cell>
          <cell r="M64">
            <v>7059</v>
          </cell>
          <cell r="N64" t="str">
            <v>108 Stirling Rd, WARREN, NJ 07059</v>
          </cell>
        </row>
        <row r="65">
          <cell r="G65">
            <v>424994</v>
          </cell>
          <cell r="H65" t="str">
            <v>Stafford Intermediate School</v>
          </cell>
          <cell r="I65" t="str">
            <v>Manahawkin</v>
          </cell>
          <cell r="J65" t="str">
            <v>Jersey Shore - North</v>
          </cell>
          <cell r="K65" t="str">
            <v>1000 McKinley Ave</v>
          </cell>
          <cell r="L65" t="str">
            <v>NJ</v>
          </cell>
          <cell r="M65">
            <v>8050</v>
          </cell>
          <cell r="N65" t="str">
            <v>1000 McKinley Ave Manahawkin, NJ 08050</v>
          </cell>
        </row>
        <row r="66">
          <cell r="G66">
            <v>415504</v>
          </cell>
          <cell r="H66" t="str">
            <v>HANOVER PUBLIC SCHOOL DISTRICT</v>
          </cell>
          <cell r="I66" t="str">
            <v>Hanover</v>
          </cell>
          <cell r="K66" t="str">
            <v>305 FAME AVENUE</v>
          </cell>
          <cell r="L66" t="str">
            <v>PA</v>
          </cell>
          <cell r="M66">
            <v>17331</v>
          </cell>
          <cell r="N66" t="str">
            <v>305 FAME AVENUE Hanover, PA 17331</v>
          </cell>
        </row>
        <row r="67">
          <cell r="G67">
            <v>479675</v>
          </cell>
          <cell r="H67" t="str">
            <v>SCHOOL DISTRICT OF LANCASTER</v>
          </cell>
          <cell r="I67" t="str">
            <v>Lancaster</v>
          </cell>
          <cell r="K67" t="str">
            <v>1817 Colonial Village Ln</v>
          </cell>
          <cell r="L67" t="str">
            <v>PA</v>
          </cell>
          <cell r="M67">
            <v>17601</v>
          </cell>
          <cell r="N67" t="str">
            <v>1817 Colonial Village Ln Lancaster, PA 17601</v>
          </cell>
        </row>
        <row r="68">
          <cell r="G68">
            <v>468426</v>
          </cell>
          <cell r="H68" t="str">
            <v>ENVIRONMENTAL - DOLLAR GENERAL</v>
          </cell>
          <cell r="I68" t="str">
            <v>BETHEL</v>
          </cell>
          <cell r="K68" t="str">
            <v>30 Martha Dr</v>
          </cell>
          <cell r="L68" t="str">
            <v>PA</v>
          </cell>
          <cell r="M68">
            <v>19507</v>
          </cell>
          <cell r="N68" t="str">
            <v>30 Martha Dr BETHEL, PA 19507</v>
          </cell>
        </row>
        <row r="69">
          <cell r="G69">
            <v>470672</v>
          </cell>
          <cell r="H69" t="str">
            <v>Delaware Valley Residential Ca</v>
          </cell>
          <cell r="I69" t="str">
            <v>Warminster</v>
          </cell>
          <cell r="J69" t="str">
            <v>Philly Suburbs - North</v>
          </cell>
          <cell r="K69" t="str">
            <v>280 Jacksonville Rd</v>
          </cell>
          <cell r="L69" t="str">
            <v>PA</v>
          </cell>
          <cell r="M69">
            <v>18974</v>
          </cell>
          <cell r="N69" t="str">
            <v>280 Jacksonville Rd Warminster, PA 18974</v>
          </cell>
        </row>
        <row r="70">
          <cell r="G70">
            <v>417899</v>
          </cell>
          <cell r="H70" t="str">
            <v>Cedar Creek High School</v>
          </cell>
          <cell r="I70" t="str">
            <v>Egg Harbor City</v>
          </cell>
          <cell r="K70" t="str">
            <v>1701 New York Ave</v>
          </cell>
          <cell r="L70" t="str">
            <v>NJ</v>
          </cell>
          <cell r="M70">
            <v>8215</v>
          </cell>
          <cell r="N70" t="str">
            <v>1701 New York Ave Egg Harbor City, NJ 08215</v>
          </cell>
        </row>
        <row r="71">
          <cell r="G71">
            <v>452133</v>
          </cell>
          <cell r="H71" t="str">
            <v>WILLIAMSPORT AREA SCHOOL DIST</v>
          </cell>
          <cell r="I71" t="str">
            <v>Williamsport</v>
          </cell>
          <cell r="K71" t="str">
            <v>1400 W 3rd St</v>
          </cell>
          <cell r="L71" t="str">
            <v>PA</v>
          </cell>
          <cell r="M71">
            <v>17701</v>
          </cell>
          <cell r="N71" t="str">
            <v>1400 W 3rd St Williamsport, PA 17701</v>
          </cell>
        </row>
        <row r="72">
          <cell r="G72">
            <v>483025</v>
          </cell>
          <cell r="H72" t="str">
            <v>Hughesville JR/SR High School</v>
          </cell>
          <cell r="I72" t="str">
            <v>Hughesville</v>
          </cell>
          <cell r="K72" t="str">
            <v>349 Cemetery St</v>
          </cell>
          <cell r="L72" t="str">
            <v>PA</v>
          </cell>
          <cell r="M72">
            <v>17737</v>
          </cell>
          <cell r="N72" t="str">
            <v>349 Cemetery St Hughesville, PA 17737</v>
          </cell>
        </row>
        <row r="73">
          <cell r="G73">
            <v>418427</v>
          </cell>
          <cell r="H73" t="str">
            <v>PSEG - "Salem Plant"</v>
          </cell>
          <cell r="I73" t="str">
            <v>Hancocks Bridge</v>
          </cell>
          <cell r="K73" t="str">
            <v>Buttonwood Road</v>
          </cell>
          <cell r="L73" t="str">
            <v>NJ</v>
          </cell>
          <cell r="M73">
            <v>8038</v>
          </cell>
          <cell r="N73" t="str">
            <v>Buttonwood Road Hancocks Bridge, NJ 08038</v>
          </cell>
        </row>
        <row r="74">
          <cell r="G74">
            <v>418850</v>
          </cell>
          <cell r="H74" t="str">
            <v>Maintenance / Transportation D</v>
          </cell>
          <cell r="I74" t="str">
            <v>Berwyn</v>
          </cell>
          <cell r="K74" t="str">
            <v>920 Old Lancaster Rd</v>
          </cell>
          <cell r="L74" t="str">
            <v>PA</v>
          </cell>
          <cell r="M74">
            <v>19312</v>
          </cell>
          <cell r="N74" t="str">
            <v>920 Old Lancaster Rd Berwyn, PA 19312</v>
          </cell>
        </row>
        <row r="75">
          <cell r="G75">
            <v>468563</v>
          </cell>
          <cell r="H75" t="str">
            <v>Greenbrook Elementary</v>
          </cell>
          <cell r="I75" t="str">
            <v>Kendall Park</v>
          </cell>
          <cell r="K75" t="str">
            <v>23 Roberts St</v>
          </cell>
          <cell r="L75" t="str">
            <v>NJ</v>
          </cell>
          <cell r="M75">
            <v>8824</v>
          </cell>
          <cell r="N75" t="str">
            <v>23 Roberts St Kendall Park, NJ 08824</v>
          </cell>
        </row>
        <row r="76">
          <cell r="G76">
            <v>419200</v>
          </cell>
          <cell r="H76" t="str">
            <v>Penncrest High School</v>
          </cell>
          <cell r="I76" t="str">
            <v>Media</v>
          </cell>
          <cell r="K76" t="str">
            <v>134 Barren Rd</v>
          </cell>
          <cell r="L76" t="str">
            <v>PA</v>
          </cell>
          <cell r="M76">
            <v>19063</v>
          </cell>
          <cell r="N76" t="str">
            <v>134 Barren Rd Media, PA 19063</v>
          </cell>
        </row>
        <row r="77">
          <cell r="G77">
            <v>340988</v>
          </cell>
          <cell r="H77" t="str">
            <v>GLANZMANN SUBARU INC</v>
          </cell>
          <cell r="I77" t="str">
            <v>Hatboro</v>
          </cell>
          <cell r="J77" t="str">
            <v>Philly Suburbs - North</v>
          </cell>
          <cell r="K77" t="str">
            <v>1001 S York Rd</v>
          </cell>
          <cell r="L77" t="str">
            <v>PA</v>
          </cell>
          <cell r="M77">
            <v>19040</v>
          </cell>
          <cell r="N77" t="str">
            <v>1001 S York Rd Hatboro, PA 19040</v>
          </cell>
        </row>
        <row r="78">
          <cell r="G78">
            <v>345995</v>
          </cell>
          <cell r="H78" t="str">
            <v>MedFord Cornerstone Urban Rnwl</v>
          </cell>
          <cell r="I78" t="str">
            <v>Medford</v>
          </cell>
          <cell r="J78" t="str">
            <v>Southampton Twp</v>
          </cell>
          <cell r="K78" t="str">
            <v>370 Stokes Rd</v>
          </cell>
          <cell r="L78" t="str">
            <v>NJ</v>
          </cell>
          <cell r="M78">
            <v>8055</v>
          </cell>
          <cell r="N78" t="str">
            <v>370 Stokes Rd Medford, NJ 08055</v>
          </cell>
        </row>
        <row r="79">
          <cell r="G79">
            <v>282370</v>
          </cell>
          <cell r="H79" t="str">
            <v>Bishop Shanahan</v>
          </cell>
          <cell r="I79" t="str">
            <v>Downingtown</v>
          </cell>
          <cell r="K79" t="str">
            <v>220 Woodbine Rd</v>
          </cell>
          <cell r="L79" t="str">
            <v>PA</v>
          </cell>
          <cell r="M79">
            <v>19335</v>
          </cell>
          <cell r="N79" t="str">
            <v>220 Woodbine Rd Downingtown, PA 19335</v>
          </cell>
        </row>
        <row r="80">
          <cell r="G80">
            <v>240272</v>
          </cell>
          <cell r="H80" t="str">
            <v>GREENCASTLE ANTRIM SCHOOL DIST</v>
          </cell>
          <cell r="I80" t="str">
            <v>Greencastle</v>
          </cell>
          <cell r="K80" t="str">
            <v>500 Leitersburg St</v>
          </cell>
          <cell r="L80" t="str">
            <v>PA</v>
          </cell>
          <cell r="M80">
            <v>17225</v>
          </cell>
          <cell r="N80" t="str">
            <v>500 Leitersburg St Greencastle, PA 17225</v>
          </cell>
        </row>
        <row r="81">
          <cell r="G81">
            <v>470549</v>
          </cell>
          <cell r="H81" t="str">
            <v>WARRIOR RUN MIDDLE SCHOOL</v>
          </cell>
          <cell r="I81" t="str">
            <v>Turbotville</v>
          </cell>
          <cell r="K81" t="str">
            <v>4860 Susquehanna Trl</v>
          </cell>
          <cell r="L81" t="str">
            <v>PA</v>
          </cell>
          <cell r="M81">
            <v>17772</v>
          </cell>
          <cell r="N81" t="str">
            <v>4860 Susquehanna Trl Turbotville, PA 17772</v>
          </cell>
        </row>
        <row r="82">
          <cell r="G82">
            <v>418691</v>
          </cell>
          <cell r="H82" t="str">
            <v>Southern Regional SD Warehouse</v>
          </cell>
          <cell r="I82" t="str">
            <v>Manahawkin</v>
          </cell>
          <cell r="J82" t="str">
            <v>Jersey Shore - North</v>
          </cell>
          <cell r="K82" t="str">
            <v>190 Cedar Bridge Rd</v>
          </cell>
          <cell r="L82" t="str">
            <v>NJ</v>
          </cell>
          <cell r="M82">
            <v>8050</v>
          </cell>
          <cell r="N82" t="str">
            <v>190 Cedar Bridge Rd Manahawkin, NJ 08050</v>
          </cell>
        </row>
        <row r="83">
          <cell r="G83">
            <v>483571</v>
          </cell>
          <cell r="H83" t="str">
            <v>ECS Corporate Support Center</v>
          </cell>
          <cell r="I83" t="str">
            <v>Annville</v>
          </cell>
          <cell r="J83" t="str">
            <v>Lebanon - West</v>
          </cell>
          <cell r="K83" t="str">
            <v>110 Landings Dr</v>
          </cell>
          <cell r="L83" t="str">
            <v>PA</v>
          </cell>
          <cell r="M83">
            <v>17003</v>
          </cell>
          <cell r="N83" t="str">
            <v>110 Landings Dr Annville, PA 17003</v>
          </cell>
        </row>
        <row r="84">
          <cell r="G84">
            <v>479890</v>
          </cell>
          <cell r="H84" t="str">
            <v>AUDUBON JR-SR HIGH SCHOOL</v>
          </cell>
          <cell r="I84" t="str">
            <v>Audubon</v>
          </cell>
          <cell r="J84" t="str">
            <v>Camden</v>
          </cell>
          <cell r="K84" t="str">
            <v>350 Edgewood Ave</v>
          </cell>
          <cell r="L84" t="str">
            <v>NJ</v>
          </cell>
          <cell r="M84">
            <v>8106</v>
          </cell>
          <cell r="N84" t="str">
            <v>350 Edgewood Ave Audubon, NJ 08106</v>
          </cell>
        </row>
        <row r="85">
          <cell r="G85">
            <v>449739</v>
          </cell>
          <cell r="H85" t="str">
            <v>MANHEIM TWP HIGH SCHOOL</v>
          </cell>
          <cell r="I85" t="str">
            <v>Lancaster</v>
          </cell>
          <cell r="K85" t="str">
            <v>115 Blue Streak blvd</v>
          </cell>
          <cell r="L85" t="str">
            <v>PA</v>
          </cell>
          <cell r="M85">
            <v>17601</v>
          </cell>
          <cell r="N85" t="str">
            <v>115 Blue Streak blvd Lancaster, PA 17601</v>
          </cell>
        </row>
        <row r="86">
          <cell r="G86">
            <v>472748</v>
          </cell>
          <cell r="H86" t="str">
            <v>Peachtree Health Group LLC</v>
          </cell>
          <cell r="I86" t="str">
            <v>Harbeson</v>
          </cell>
          <cell r="K86" t="str">
            <v>26900 Lewes Georgetown Hwy</v>
          </cell>
          <cell r="L86" t="str">
            <v>DE</v>
          </cell>
          <cell r="M86">
            <v>19951</v>
          </cell>
          <cell r="N86" t="str">
            <v>26900 Lewes Georgetown Hwy Harbeson, DE 19951</v>
          </cell>
        </row>
        <row r="87">
          <cell r="G87">
            <v>239466</v>
          </cell>
          <cell r="H87" t="str">
            <v>CALVARY FELLOWSHIP HOMES APN#</v>
          </cell>
          <cell r="I87" t="str">
            <v>Lancaster</v>
          </cell>
          <cell r="K87" t="str">
            <v>502 Elizabeth Dr</v>
          </cell>
          <cell r="L87" t="str">
            <v>PA</v>
          </cell>
          <cell r="M87">
            <v>17601</v>
          </cell>
          <cell r="N87" t="str">
            <v>502 Elizabeth Dr Lancaster, PA 17601</v>
          </cell>
        </row>
        <row r="88">
          <cell r="G88">
            <v>434909</v>
          </cell>
          <cell r="H88" t="str">
            <v>Sterling Regional High School</v>
          </cell>
          <cell r="I88" t="str">
            <v>Somerdale</v>
          </cell>
          <cell r="J88" t="str">
            <v>Cherry Hill</v>
          </cell>
          <cell r="K88" t="str">
            <v>501 S Warwick Rd</v>
          </cell>
          <cell r="L88" t="str">
            <v>NJ</v>
          </cell>
          <cell r="M88">
            <v>8083</v>
          </cell>
          <cell r="N88" t="str">
            <v>501 S Warwick Rd Somerdale, NJ 08083</v>
          </cell>
        </row>
        <row r="89">
          <cell r="G89">
            <v>416222</v>
          </cell>
          <cell r="H89" t="str">
            <v>Atlantic City High School</v>
          </cell>
          <cell r="I89" t="str">
            <v>Atlantic City</v>
          </cell>
          <cell r="J89" t="str">
            <v>Atlantic City</v>
          </cell>
          <cell r="K89" t="str">
            <v>1400 N Albany Ave</v>
          </cell>
          <cell r="L89" t="str">
            <v>NJ</v>
          </cell>
          <cell r="M89">
            <v>8401</v>
          </cell>
          <cell r="N89" t="str">
            <v>1400 N Albany Ave Atlantic City, NJ 08401</v>
          </cell>
        </row>
        <row r="90">
          <cell r="G90">
            <v>418818</v>
          </cell>
          <cell r="H90" t="str">
            <v>Timber Creek Regional High Sch</v>
          </cell>
          <cell r="I90" t="str">
            <v>Erial</v>
          </cell>
          <cell r="J90" t="str">
            <v>Washington Twp</v>
          </cell>
          <cell r="K90" t="str">
            <v>501 Jarvis Rd</v>
          </cell>
          <cell r="L90" t="str">
            <v>NJ</v>
          </cell>
          <cell r="M90">
            <v>8081</v>
          </cell>
          <cell r="N90" t="str">
            <v>501 Jarvis Rd Erial, NJ 08081</v>
          </cell>
        </row>
        <row r="91">
          <cell r="G91">
            <v>418879</v>
          </cell>
          <cell r="H91" t="str">
            <v>Charles F. Patton Middle Schoo</v>
          </cell>
          <cell r="I91" t="str">
            <v>Kennett Square</v>
          </cell>
          <cell r="K91" t="str">
            <v>760 Unionville Rd</v>
          </cell>
          <cell r="L91" t="str">
            <v>PA</v>
          </cell>
          <cell r="M91">
            <v>19348</v>
          </cell>
          <cell r="N91" t="str">
            <v>760 Unionville Rd Kennett Square, PA 19348</v>
          </cell>
        </row>
        <row r="92">
          <cell r="G92">
            <v>269602</v>
          </cell>
          <cell r="H92" t="str">
            <v>Paul's Run Retirement Communit</v>
          </cell>
          <cell r="I92" t="str">
            <v>Philadelphia</v>
          </cell>
          <cell r="K92" t="str">
            <v>9896 Bustleton Ave</v>
          </cell>
          <cell r="L92" t="str">
            <v>PA</v>
          </cell>
          <cell r="M92">
            <v>19115</v>
          </cell>
          <cell r="N92" t="str">
            <v>9896 Bustleton Ave Philadelphia, PA 19115</v>
          </cell>
        </row>
        <row r="93">
          <cell r="G93">
            <v>239903</v>
          </cell>
          <cell r="H93" t="str">
            <v>DUTCHWAY FARM MARKET#</v>
          </cell>
          <cell r="I93" t="str">
            <v>Gap</v>
          </cell>
          <cell r="K93" t="str">
            <v>365 Route 41</v>
          </cell>
          <cell r="L93" t="str">
            <v>PA</v>
          </cell>
          <cell r="M93">
            <v>17527</v>
          </cell>
          <cell r="N93" t="str">
            <v>365 Route 41 Gap, PA 17527</v>
          </cell>
        </row>
        <row r="94">
          <cell r="G94">
            <v>418857</v>
          </cell>
          <cell r="H94" t="str">
            <v>Triton Regional High School</v>
          </cell>
          <cell r="I94" t="str">
            <v>Runnemede</v>
          </cell>
          <cell r="J94" t="str">
            <v>Cherry Hill</v>
          </cell>
          <cell r="K94" t="str">
            <v>250 Schubert Ave</v>
          </cell>
          <cell r="L94" t="str">
            <v>NJ</v>
          </cell>
          <cell r="M94">
            <v>8078</v>
          </cell>
          <cell r="N94" t="str">
            <v>250 Schubert Ave Runnemede, NJ 08078</v>
          </cell>
        </row>
        <row r="95">
          <cell r="G95">
            <v>246234</v>
          </cell>
          <cell r="H95" t="str">
            <v>Morrisville School District</v>
          </cell>
          <cell r="I95" t="str">
            <v>Morrisville</v>
          </cell>
          <cell r="K95" t="str">
            <v>550 W Palmer St</v>
          </cell>
          <cell r="L95" t="str">
            <v>PA</v>
          </cell>
          <cell r="M95">
            <v>19067</v>
          </cell>
          <cell r="N95" t="str">
            <v>550 W Palmer St Morrisville, PA 19067</v>
          </cell>
        </row>
        <row r="96">
          <cell r="G96">
            <v>415449</v>
          </cell>
          <cell r="H96" t="str">
            <v>EASTERN YORK MIDDLE SCHOOL</v>
          </cell>
          <cell r="I96" t="str">
            <v>Wrightsville</v>
          </cell>
          <cell r="K96" t="str">
            <v>746 Cool Creek Rd</v>
          </cell>
          <cell r="L96" t="str">
            <v>PA</v>
          </cell>
          <cell r="M96">
            <v>17368</v>
          </cell>
          <cell r="N96" t="str">
            <v>746 Cool Creek Rd Wrightsville, PA 17368</v>
          </cell>
        </row>
        <row r="97">
          <cell r="G97">
            <v>415365</v>
          </cell>
          <cell r="H97" t="str">
            <v>BLUE MOUNTAIN HIGH SCHOOL</v>
          </cell>
          <cell r="I97" t="str">
            <v>Schuylkill Haven</v>
          </cell>
          <cell r="K97" t="str">
            <v>1076 W Market St</v>
          </cell>
          <cell r="L97" t="str">
            <v>PA</v>
          </cell>
          <cell r="M97">
            <v>17972</v>
          </cell>
          <cell r="N97" t="str">
            <v>1076 W Market St Schuylkill Haven, PA 17972</v>
          </cell>
        </row>
        <row r="98">
          <cell r="G98">
            <v>441294</v>
          </cell>
          <cell r="H98" t="str">
            <v>Central Regional High School</v>
          </cell>
          <cell r="I98" t="str">
            <v>Bayville</v>
          </cell>
          <cell r="J98" t="str">
            <v>Jersey Shore - North</v>
          </cell>
          <cell r="K98" t="str">
            <v>509 Forest Hills Pkwy</v>
          </cell>
          <cell r="L98" t="str">
            <v>NJ</v>
          </cell>
          <cell r="M98">
            <v>8721</v>
          </cell>
          <cell r="N98" t="str">
            <v>509 Forest Hills Pkwy Bayville, NJ 08721</v>
          </cell>
        </row>
        <row r="99">
          <cell r="G99">
            <v>415442</v>
          </cell>
          <cell r="H99" t="str">
            <v>DONEGAL INTERMEDIATE SCHOOL</v>
          </cell>
          <cell r="I99" t="str">
            <v>Marietta</v>
          </cell>
          <cell r="K99" t="str">
            <v>1179 River Rd</v>
          </cell>
          <cell r="L99" t="str">
            <v>PA</v>
          </cell>
          <cell r="M99">
            <v>17547</v>
          </cell>
          <cell r="N99" t="str">
            <v>1179 River Rd Marietta, PA 17547</v>
          </cell>
        </row>
        <row r="100">
          <cell r="G100">
            <v>240169</v>
          </cell>
          <cell r="H100" t="str">
            <v>GARDEN SPOT VILLAGE APN</v>
          </cell>
          <cell r="I100" t="str">
            <v>New Holland</v>
          </cell>
          <cell r="K100" t="str">
            <v>433 S Kinzer Ave</v>
          </cell>
          <cell r="L100" t="str">
            <v>PA</v>
          </cell>
          <cell r="M100">
            <v>17557</v>
          </cell>
          <cell r="N100" t="str">
            <v>433 S Kinzer Ave New Holland, PA 17557</v>
          </cell>
        </row>
        <row r="101">
          <cell r="G101">
            <v>417688</v>
          </cell>
          <cell r="H101" t="str">
            <v>Kennett High School</v>
          </cell>
          <cell r="I101" t="str">
            <v>Kennett Square</v>
          </cell>
          <cell r="K101" t="str">
            <v>100 E South St</v>
          </cell>
          <cell r="L101" t="str">
            <v>PA</v>
          </cell>
          <cell r="M101">
            <v>19348</v>
          </cell>
          <cell r="N101" t="str">
            <v>100 E South St Kennett Square, PA 19348</v>
          </cell>
        </row>
        <row r="102">
          <cell r="G102">
            <v>428612</v>
          </cell>
          <cell r="H102" t="str">
            <v>INTERMEDIATE SCHOOL</v>
          </cell>
          <cell r="I102" t="str">
            <v>Shillington</v>
          </cell>
          <cell r="K102" t="str">
            <v>600 Governor Dr</v>
          </cell>
          <cell r="L102" t="str">
            <v>PA</v>
          </cell>
          <cell r="M102">
            <v>19607</v>
          </cell>
          <cell r="N102" t="str">
            <v>600 Governor Dr Shillington, PA 19607</v>
          </cell>
        </row>
        <row r="103">
          <cell r="G103">
            <v>436093</v>
          </cell>
          <cell r="H103" t="str">
            <v>Supply Bldg. # 3</v>
          </cell>
          <cell r="I103" t="str">
            <v>Hammonton</v>
          </cell>
          <cell r="K103" t="str">
            <v>392 N WHITE HORSE PIKE (NEXT TO)</v>
          </cell>
          <cell r="L103" t="str">
            <v>NJ</v>
          </cell>
          <cell r="M103">
            <v>8037</v>
          </cell>
          <cell r="N103" t="str">
            <v>392 N WHITE HORSE PIKE (NEXT TO) Hammonton, NJ 08037</v>
          </cell>
        </row>
        <row r="104">
          <cell r="G104">
            <v>240035</v>
          </cell>
          <cell r="H104" t="str">
            <v>FAIRFIELD AREA SCHOOL DISTRICT</v>
          </cell>
          <cell r="I104" t="str">
            <v>Fairfield</v>
          </cell>
          <cell r="K104" t="str">
            <v>4840 Fairfield Rd</v>
          </cell>
          <cell r="L104" t="str">
            <v>PA</v>
          </cell>
          <cell r="M104">
            <v>17320</v>
          </cell>
          <cell r="N104" t="str">
            <v>4840 Fairfield Rd Fairfield, PA 17320</v>
          </cell>
        </row>
        <row r="105">
          <cell r="G105">
            <v>241277</v>
          </cell>
          <cell r="H105" t="str">
            <v>NORTHERN LEBANON SCHOOL DIST#</v>
          </cell>
          <cell r="I105" t="str">
            <v>Fredericksburg</v>
          </cell>
          <cell r="K105" t="str">
            <v>345 SCHOOL DR</v>
          </cell>
          <cell r="L105" t="str">
            <v>PA</v>
          </cell>
          <cell r="M105">
            <v>17026</v>
          </cell>
          <cell r="N105" t="str">
            <v>345 SCHOOL DR Fredericksburg, PA 17026</v>
          </cell>
        </row>
        <row r="106">
          <cell r="G106">
            <v>449766</v>
          </cell>
          <cell r="H106" t="str">
            <v>LANDIS RUN INTERMEDIATE SCHOOL</v>
          </cell>
          <cell r="I106" t="str">
            <v>Lancaster</v>
          </cell>
          <cell r="K106" t="str">
            <v>25 Blue Streak Blvd</v>
          </cell>
          <cell r="L106" t="str">
            <v>PA</v>
          </cell>
          <cell r="M106">
            <v>17606</v>
          </cell>
          <cell r="N106" t="str">
            <v>25 Blue Streak Blvd Lancaster, PA 17606</v>
          </cell>
        </row>
        <row r="107">
          <cell r="G107">
            <v>453637</v>
          </cell>
          <cell r="H107" t="str">
            <v>SOLANCO HIGH SCHOOL</v>
          </cell>
          <cell r="I107" t="str">
            <v>Quarryville</v>
          </cell>
          <cell r="K107" t="str">
            <v>585 Solanco Rd</v>
          </cell>
          <cell r="L107" t="str">
            <v>PA</v>
          </cell>
          <cell r="M107">
            <v>17566</v>
          </cell>
          <cell r="N107" t="str">
            <v>585 Solanco Rd Quarryville, PA 17566</v>
          </cell>
        </row>
        <row r="108">
          <cell r="G108">
            <v>305531</v>
          </cell>
          <cell r="H108" t="str">
            <v>Newark Charter Meece Campus</v>
          </cell>
          <cell r="I108" t="str">
            <v>Newark</v>
          </cell>
          <cell r="K108" t="str">
            <v>2001 Patriot Way</v>
          </cell>
          <cell r="L108" t="str">
            <v>DE</v>
          </cell>
          <cell r="M108">
            <v>19711</v>
          </cell>
          <cell r="N108" t="str">
            <v>2001 Patriot Way Newark, DE 19711</v>
          </cell>
        </row>
        <row r="109">
          <cell r="G109">
            <v>267491</v>
          </cell>
          <cell r="H109" t="str">
            <v>Gill St Bernards School</v>
          </cell>
          <cell r="I109" t="str">
            <v>Gladstone</v>
          </cell>
          <cell r="K109" t="str">
            <v>25 St Bernards Rd</v>
          </cell>
          <cell r="L109" t="str">
            <v>NJ</v>
          </cell>
          <cell r="M109">
            <v>7934</v>
          </cell>
          <cell r="N109" t="str">
            <v>25 St Bernards Rd Gladstone, NJ 07934</v>
          </cell>
        </row>
        <row r="110">
          <cell r="G110">
            <v>265838</v>
          </cell>
          <cell r="H110" t="str">
            <v>YMCA of BUCKS</v>
          </cell>
          <cell r="I110" t="str">
            <v>Doylestown</v>
          </cell>
          <cell r="J110" t="str">
            <v>Philly Suburbs - North</v>
          </cell>
          <cell r="K110" t="str">
            <v>2500 Lower State Rd</v>
          </cell>
          <cell r="L110" t="str">
            <v>PA</v>
          </cell>
          <cell r="M110">
            <v>18901</v>
          </cell>
          <cell r="N110" t="str">
            <v>2500 Lower State Rd Doylestown, PA 18901</v>
          </cell>
        </row>
        <row r="111">
          <cell r="G111">
            <v>418990</v>
          </cell>
          <cell r="H111" t="str">
            <v>Wayne Elementary School</v>
          </cell>
          <cell r="I111" t="str">
            <v>Wayne</v>
          </cell>
          <cell r="K111" t="str">
            <v>651 W Wayne Ave</v>
          </cell>
          <cell r="L111" t="str">
            <v>PA</v>
          </cell>
          <cell r="M111">
            <v>19087</v>
          </cell>
          <cell r="N111" t="str">
            <v>651 W Wayne Ave Wayne, PA 19087</v>
          </cell>
        </row>
        <row r="112">
          <cell r="G112">
            <v>418407</v>
          </cell>
          <cell r="H112" t="str">
            <v>Pottstown Middle School</v>
          </cell>
          <cell r="I112" t="str">
            <v>Pottstown</v>
          </cell>
          <cell r="K112" t="str">
            <v>600 N Franklin St</v>
          </cell>
          <cell r="L112" t="str">
            <v>PA</v>
          </cell>
          <cell r="M112">
            <v>19464</v>
          </cell>
          <cell r="N112" t="str">
            <v>600 N Franklin St Pottstown, PA 19464</v>
          </cell>
        </row>
        <row r="113">
          <cell r="G113">
            <v>447724</v>
          </cell>
          <cell r="H113" t="str">
            <v>DONEGAL PRIMARY SCHOOL</v>
          </cell>
          <cell r="I113" t="str">
            <v>Mount Joy</v>
          </cell>
          <cell r="K113" t="str">
            <v>1055 Koser Rd</v>
          </cell>
          <cell r="L113" t="str">
            <v>PA</v>
          </cell>
          <cell r="M113">
            <v>17552</v>
          </cell>
          <cell r="N113" t="str">
            <v>1055 Koser Rd Mount Joy, PA 17552</v>
          </cell>
        </row>
        <row r="114">
          <cell r="G114">
            <v>429860</v>
          </cell>
          <cell r="H114" t="str">
            <v>STEELTON HIGHSPIRE HIGH SCHOOL</v>
          </cell>
          <cell r="I114" t="str">
            <v>Steelton</v>
          </cell>
          <cell r="K114" t="str">
            <v>250 Reynders St</v>
          </cell>
          <cell r="L114" t="str">
            <v>PA</v>
          </cell>
          <cell r="M114">
            <v>17113</v>
          </cell>
          <cell r="N114" t="str">
            <v>250 Reynders St Steelton, PA 17113</v>
          </cell>
        </row>
        <row r="115">
          <cell r="G115">
            <v>461320</v>
          </cell>
          <cell r="H115" t="str">
            <v>SHIKELLAMY MIDDLE SCHOOL</v>
          </cell>
          <cell r="I115" t="str">
            <v>NORTHUMBERLAND</v>
          </cell>
          <cell r="K115" t="str">
            <v>545 Permastone Dr</v>
          </cell>
          <cell r="L115" t="str">
            <v>PA</v>
          </cell>
          <cell r="M115">
            <v>17857</v>
          </cell>
          <cell r="N115" t="str">
            <v>545 Permastone Dr NORTHUMBERLAND, PA 17857</v>
          </cell>
        </row>
        <row r="116">
          <cell r="G116">
            <v>244121</v>
          </cell>
          <cell r="H116" t="str">
            <v>Longwood Gardens</v>
          </cell>
          <cell r="I116" t="str">
            <v>Kennett Square</v>
          </cell>
          <cell r="K116" t="str">
            <v>1001 Longwood Rd</v>
          </cell>
          <cell r="L116" t="str">
            <v>PA</v>
          </cell>
          <cell r="M116">
            <v>19348</v>
          </cell>
          <cell r="N116" t="str">
            <v>1001 Longwood Rd Kennett Square, PA 19348</v>
          </cell>
        </row>
        <row r="117">
          <cell r="G117">
            <v>415848</v>
          </cell>
          <cell r="H117" t="str">
            <v>WEST YORK SCHOOL WAREHOUSE</v>
          </cell>
          <cell r="I117" t="str">
            <v>York</v>
          </cell>
          <cell r="K117" t="str">
            <v>2625 WEST CLARK AVE</v>
          </cell>
          <cell r="L117" t="str">
            <v>PA</v>
          </cell>
          <cell r="M117">
            <v>17408</v>
          </cell>
          <cell r="N117" t="str">
            <v>2625 WEST CLARK AVE York, PA 17408</v>
          </cell>
        </row>
        <row r="118">
          <cell r="G118">
            <v>483288</v>
          </cell>
          <cell r="H118" t="str">
            <v>High Hotels DBA</v>
          </cell>
          <cell r="I118" t="str">
            <v>Lancaster</v>
          </cell>
          <cell r="K118" t="str">
            <v>1931 Hospitality Dr</v>
          </cell>
          <cell r="L118" t="str">
            <v>PA</v>
          </cell>
          <cell r="M118">
            <v>17601</v>
          </cell>
          <cell r="N118" t="str">
            <v>1931 Hospitality Dr Lancaster, PA 17601</v>
          </cell>
        </row>
        <row r="119">
          <cell r="G119">
            <v>473955</v>
          </cell>
          <cell r="H119" t="str">
            <v>TOM MASANO AUTO GROUP</v>
          </cell>
          <cell r="I119" t="str">
            <v>Reading</v>
          </cell>
          <cell r="K119" t="str">
            <v>46 Grace St</v>
          </cell>
          <cell r="L119" t="str">
            <v>PA</v>
          </cell>
          <cell r="M119">
            <v>19611</v>
          </cell>
          <cell r="N119" t="str">
            <v>46 Grace St Reading, PA 19611</v>
          </cell>
        </row>
        <row r="120">
          <cell r="G120">
            <v>483714</v>
          </cell>
          <cell r="H120" t="str">
            <v>Lanc Leb IU13-Lancaster Cathol</v>
          </cell>
          <cell r="I120" t="str">
            <v>Lancaster</v>
          </cell>
          <cell r="K120" t="str">
            <v>650 Juliette Ave</v>
          </cell>
          <cell r="L120" t="str">
            <v>PA</v>
          </cell>
          <cell r="M120">
            <v>17601</v>
          </cell>
          <cell r="N120" t="str">
            <v>650 Juliette Ave Lancaster, PA 17601</v>
          </cell>
        </row>
        <row r="121">
          <cell r="G121">
            <v>243232</v>
          </cell>
          <cell r="H121" t="str">
            <v>Cornerstone Health &amp; Fitness</v>
          </cell>
          <cell r="I121" t="str">
            <v>Furlong</v>
          </cell>
          <cell r="K121" t="str">
            <v>740 Edison Furlong Rd</v>
          </cell>
          <cell r="L121" t="str">
            <v>PA</v>
          </cell>
          <cell r="M121">
            <v>18925</v>
          </cell>
          <cell r="N121" t="str">
            <v>740 Edison Furlong Rd Furlong, PA 18925</v>
          </cell>
        </row>
        <row r="122">
          <cell r="G122">
            <v>417331</v>
          </cell>
          <cell r="H122" t="str">
            <v>George L. Hess Educational Com</v>
          </cell>
          <cell r="I122" t="str">
            <v>Mays Landing</v>
          </cell>
          <cell r="K122" t="str">
            <v>700 Babcock Rd</v>
          </cell>
          <cell r="L122" t="str">
            <v>NJ</v>
          </cell>
          <cell r="M122">
            <v>8330</v>
          </cell>
          <cell r="N122" t="str">
            <v>700 Babcock Rd Mays Landing, NJ 08330</v>
          </cell>
        </row>
        <row r="123">
          <cell r="G123">
            <v>479144</v>
          </cell>
          <cell r="H123" t="str">
            <v>Aston</v>
          </cell>
          <cell r="I123" t="str">
            <v>Aston</v>
          </cell>
          <cell r="J123" t="str">
            <v>Philly Suburbs - SW</v>
          </cell>
          <cell r="K123" t="str">
            <v>100 Crozerville Rd</v>
          </cell>
          <cell r="L123" t="str">
            <v>PA</v>
          </cell>
          <cell r="M123">
            <v>19014</v>
          </cell>
          <cell r="N123" t="str">
            <v>100 Crozerville Rd Aston, PA 19014</v>
          </cell>
        </row>
        <row r="124">
          <cell r="G124">
            <v>299941</v>
          </cell>
          <cell r="H124" t="str">
            <v>Wildwood Convention Center</v>
          </cell>
          <cell r="I124" t="str">
            <v>Wildwood</v>
          </cell>
          <cell r="K124" t="str">
            <v>4501 Boardwalk</v>
          </cell>
          <cell r="L124" t="str">
            <v>NJ</v>
          </cell>
          <cell r="M124">
            <v>8260</v>
          </cell>
          <cell r="N124" t="str">
            <v>4501 Boardwalk Wildwood, NJ 08260</v>
          </cell>
        </row>
        <row r="125">
          <cell r="G125">
            <v>417340</v>
          </cell>
          <cell r="H125" t="str">
            <v>Highland Regional High School</v>
          </cell>
          <cell r="I125" t="str">
            <v>Blackwood</v>
          </cell>
          <cell r="J125" t="str">
            <v>Cherry Hill</v>
          </cell>
          <cell r="K125" t="str">
            <v>450 Erial Rd</v>
          </cell>
          <cell r="L125" t="str">
            <v>NJ</v>
          </cell>
          <cell r="M125">
            <v>8012</v>
          </cell>
          <cell r="N125" t="str">
            <v>450 Erial Rd Blackwood, NJ 08012</v>
          </cell>
        </row>
        <row r="126">
          <cell r="G126">
            <v>239765</v>
          </cell>
          <cell r="H126" t="str">
            <v>DALLASTOWN AREA SCHOOL DIST</v>
          </cell>
          <cell r="I126" t="str">
            <v>DALLASTOWN</v>
          </cell>
          <cell r="K126" t="str">
            <v>700 New School Ln</v>
          </cell>
          <cell r="L126" t="str">
            <v>PA</v>
          </cell>
          <cell r="M126">
            <v>17313</v>
          </cell>
          <cell r="N126" t="str">
            <v>700 New School Ln DALLASTOWN, PA 17313</v>
          </cell>
        </row>
        <row r="127">
          <cell r="G127">
            <v>449185</v>
          </cell>
          <cell r="H127" t="str">
            <v>DONEGAL HIGH SCHOOL</v>
          </cell>
          <cell r="I127" t="str">
            <v>Mount Joy</v>
          </cell>
          <cell r="K127" t="str">
            <v>1025 Koser Rd</v>
          </cell>
          <cell r="L127" t="str">
            <v>PA</v>
          </cell>
          <cell r="M127">
            <v>17552</v>
          </cell>
          <cell r="N127" t="str">
            <v>1025 Koser Rd Mount Joy, PA 17552</v>
          </cell>
        </row>
        <row r="128">
          <cell r="G128">
            <v>415353</v>
          </cell>
          <cell r="H128" t="str">
            <v>Baresville Elementary School</v>
          </cell>
          <cell r="I128" t="str">
            <v>Hanover</v>
          </cell>
          <cell r="K128" t="str">
            <v>135 Sanford Ave</v>
          </cell>
          <cell r="L128" t="str">
            <v>PA</v>
          </cell>
          <cell r="M128">
            <v>17331</v>
          </cell>
          <cell r="N128" t="str">
            <v>135 Sanford Ave Hanover, PA 17331</v>
          </cell>
        </row>
        <row r="129">
          <cell r="G129">
            <v>239994</v>
          </cell>
          <cell r="H129" t="str">
            <v>EPHRATA MANOR#</v>
          </cell>
          <cell r="I129" t="str">
            <v>Ephrata</v>
          </cell>
          <cell r="K129" t="str">
            <v>99 Bethany Rd</v>
          </cell>
          <cell r="L129" t="str">
            <v>PA</v>
          </cell>
          <cell r="M129">
            <v>17522</v>
          </cell>
          <cell r="N129" t="str">
            <v>99 Bethany Rd Ephrata, PA 17522</v>
          </cell>
        </row>
        <row r="130">
          <cell r="G130">
            <v>240123</v>
          </cell>
          <cell r="H130" t="str">
            <v>FRANKLIN CLEANING EQUIPMENT#</v>
          </cell>
          <cell r="I130" t="str">
            <v>PLYMOUTH MEETING</v>
          </cell>
          <cell r="K130" t="str">
            <v>5116 Butler Pike</v>
          </cell>
          <cell r="L130" t="str">
            <v>PA</v>
          </cell>
          <cell r="M130">
            <v>19462</v>
          </cell>
          <cell r="N130" t="str">
            <v>5116 Butler Pike PLYMOUTH MEETING, PA 19462</v>
          </cell>
        </row>
        <row r="131">
          <cell r="G131">
            <v>430488</v>
          </cell>
          <cell r="H131" t="str">
            <v>Buena Regional High School</v>
          </cell>
          <cell r="I131" t="str">
            <v>Buena</v>
          </cell>
          <cell r="K131" t="str">
            <v>125 Weymouth Rd</v>
          </cell>
          <cell r="L131" t="str">
            <v>NJ</v>
          </cell>
          <cell r="M131">
            <v>8310</v>
          </cell>
          <cell r="N131" t="str">
            <v>125 Weymouth Rd Buena, NJ 08310</v>
          </cell>
        </row>
        <row r="132">
          <cell r="G132">
            <v>283059</v>
          </cell>
          <cell r="H132" t="str">
            <v>St Joseph Parish</v>
          </cell>
          <cell r="I132" t="str">
            <v>Downingtown</v>
          </cell>
          <cell r="K132" t="str">
            <v>332 Manor Ave</v>
          </cell>
          <cell r="L132" t="str">
            <v>PA</v>
          </cell>
          <cell r="M132">
            <v>19335</v>
          </cell>
          <cell r="N132" t="str">
            <v>332 Manor Ave Downingtown, PA 19335</v>
          </cell>
        </row>
        <row r="133">
          <cell r="G133">
            <v>430532</v>
          </cell>
          <cell r="H133" t="str">
            <v>Upper Township Elementary Scho</v>
          </cell>
          <cell r="I133" t="str">
            <v>Marmora</v>
          </cell>
          <cell r="K133" t="str">
            <v>50 N Old Tuckahoe Rd</v>
          </cell>
          <cell r="L133" t="str">
            <v>NJ</v>
          </cell>
          <cell r="M133">
            <v>8223</v>
          </cell>
          <cell r="N133" t="str">
            <v>50 N Old Tuckahoe Rd Marmora, NJ 08223</v>
          </cell>
        </row>
        <row r="134">
          <cell r="G134">
            <v>418878</v>
          </cell>
          <cell r="H134" t="str">
            <v>Unionville High School</v>
          </cell>
          <cell r="I134" t="str">
            <v>Kennett Square</v>
          </cell>
          <cell r="K134" t="str">
            <v>750 Unionville Rd</v>
          </cell>
          <cell r="L134" t="str">
            <v>PA</v>
          </cell>
          <cell r="M134">
            <v>19348</v>
          </cell>
          <cell r="N134" t="str">
            <v>750 Unionville Rd Kennett Square, PA 19348</v>
          </cell>
        </row>
        <row r="135">
          <cell r="G135">
            <v>244685</v>
          </cell>
          <cell r="H135" t="str">
            <v>Middle Township Board of Educa</v>
          </cell>
          <cell r="I135" t="str">
            <v>Cape May Court House</v>
          </cell>
          <cell r="K135" t="str">
            <v>216 S MAIN ST</v>
          </cell>
          <cell r="L135" t="str">
            <v>NJ</v>
          </cell>
          <cell r="M135">
            <v>8210</v>
          </cell>
          <cell r="N135" t="str">
            <v>216 S MAIN ST Cape May Court House, NJ 08210</v>
          </cell>
        </row>
        <row r="136">
          <cell r="G136">
            <v>442170</v>
          </cell>
          <cell r="H136" t="str">
            <v>LANCASTER HEALTH CENTER WATER</v>
          </cell>
          <cell r="I136" t="str">
            <v>Lancaster</v>
          </cell>
          <cell r="K136" t="str">
            <v>625 S Duke St</v>
          </cell>
          <cell r="L136" t="str">
            <v>PA</v>
          </cell>
          <cell r="M136">
            <v>17602</v>
          </cell>
          <cell r="N136" t="str">
            <v>625 S Duke St Lancaster, PA 17602</v>
          </cell>
        </row>
        <row r="137">
          <cell r="G137">
            <v>296306</v>
          </cell>
          <cell r="H137" t="str">
            <v>HAMILTON HEALTH CENTER INC#</v>
          </cell>
          <cell r="I137" t="str">
            <v>Harrisburg</v>
          </cell>
          <cell r="K137" t="str">
            <v>110 S 17th St</v>
          </cell>
          <cell r="L137" t="str">
            <v>PA</v>
          </cell>
          <cell r="M137">
            <v>17104</v>
          </cell>
          <cell r="N137" t="str">
            <v>110 S 17th St Harrisburg, PA 17104</v>
          </cell>
        </row>
        <row r="138">
          <cell r="G138">
            <v>279123</v>
          </cell>
          <cell r="H138" t="str">
            <v>Western Montgomery Career &amp;</v>
          </cell>
          <cell r="I138" t="str">
            <v>Limerick</v>
          </cell>
          <cell r="K138" t="str">
            <v>77 Gratersford Rd</v>
          </cell>
          <cell r="L138" t="str">
            <v>PA</v>
          </cell>
          <cell r="M138">
            <v>19468</v>
          </cell>
          <cell r="N138" t="str">
            <v>77 Gratersford Rd Limerick, PA 19468</v>
          </cell>
        </row>
        <row r="139">
          <cell r="G139">
            <v>442018</v>
          </cell>
          <cell r="H139" t="str">
            <v>MIFFLIN COUNTY MIDDLE SCHOOL</v>
          </cell>
          <cell r="I139" t="str">
            <v>Lewistown</v>
          </cell>
          <cell r="J139" t="str">
            <v>Lewistown</v>
          </cell>
          <cell r="K139" t="str">
            <v>2 Manor Dr</v>
          </cell>
          <cell r="L139" t="str">
            <v>PA</v>
          </cell>
          <cell r="M139">
            <v>17044</v>
          </cell>
          <cell r="N139" t="str">
            <v>2 Manor Dr Lewistown, PA 17044</v>
          </cell>
        </row>
        <row r="140">
          <cell r="G140">
            <v>418327</v>
          </cell>
          <cell r="H140" t="str">
            <v>Central Warehouse</v>
          </cell>
          <cell r="I140" t="str">
            <v>Langhorne</v>
          </cell>
          <cell r="K140" t="str">
            <v>9 Queen Anne Ct</v>
          </cell>
          <cell r="L140" t="str">
            <v>PA</v>
          </cell>
          <cell r="M140">
            <v>19047</v>
          </cell>
          <cell r="N140" t="str">
            <v>9 Queen Anne Ct Langhorne, PA 19047</v>
          </cell>
        </row>
        <row r="141">
          <cell r="G141">
            <v>417813</v>
          </cell>
          <cell r="H141" t="str">
            <v>Longwood Gardens</v>
          </cell>
          <cell r="I141" t="str">
            <v>Kennett Square</v>
          </cell>
          <cell r="K141" t="str">
            <v>409 Conservatory Rd</v>
          </cell>
          <cell r="L141" t="str">
            <v>PA</v>
          </cell>
          <cell r="M141">
            <v>19348</v>
          </cell>
          <cell r="N141" t="str">
            <v>409 Conservatory Rd Kennett Square, PA 19348</v>
          </cell>
        </row>
        <row r="142">
          <cell r="G142">
            <v>421747</v>
          </cell>
          <cell r="H142" t="str">
            <v>GREEN VALLEY ELEMENTARY</v>
          </cell>
          <cell r="I142" t="str">
            <v>Sinking Spring</v>
          </cell>
          <cell r="K142" t="str">
            <v>270 Green Valley Rd</v>
          </cell>
          <cell r="L142" t="str">
            <v>PA</v>
          </cell>
          <cell r="M142">
            <v>19608</v>
          </cell>
          <cell r="N142" t="str">
            <v>270 Green Valley Rd Sinking Spring, PA 19608</v>
          </cell>
        </row>
        <row r="143">
          <cell r="G143">
            <v>244164</v>
          </cell>
          <cell r="H143" t="str">
            <v>Harrison Township School Distr</v>
          </cell>
          <cell r="I143" t="str">
            <v>Mullica Hill</v>
          </cell>
          <cell r="K143" t="str">
            <v>120 N MAIN ST</v>
          </cell>
          <cell r="L143" t="str">
            <v>NJ</v>
          </cell>
          <cell r="M143">
            <v>8062</v>
          </cell>
          <cell r="N143" t="str">
            <v>120 N MAIN ST Mullica Hill, NJ 08062</v>
          </cell>
        </row>
        <row r="144">
          <cell r="G144">
            <v>240723</v>
          </cell>
          <cell r="H144" t="str">
            <v>LANC COUNTY BIBLE CHURCH#</v>
          </cell>
          <cell r="I144" t="str">
            <v>Manheim</v>
          </cell>
          <cell r="K144" t="str">
            <v>2392 Mount Joy Rd</v>
          </cell>
          <cell r="L144" t="str">
            <v>PA</v>
          </cell>
          <cell r="M144">
            <v>17545</v>
          </cell>
          <cell r="N144" t="str">
            <v>2392 Mount Joy Rd Manheim, PA 17545</v>
          </cell>
        </row>
        <row r="145">
          <cell r="G145">
            <v>452079</v>
          </cell>
          <cell r="H145" t="str">
            <v>Newark Charter High School</v>
          </cell>
          <cell r="I145" t="str">
            <v>Newark</v>
          </cell>
          <cell r="K145" t="str">
            <v>200 McIntire Dr</v>
          </cell>
          <cell r="L145" t="str">
            <v>DE</v>
          </cell>
          <cell r="M145">
            <v>19711</v>
          </cell>
          <cell r="N145" t="str">
            <v>200 McIntire Dr Newark, DE 19711</v>
          </cell>
        </row>
        <row r="146">
          <cell r="G146">
            <v>415447</v>
          </cell>
          <cell r="H146" t="str">
            <v>EASTERN YORK HIGH SCHOOL</v>
          </cell>
          <cell r="I146" t="str">
            <v>Wrightsville</v>
          </cell>
          <cell r="K146" t="str">
            <v>720 Cool Creek Rd</v>
          </cell>
          <cell r="L146" t="str">
            <v>PA</v>
          </cell>
          <cell r="M146">
            <v>17368</v>
          </cell>
          <cell r="N146" t="str">
            <v>720 Cool Creek Rd Wrightsville, PA 17368</v>
          </cell>
        </row>
        <row r="147">
          <cell r="G147">
            <v>471593</v>
          </cell>
          <cell r="H147" t="str">
            <v>LOYALSOCK HIGH SCHOOL</v>
          </cell>
          <cell r="I147" t="str">
            <v>Williamsport</v>
          </cell>
          <cell r="K147" t="str">
            <v>1801 Loyalsock Dr</v>
          </cell>
          <cell r="L147" t="str">
            <v>PA</v>
          </cell>
          <cell r="M147">
            <v>17701</v>
          </cell>
          <cell r="N147" t="str">
            <v>1801 Loyalsock Dr Williamsport, PA 17701</v>
          </cell>
        </row>
        <row r="148">
          <cell r="G148">
            <v>480713</v>
          </cell>
          <cell r="H148" t="str">
            <v>Meadowview Nursing Home COA</v>
          </cell>
          <cell r="I148" t="str">
            <v>Northfield</v>
          </cell>
          <cell r="K148" t="str">
            <v>235 Dolphin Ave</v>
          </cell>
          <cell r="L148" t="str">
            <v>NJ</v>
          </cell>
          <cell r="M148">
            <v>8225</v>
          </cell>
          <cell r="N148" t="str">
            <v>235 Dolphin Ave Northfield, NJ 08225</v>
          </cell>
        </row>
        <row r="149">
          <cell r="G149">
            <v>472845</v>
          </cell>
          <cell r="H149" t="str">
            <v>SHIKELLAMY HIGH SCHOOL</v>
          </cell>
          <cell r="I149" t="str">
            <v>Sunbury</v>
          </cell>
          <cell r="K149" t="str">
            <v>600 Walnut St</v>
          </cell>
          <cell r="L149" t="str">
            <v>PA</v>
          </cell>
          <cell r="M149">
            <v>17801</v>
          </cell>
          <cell r="N149" t="str">
            <v>600 Walnut St Sunbury, PA 17801</v>
          </cell>
        </row>
        <row r="150">
          <cell r="G150">
            <v>474555</v>
          </cell>
          <cell r="H150" t="str">
            <v>Bucks County Intermediate Unit</v>
          </cell>
          <cell r="I150" t="str">
            <v>Doylestown</v>
          </cell>
          <cell r="J150" t="str">
            <v>Philly Suburbs - North</v>
          </cell>
          <cell r="K150" t="str">
            <v>266 N Broad St</v>
          </cell>
          <cell r="L150" t="str">
            <v>PA</v>
          </cell>
          <cell r="M150">
            <v>18901</v>
          </cell>
          <cell r="N150" t="str">
            <v>266 N Broad St Doylestown, PA 18901</v>
          </cell>
        </row>
        <row r="151">
          <cell r="G151">
            <v>418321</v>
          </cell>
          <cell r="H151" t="str">
            <v>West Campus - Pennsbury High S</v>
          </cell>
          <cell r="I151" t="str">
            <v>Fairless Hills</v>
          </cell>
          <cell r="K151" t="str">
            <v>608 S Olds Blvd</v>
          </cell>
          <cell r="L151" t="str">
            <v>PA</v>
          </cell>
          <cell r="M151">
            <v>19030</v>
          </cell>
          <cell r="N151" t="str">
            <v>608 S Olds Blvd Fairless Hills, PA 19030</v>
          </cell>
        </row>
        <row r="152">
          <cell r="G152">
            <v>416689</v>
          </cell>
          <cell r="H152" t="str">
            <v>Pleasant Valley High School</v>
          </cell>
          <cell r="I152" t="str">
            <v>Brodheadsville</v>
          </cell>
          <cell r="K152" t="str">
            <v>1671 Route 209</v>
          </cell>
          <cell r="L152" t="str">
            <v>PA</v>
          </cell>
          <cell r="M152">
            <v>18322</v>
          </cell>
          <cell r="N152" t="str">
            <v>1671 Route 209 Brodheadsville, PA 18322</v>
          </cell>
        </row>
        <row r="153">
          <cell r="G153">
            <v>343224</v>
          </cell>
          <cell r="H153" t="str">
            <v>Rutters Farm Store #80</v>
          </cell>
          <cell r="I153" t="str">
            <v>Orwigsburg</v>
          </cell>
          <cell r="K153" t="str">
            <v>1160 Centre Turnpike Drive</v>
          </cell>
          <cell r="L153" t="str">
            <v>PA</v>
          </cell>
          <cell r="M153">
            <v>17961</v>
          </cell>
          <cell r="N153" t="str">
            <v>1160 Centre Turnpike Drive Orwigsburg, PA 17961</v>
          </cell>
        </row>
        <row r="154">
          <cell r="G154">
            <v>415422</v>
          </cell>
          <cell r="H154" t="str">
            <v>COLUMBIA HIGH SCHOOL</v>
          </cell>
          <cell r="I154" t="str">
            <v>Columbia</v>
          </cell>
          <cell r="K154" t="str">
            <v>901 IRONVILLE PIKE</v>
          </cell>
          <cell r="L154" t="str">
            <v>PA</v>
          </cell>
          <cell r="M154">
            <v>17512</v>
          </cell>
          <cell r="N154" t="str">
            <v>901 IRONVILLE PIKE Columbia, PA 17512</v>
          </cell>
        </row>
        <row r="155">
          <cell r="G155">
            <v>480736</v>
          </cell>
          <cell r="H155" t="str">
            <v>Extra Space Storage</v>
          </cell>
          <cell r="I155" t="str">
            <v>West Chester</v>
          </cell>
          <cell r="K155" t="str">
            <v>1008 Greenhill Rd</v>
          </cell>
          <cell r="L155" t="str">
            <v>PA</v>
          </cell>
          <cell r="M155">
            <v>19380</v>
          </cell>
          <cell r="N155" t="str">
            <v>1008 Greenhill Rd West Chester, PA 19380</v>
          </cell>
        </row>
        <row r="156">
          <cell r="G156">
            <v>439786</v>
          </cell>
          <cell r="H156" t="str">
            <v>Div. of Support Services</v>
          </cell>
          <cell r="I156" t="str">
            <v>Northfield</v>
          </cell>
          <cell r="K156" t="str">
            <v>201 Shore Rd</v>
          </cell>
          <cell r="L156" t="str">
            <v>NJ</v>
          </cell>
          <cell r="M156">
            <v>8225</v>
          </cell>
          <cell r="N156" t="str">
            <v>201 Shore Rd Northfield, NJ 08225</v>
          </cell>
        </row>
        <row r="157">
          <cell r="G157">
            <v>442019</v>
          </cell>
          <cell r="H157" t="str">
            <v>Lewistown Elementary School</v>
          </cell>
          <cell r="I157" t="str">
            <v>Lewistown</v>
          </cell>
          <cell r="J157" t="str">
            <v>Lewistown</v>
          </cell>
          <cell r="K157" t="str">
            <v>1 Manor Dr</v>
          </cell>
          <cell r="L157" t="str">
            <v>PA</v>
          </cell>
          <cell r="M157">
            <v>17044</v>
          </cell>
          <cell r="N157" t="str">
            <v>1 Manor Dr Lewistown, PA 17044</v>
          </cell>
        </row>
        <row r="158">
          <cell r="G158">
            <v>417664</v>
          </cell>
          <cell r="H158" t="str">
            <v>Joseph C. Shaner Memorial Scho</v>
          </cell>
          <cell r="I158" t="str">
            <v>Mays Landing</v>
          </cell>
          <cell r="K158" t="str">
            <v>5801 3rd St</v>
          </cell>
          <cell r="L158" t="str">
            <v>NJ</v>
          </cell>
          <cell r="M158">
            <v>8330</v>
          </cell>
          <cell r="N158" t="str">
            <v>5801 3rd St Mays Landing, NJ 08330</v>
          </cell>
        </row>
        <row r="159">
          <cell r="G159">
            <v>335208</v>
          </cell>
          <cell r="H159" t="str">
            <v>Wallenpaupack Area School Dist</v>
          </cell>
          <cell r="I159" t="str">
            <v>Hawley</v>
          </cell>
          <cell r="K159" t="str">
            <v>2552 Route 6</v>
          </cell>
          <cell r="L159" t="str">
            <v>PA</v>
          </cell>
          <cell r="M159">
            <v>18428</v>
          </cell>
          <cell r="N159" t="str">
            <v>2552 Route 6 Hawley, PA 18428</v>
          </cell>
        </row>
        <row r="160">
          <cell r="G160">
            <v>428614</v>
          </cell>
          <cell r="H160" t="str">
            <v>GOVERNOR MIFFLIN HIGH SCHOOL</v>
          </cell>
          <cell r="I160" t="str">
            <v>Shillington</v>
          </cell>
          <cell r="K160" t="str">
            <v>101 S Waverly St</v>
          </cell>
          <cell r="L160" t="str">
            <v>PA</v>
          </cell>
          <cell r="M160">
            <v>19607</v>
          </cell>
          <cell r="N160" t="str">
            <v>101 S Waverly St Shillington, PA 19607</v>
          </cell>
        </row>
        <row r="161">
          <cell r="G161">
            <v>239007</v>
          </cell>
          <cell r="H161" t="str">
            <v>WILLOW VALLEY MANOR NORTH FLR#</v>
          </cell>
          <cell r="I161" t="str">
            <v>Lancaster</v>
          </cell>
          <cell r="K161" t="str">
            <v>600 Willow Valley Sq (Dock C)</v>
          </cell>
          <cell r="L161" t="str">
            <v>PA</v>
          </cell>
          <cell r="M161">
            <v>17602</v>
          </cell>
          <cell r="N161" t="str">
            <v>600 Willow Valley Sq (Dock C) Lancaster, PA 17602</v>
          </cell>
        </row>
        <row r="162">
          <cell r="G162">
            <v>239963</v>
          </cell>
          <cell r="H162" t="str">
            <v>ELITE SPORTSWEAR</v>
          </cell>
          <cell r="I162" t="str">
            <v>Reading</v>
          </cell>
          <cell r="K162" t="str">
            <v>2136 N 13th St</v>
          </cell>
          <cell r="L162" t="str">
            <v>PA</v>
          </cell>
          <cell r="M162">
            <v>19604</v>
          </cell>
          <cell r="N162" t="str">
            <v>2136 N 13th St Reading, PA 19604</v>
          </cell>
        </row>
        <row r="163">
          <cell r="G163">
            <v>440954</v>
          </cell>
          <cell r="H163" t="str">
            <v>NEWPORT HIGH MIDDLE SCHOOL</v>
          </cell>
          <cell r="I163" t="str">
            <v>Newport</v>
          </cell>
          <cell r="J163" t="str">
            <v>Harrisburg - N</v>
          </cell>
          <cell r="K163" t="str">
            <v>500 Caroline St</v>
          </cell>
          <cell r="L163" t="str">
            <v>PA</v>
          </cell>
          <cell r="M163">
            <v>17074</v>
          </cell>
          <cell r="N163" t="str">
            <v>500 Caroline St Newport, PA 17074</v>
          </cell>
        </row>
        <row r="164">
          <cell r="G164">
            <v>441660</v>
          </cell>
          <cell r="H164" t="str">
            <v>Meadowood Corporation</v>
          </cell>
          <cell r="I164" t="str">
            <v>Worcester</v>
          </cell>
          <cell r="K164" t="str">
            <v>3205 Skippack Pike</v>
          </cell>
          <cell r="L164" t="str">
            <v>PA</v>
          </cell>
          <cell r="M164">
            <v>19490</v>
          </cell>
          <cell r="N164" t="str">
            <v>3205 Skippack Pike Worcester, PA 19490</v>
          </cell>
        </row>
        <row r="165">
          <cell r="G165">
            <v>434258</v>
          </cell>
          <cell r="H165" t="str">
            <v>New Hope-Solebury High School</v>
          </cell>
          <cell r="I165" t="str">
            <v>New Hope</v>
          </cell>
          <cell r="K165" t="str">
            <v>182 W Bridge St</v>
          </cell>
          <cell r="L165" t="str">
            <v>PA</v>
          </cell>
          <cell r="M165">
            <v>18938</v>
          </cell>
          <cell r="N165" t="str">
            <v>182 W Bridge St New Hope, PA 18938</v>
          </cell>
        </row>
        <row r="166">
          <cell r="G166">
            <v>416687</v>
          </cell>
          <cell r="H166" t="str">
            <v>Clearview Regional High School</v>
          </cell>
          <cell r="I166" t="str">
            <v>Mullica Hill</v>
          </cell>
          <cell r="K166" t="str">
            <v>625 Breakneck Rd</v>
          </cell>
          <cell r="L166" t="str">
            <v>NJ</v>
          </cell>
          <cell r="M166">
            <v>8062</v>
          </cell>
          <cell r="N166" t="str">
            <v>625 Breakneck Rd Mullica Hill, NJ 08062</v>
          </cell>
        </row>
        <row r="167">
          <cell r="G167">
            <v>296933</v>
          </cell>
          <cell r="H167" t="str">
            <v>Delaware County Intermediate U</v>
          </cell>
          <cell r="I167" t="str">
            <v>Morton</v>
          </cell>
          <cell r="K167" t="str">
            <v>200 Yale Ave</v>
          </cell>
          <cell r="L167" t="str">
            <v>PA</v>
          </cell>
          <cell r="M167">
            <v>19070</v>
          </cell>
          <cell r="N167" t="str">
            <v>200 Yale Ave Morton, PA 19070</v>
          </cell>
        </row>
        <row r="168">
          <cell r="G168">
            <v>418074</v>
          </cell>
          <cell r="H168" t="str">
            <v>Everett Meredith Middle School</v>
          </cell>
          <cell r="I168" t="str">
            <v>MIDDLETOWN</v>
          </cell>
          <cell r="K168" t="str">
            <v>504 S Broad St</v>
          </cell>
          <cell r="L168" t="str">
            <v>DE</v>
          </cell>
          <cell r="M168">
            <v>19709</v>
          </cell>
          <cell r="N168" t="str">
            <v>504 S Broad St MIDDLETOWN, DE 19709</v>
          </cell>
        </row>
        <row r="169">
          <cell r="G169">
            <v>329340</v>
          </cell>
          <cell r="H169" t="str">
            <v>George School</v>
          </cell>
          <cell r="I169" t="str">
            <v>Newtown</v>
          </cell>
          <cell r="K169" t="str">
            <v>1690 Newtown Langhorne Rd- PMB 4062</v>
          </cell>
          <cell r="L169" t="str">
            <v>PA</v>
          </cell>
          <cell r="M169">
            <v>18940</v>
          </cell>
          <cell r="N169" t="str">
            <v>1690 Newtown Langhorne Rd- PMB 4062 Newtown, PA 18940</v>
          </cell>
        </row>
        <row r="170">
          <cell r="G170">
            <v>415366</v>
          </cell>
          <cell r="H170" t="str">
            <v>BLUE MOUNTAIN MIDDLE SCHOOL</v>
          </cell>
          <cell r="I170" t="str">
            <v>Orwigsburg</v>
          </cell>
          <cell r="K170" t="str">
            <v>685 Red Dale Rd</v>
          </cell>
          <cell r="L170" t="str">
            <v>PA</v>
          </cell>
          <cell r="M170">
            <v>17961</v>
          </cell>
          <cell r="N170" t="str">
            <v>685 Red Dale Rd Orwigsburg, PA 17961</v>
          </cell>
        </row>
        <row r="171">
          <cell r="G171">
            <v>305603</v>
          </cell>
          <cell r="H171" t="str">
            <v>The Gardens Operator LLC</v>
          </cell>
          <cell r="I171" t="str">
            <v>Pittsgrove</v>
          </cell>
          <cell r="K171" t="str">
            <v>849 Big Oak Rd</v>
          </cell>
          <cell r="L171" t="str">
            <v>NJ</v>
          </cell>
          <cell r="M171">
            <v>8318</v>
          </cell>
          <cell r="N171" t="str">
            <v>849 Big Oak Rd Pittsgrove, NJ 08318</v>
          </cell>
        </row>
        <row r="172">
          <cell r="G172">
            <v>324316</v>
          </cell>
          <cell r="H172" t="str">
            <v>RUTTERS FARM STORES #77</v>
          </cell>
          <cell r="I172" t="str">
            <v>Duncannon</v>
          </cell>
          <cell r="J172" t="str">
            <v>Harrisburg - N</v>
          </cell>
          <cell r="K172" t="str">
            <v>77 BENVENUE RD</v>
          </cell>
          <cell r="L172" t="str">
            <v>PA</v>
          </cell>
          <cell r="M172">
            <v>17020</v>
          </cell>
          <cell r="N172" t="str">
            <v>77 BENVENUE RD Duncannon, PA 17020</v>
          </cell>
        </row>
        <row r="173">
          <cell r="G173">
            <v>273310</v>
          </cell>
          <cell r="H173" t="str">
            <v>RUTTERS FARM STORES #56</v>
          </cell>
          <cell r="I173" t="str">
            <v>New Cumberland</v>
          </cell>
          <cell r="K173" t="str">
            <v>368 LEWISBERRY RD</v>
          </cell>
          <cell r="L173" t="str">
            <v>PA</v>
          </cell>
          <cell r="M173">
            <v>17070</v>
          </cell>
          <cell r="N173" t="str">
            <v>368 LEWISBERRY RD New Cumberland, PA 17070</v>
          </cell>
        </row>
        <row r="174">
          <cell r="G174">
            <v>310018</v>
          </cell>
          <cell r="H174" t="str">
            <v>RUTTERS FARM STORE #34</v>
          </cell>
          <cell r="I174" t="str">
            <v>Leola</v>
          </cell>
          <cell r="K174" t="str">
            <v>370 W MAIN ST</v>
          </cell>
          <cell r="L174" t="str">
            <v>PA</v>
          </cell>
          <cell r="M174">
            <v>17540</v>
          </cell>
          <cell r="N174" t="str">
            <v>370 W MAIN ST Leola, PA 17540</v>
          </cell>
        </row>
        <row r="175">
          <cell r="G175">
            <v>462132</v>
          </cell>
          <cell r="H175" t="str">
            <v>Lower Southampton Early Learni</v>
          </cell>
          <cell r="I175" t="str">
            <v>Feasterville Trevose</v>
          </cell>
          <cell r="J175" t="str">
            <v>Philly Suburbs - North</v>
          </cell>
          <cell r="K175" t="str">
            <v>7 School Ln</v>
          </cell>
          <cell r="L175" t="str">
            <v>PA</v>
          </cell>
          <cell r="M175">
            <v>19053</v>
          </cell>
          <cell r="N175" t="str">
            <v>7 School Ln Feasterville Trevose, PA 19053</v>
          </cell>
        </row>
        <row r="176">
          <cell r="G176">
            <v>479155</v>
          </cell>
          <cell r="H176" t="str">
            <v>Marple</v>
          </cell>
          <cell r="I176" t="str">
            <v>Broomall</v>
          </cell>
          <cell r="K176" t="str">
            <v>85 N Malin Rd</v>
          </cell>
          <cell r="L176" t="str">
            <v>PA</v>
          </cell>
          <cell r="M176">
            <v>19008</v>
          </cell>
          <cell r="N176" t="str">
            <v>85 N Malin Rd Broomall, PA 19008</v>
          </cell>
        </row>
        <row r="177">
          <cell r="G177">
            <v>464362</v>
          </cell>
          <cell r="H177" t="str">
            <v>Cornerstone Health &amp; Fitness</v>
          </cell>
          <cell r="I177" t="str">
            <v>New Hope</v>
          </cell>
          <cell r="K177" t="str">
            <v>322 W Bridge St</v>
          </cell>
          <cell r="L177" t="str">
            <v>PA</v>
          </cell>
          <cell r="M177">
            <v>18938</v>
          </cell>
          <cell r="N177" t="str">
            <v>322 W Bridge St New Hope, PA 18938</v>
          </cell>
        </row>
        <row r="178">
          <cell r="G178">
            <v>254417</v>
          </cell>
          <cell r="H178" t="str">
            <v>RUTTERS FARM STORES #59</v>
          </cell>
          <cell r="I178" t="str">
            <v>Fawn Grove</v>
          </cell>
          <cell r="K178" t="str">
            <v>69 W MAIN ST</v>
          </cell>
          <cell r="L178" t="str">
            <v>PA</v>
          </cell>
          <cell r="M178">
            <v>17321</v>
          </cell>
          <cell r="N178" t="str">
            <v>69 W MAIN ST Fawn Grove, PA 17321</v>
          </cell>
        </row>
        <row r="179">
          <cell r="G179">
            <v>415481</v>
          </cell>
          <cell r="H179" t="str">
            <v>GETTYSBURG COLLEGE</v>
          </cell>
          <cell r="I179" t="str">
            <v>Gettysburg</v>
          </cell>
          <cell r="K179" t="str">
            <v>300 N Washington St</v>
          </cell>
          <cell r="L179" t="str">
            <v>PA</v>
          </cell>
          <cell r="M179">
            <v>17325</v>
          </cell>
          <cell r="N179" t="str">
            <v>300 N Washington St Gettysburg, PA 17325</v>
          </cell>
        </row>
        <row r="180">
          <cell r="G180">
            <v>254632</v>
          </cell>
          <cell r="H180" t="str">
            <v>Fred Beans Ford Lincoln-Main</v>
          </cell>
          <cell r="I180" t="str">
            <v>Doylestown</v>
          </cell>
          <cell r="J180" t="str">
            <v>Philly Suburbs - North</v>
          </cell>
          <cell r="K180" t="str">
            <v>876 N Easton Rd</v>
          </cell>
          <cell r="L180" t="str">
            <v>PA</v>
          </cell>
          <cell r="M180">
            <v>18902</v>
          </cell>
          <cell r="N180" t="str">
            <v>876 N Easton Rd Doylestown, PA 18902</v>
          </cell>
        </row>
        <row r="181">
          <cell r="G181">
            <v>312881</v>
          </cell>
          <cell r="H181" t="str">
            <v>RUTTERS FARM STORES #70</v>
          </cell>
          <cell r="I181" t="str">
            <v>Strasburg</v>
          </cell>
          <cell r="K181" t="str">
            <v>405 HISTORIC DR</v>
          </cell>
          <cell r="L181" t="str">
            <v>PA</v>
          </cell>
          <cell r="M181">
            <v>17579</v>
          </cell>
          <cell r="N181" t="str">
            <v>405 HISTORIC DR Strasburg, PA 17579</v>
          </cell>
        </row>
        <row r="182">
          <cell r="G182">
            <v>418088</v>
          </cell>
          <cell r="H182" t="str">
            <v>Middletown High School</v>
          </cell>
          <cell r="I182" t="str">
            <v>MIDDLETOWN</v>
          </cell>
          <cell r="K182" t="str">
            <v>120 Silver Lake Rd</v>
          </cell>
          <cell r="L182" t="str">
            <v>DE</v>
          </cell>
          <cell r="M182">
            <v>19709</v>
          </cell>
          <cell r="N182" t="str">
            <v>120 Silver Lake Rd MIDDLETOWN, DE 19709</v>
          </cell>
        </row>
        <row r="183">
          <cell r="G183">
            <v>437785</v>
          </cell>
          <cell r="H183" t="str">
            <v>Radnor Middle School</v>
          </cell>
          <cell r="I183" t="str">
            <v>Wayne</v>
          </cell>
          <cell r="K183" t="str">
            <v>150 Louella Ave</v>
          </cell>
          <cell r="L183" t="str">
            <v>PA</v>
          </cell>
          <cell r="M183">
            <v>19087</v>
          </cell>
          <cell r="N183" t="str">
            <v>150 Louella Ave Wayne, PA 19087</v>
          </cell>
        </row>
        <row r="184">
          <cell r="G184">
            <v>450409</v>
          </cell>
          <cell r="H184" t="str">
            <v>MUHLENBERG ELEMENTARY CENTER</v>
          </cell>
          <cell r="I184" t="str">
            <v>Reading</v>
          </cell>
          <cell r="K184" t="str">
            <v>610 Sharp Ave</v>
          </cell>
          <cell r="L184" t="str">
            <v>PA</v>
          </cell>
          <cell r="M184">
            <v>19605</v>
          </cell>
          <cell r="N184" t="str">
            <v>610 Sharp Ave Reading, PA 19605</v>
          </cell>
        </row>
        <row r="185">
          <cell r="G185">
            <v>305533</v>
          </cell>
          <cell r="H185" t="str">
            <v>Newark Charter High Campus</v>
          </cell>
          <cell r="I185" t="str">
            <v>Newark</v>
          </cell>
          <cell r="K185" t="str">
            <v>200 McIntire Dr</v>
          </cell>
          <cell r="L185" t="str">
            <v>DE</v>
          </cell>
          <cell r="M185">
            <v>19711</v>
          </cell>
          <cell r="N185" t="str">
            <v>200 McIntire Dr Newark, DE 19711</v>
          </cell>
        </row>
        <row r="186">
          <cell r="G186">
            <v>418322</v>
          </cell>
          <cell r="H186" t="str">
            <v>East Campus - Pennsbury High S</v>
          </cell>
          <cell r="I186" t="str">
            <v>Fairless Hills</v>
          </cell>
          <cell r="K186" t="str">
            <v>705 Hood Blvd</v>
          </cell>
          <cell r="L186" t="str">
            <v>PA</v>
          </cell>
          <cell r="M186">
            <v>19030</v>
          </cell>
          <cell r="N186" t="str">
            <v>705 Hood Blvd Fairless Hills, PA 19030</v>
          </cell>
        </row>
        <row r="187">
          <cell r="G187">
            <v>281240</v>
          </cell>
          <cell r="H187" t="str">
            <v>FRANKLIN &amp; MARSHALL COLLEGE</v>
          </cell>
          <cell r="I187" t="str">
            <v>Lancaster</v>
          </cell>
          <cell r="K187" t="str">
            <v>415 Harrisburg Ave</v>
          </cell>
          <cell r="L187" t="str">
            <v>PA</v>
          </cell>
          <cell r="M187">
            <v>17603</v>
          </cell>
          <cell r="N187" t="str">
            <v>415 Harrisburg Ave Lancaster, PA 17603</v>
          </cell>
        </row>
        <row r="188">
          <cell r="G188">
            <v>456913</v>
          </cell>
          <cell r="H188" t="str">
            <v>GETTYSBURG HIGH SCHOOL</v>
          </cell>
          <cell r="I188" t="str">
            <v>Gettysburg</v>
          </cell>
          <cell r="K188" t="str">
            <v>1130 Old Harrisburg Rd</v>
          </cell>
          <cell r="L188" t="str">
            <v>PA</v>
          </cell>
          <cell r="M188">
            <v>17325</v>
          </cell>
          <cell r="N188" t="str">
            <v>1130 Old Harrisburg Rd Gettysburg, PA 17325</v>
          </cell>
        </row>
        <row r="189">
          <cell r="G189">
            <v>464042</v>
          </cell>
          <cell r="H189" t="str">
            <v>TURKEY HILL - REFRIGERATED WHS</v>
          </cell>
          <cell r="I189" t="str">
            <v>Conestoga</v>
          </cell>
          <cell r="K189" t="str">
            <v>2601 River Rd</v>
          </cell>
          <cell r="L189" t="str">
            <v>PA</v>
          </cell>
          <cell r="M189">
            <v>17516</v>
          </cell>
          <cell r="N189" t="str">
            <v>2601 River Rd Conestoga, PA 17516</v>
          </cell>
        </row>
        <row r="190">
          <cell r="G190">
            <v>455587</v>
          </cell>
          <cell r="H190" t="str">
            <v>WAYNESBORO SENIOR HIGH SCHOOL</v>
          </cell>
          <cell r="I190" t="str">
            <v>Waynesboro</v>
          </cell>
          <cell r="K190" t="str">
            <v>550 E 2nd St</v>
          </cell>
          <cell r="L190" t="str">
            <v>PA</v>
          </cell>
          <cell r="M190">
            <v>17268</v>
          </cell>
          <cell r="N190" t="str">
            <v>550 E 2nd St Waynesboro, PA 17268</v>
          </cell>
        </row>
        <row r="191">
          <cell r="G191">
            <v>456608</v>
          </cell>
          <cell r="H191" t="str">
            <v>OLEY VALLEY ELEMENTARY SCHOOL</v>
          </cell>
          <cell r="I191" t="str">
            <v>Oley</v>
          </cell>
          <cell r="K191" t="str">
            <v>3257 Friedensburg Rd</v>
          </cell>
          <cell r="L191" t="str">
            <v>PA</v>
          </cell>
          <cell r="M191">
            <v>19547</v>
          </cell>
          <cell r="N191" t="str">
            <v>3257 Friedensburg Rd Oley, PA 19547</v>
          </cell>
        </row>
        <row r="192">
          <cell r="G192">
            <v>417686</v>
          </cell>
          <cell r="H192" t="str">
            <v>Kennett Middle School</v>
          </cell>
          <cell r="I192" t="str">
            <v>Landenberg</v>
          </cell>
          <cell r="K192" t="str">
            <v>195 Sunny Dell Rd</v>
          </cell>
          <cell r="L192" t="str">
            <v>PA</v>
          </cell>
          <cell r="M192">
            <v>19350</v>
          </cell>
          <cell r="N192" t="str">
            <v>195 Sunny Dell Rd Landenberg, PA 19350</v>
          </cell>
        </row>
        <row r="193">
          <cell r="G193">
            <v>243127</v>
          </cell>
          <cell r="H193" t="str">
            <v>Central Montco Technical High</v>
          </cell>
          <cell r="I193" t="str">
            <v>PLYMOUTH MEETING</v>
          </cell>
          <cell r="K193" t="str">
            <v>821 PLYMOUTH RD</v>
          </cell>
          <cell r="L193" t="str">
            <v>PA</v>
          </cell>
          <cell r="M193">
            <v>19462</v>
          </cell>
          <cell r="N193" t="str">
            <v>821 PLYMOUTH RD PLYMOUTH MEETING, PA 19462</v>
          </cell>
        </row>
        <row r="194">
          <cell r="G194">
            <v>433159</v>
          </cell>
          <cell r="H194" t="str">
            <v>Pleasant Valley Elementary Sch</v>
          </cell>
          <cell r="I194" t="str">
            <v>Kunkletown</v>
          </cell>
          <cell r="K194" t="str">
            <v>476 Polk Township Rd</v>
          </cell>
          <cell r="L194" t="str">
            <v>PA</v>
          </cell>
          <cell r="M194">
            <v>18058</v>
          </cell>
          <cell r="N194" t="str">
            <v>476 Polk Township Rd Kunkletown, PA 18058</v>
          </cell>
        </row>
        <row r="195">
          <cell r="G195">
            <v>239188</v>
          </cell>
          <cell r="H195" t="str">
            <v>ANTIETAM SCHOOL DISTRICT</v>
          </cell>
          <cell r="I195" t="str">
            <v>Reading</v>
          </cell>
          <cell r="K195" t="str">
            <v>201 N 25TH ST</v>
          </cell>
          <cell r="L195" t="str">
            <v>PA</v>
          </cell>
          <cell r="M195">
            <v>19606</v>
          </cell>
          <cell r="N195" t="str">
            <v>201 N 25TH ST Reading, PA 19606</v>
          </cell>
        </row>
        <row r="196">
          <cell r="G196">
            <v>241654</v>
          </cell>
          <cell r="H196" t="str">
            <v>RUTTERS FARM STORE #17</v>
          </cell>
          <cell r="I196" t="str">
            <v>East Berlin</v>
          </cell>
          <cell r="K196" t="str">
            <v>2115 E Berlin Rd</v>
          </cell>
          <cell r="L196" t="str">
            <v>PA</v>
          </cell>
          <cell r="M196">
            <v>17316</v>
          </cell>
          <cell r="N196" t="str">
            <v>2115 E Berlin Rd East Berlin, PA 17316</v>
          </cell>
        </row>
        <row r="197">
          <cell r="G197">
            <v>417882</v>
          </cell>
          <cell r="H197" t="str">
            <v>PLEASANT VALLEY MIDDLE SCHOOL</v>
          </cell>
          <cell r="I197" t="str">
            <v>Brodheadsville</v>
          </cell>
          <cell r="K197" t="str">
            <v>2233 Route 115</v>
          </cell>
          <cell r="L197" t="str">
            <v>PA</v>
          </cell>
          <cell r="M197">
            <v>18322</v>
          </cell>
          <cell r="N197" t="str">
            <v>2233 Route 115 Brodheadsville, PA 18322</v>
          </cell>
        </row>
        <row r="198">
          <cell r="G198">
            <v>343897</v>
          </cell>
          <cell r="H198" t="str">
            <v>DUTCHWAY FARM MARKET#</v>
          </cell>
          <cell r="I198" t="str">
            <v>Ephrata</v>
          </cell>
          <cell r="K198" t="str">
            <v>1125 S State St</v>
          </cell>
          <cell r="L198" t="str">
            <v>PA</v>
          </cell>
          <cell r="M198">
            <v>17522</v>
          </cell>
          <cell r="N198" t="str">
            <v>1125 S State St Ephrata, PA 17522</v>
          </cell>
        </row>
        <row r="199">
          <cell r="G199">
            <v>472897</v>
          </cell>
          <cell r="H199" t="str">
            <v>Odessa High School</v>
          </cell>
          <cell r="I199" t="str">
            <v>Townsend</v>
          </cell>
          <cell r="K199" t="str">
            <v>570 Tony Marchio Dr</v>
          </cell>
          <cell r="L199" t="str">
            <v>DE</v>
          </cell>
          <cell r="M199">
            <v>19734</v>
          </cell>
          <cell r="N199" t="str">
            <v>570 Tony Marchio Dr Townsend, DE 19734</v>
          </cell>
        </row>
        <row r="200">
          <cell r="G200">
            <v>471995</v>
          </cell>
          <cell r="H200" t="str">
            <v>BMW of the Main Line</v>
          </cell>
          <cell r="I200" t="str">
            <v>Bala Cynwyd</v>
          </cell>
          <cell r="J200" t="str">
            <v>Philly - NW</v>
          </cell>
          <cell r="K200" t="str">
            <v>225 Bala Ave</v>
          </cell>
          <cell r="L200" t="str">
            <v>PA</v>
          </cell>
          <cell r="M200">
            <v>19004</v>
          </cell>
          <cell r="N200" t="str">
            <v>225 Bala Ave Bala Cynwyd, PA 19004</v>
          </cell>
        </row>
        <row r="201">
          <cell r="G201">
            <v>340912</v>
          </cell>
          <cell r="H201" t="str">
            <v>FRIENDSHIP YMCA</v>
          </cell>
          <cell r="I201" t="str">
            <v>Harrisburg</v>
          </cell>
          <cell r="K201" t="str">
            <v>5000 Commons Dr</v>
          </cell>
          <cell r="L201" t="str">
            <v>PA</v>
          </cell>
          <cell r="M201">
            <v>17112</v>
          </cell>
          <cell r="N201" t="str">
            <v>5000 Commons Dr Harrisburg, PA 17112</v>
          </cell>
        </row>
        <row r="202">
          <cell r="G202">
            <v>433841</v>
          </cell>
          <cell r="H202" t="str">
            <v>Maintenance Bldg. - NHTS</v>
          </cell>
          <cell r="I202" t="str">
            <v>Wrightstown</v>
          </cell>
          <cell r="J202" t="str">
            <v>Trenton - SW</v>
          </cell>
          <cell r="K202" t="str">
            <v>46 Schoolhouse Rd</v>
          </cell>
          <cell r="L202" t="str">
            <v>NJ</v>
          </cell>
          <cell r="M202">
            <v>8562</v>
          </cell>
          <cell r="N202" t="str">
            <v>46 Schoolhouse Rd Wrightstown, NJ 08562</v>
          </cell>
        </row>
        <row r="203">
          <cell r="G203">
            <v>470820</v>
          </cell>
          <cell r="H203" t="str">
            <v>Middletown Public School Distr</v>
          </cell>
          <cell r="I203" t="str">
            <v>MIDDLETOWN</v>
          </cell>
          <cell r="K203" t="str">
            <v>4 Swartzel Dr</v>
          </cell>
          <cell r="L203" t="str">
            <v>NJ</v>
          </cell>
          <cell r="M203">
            <v>7748</v>
          </cell>
          <cell r="N203" t="str">
            <v>4 Swartzel Dr MIDDLETOWN, NJ 07748</v>
          </cell>
        </row>
        <row r="204">
          <cell r="G204">
            <v>438780</v>
          </cell>
          <cell r="H204" t="str">
            <v>Buena Regional Middle School</v>
          </cell>
          <cell r="I204" t="str">
            <v>Buena</v>
          </cell>
          <cell r="K204" t="str">
            <v>175 Weymouth Rd</v>
          </cell>
          <cell r="L204" t="str">
            <v>NJ</v>
          </cell>
          <cell r="M204">
            <v>8310</v>
          </cell>
          <cell r="N204" t="str">
            <v>175 Weymouth Rd Buena, NJ 08310</v>
          </cell>
        </row>
        <row r="205">
          <cell r="G205">
            <v>447600</v>
          </cell>
          <cell r="H205" t="str">
            <v>St Dorothy School</v>
          </cell>
          <cell r="I205" t="str">
            <v>Drexel Hill</v>
          </cell>
          <cell r="K205" t="str">
            <v>1225 Burmont Rd</v>
          </cell>
          <cell r="L205" t="str">
            <v>PA</v>
          </cell>
          <cell r="M205">
            <v>19026</v>
          </cell>
          <cell r="N205" t="str">
            <v>1225 Burmont Rd Drexel Hill, PA 19026</v>
          </cell>
        </row>
        <row r="206">
          <cell r="G206">
            <v>416334</v>
          </cell>
          <cell r="H206" t="str">
            <v>Pleasant Valley Intermediate S</v>
          </cell>
          <cell r="I206" t="str">
            <v>Kunkletown</v>
          </cell>
          <cell r="K206" t="str">
            <v>477 Polk Township Rd</v>
          </cell>
          <cell r="L206" t="str">
            <v>PA</v>
          </cell>
          <cell r="M206">
            <v>18058</v>
          </cell>
          <cell r="N206" t="str">
            <v>477 Polk Township Rd Kunkletown, PA 18058</v>
          </cell>
        </row>
        <row r="207">
          <cell r="G207">
            <v>453170</v>
          </cell>
          <cell r="H207" t="str">
            <v>BEAR CREEK SCHOOL</v>
          </cell>
          <cell r="I207" t="str">
            <v>ELIZABETHTOWN</v>
          </cell>
          <cell r="K207" t="str">
            <v>1459 Sheaffer Rd</v>
          </cell>
          <cell r="L207" t="str">
            <v>PA</v>
          </cell>
          <cell r="M207">
            <v>17022</v>
          </cell>
          <cell r="N207" t="str">
            <v>1459 Sheaffer Rd ELIZABETHTOWN, PA 17022</v>
          </cell>
        </row>
        <row r="208">
          <cell r="G208">
            <v>330637</v>
          </cell>
          <cell r="H208" t="str">
            <v>ALBRIGHT COLLEGE</v>
          </cell>
          <cell r="I208" t="str">
            <v>Reading</v>
          </cell>
          <cell r="K208" t="str">
            <v>1621 N 13th St</v>
          </cell>
          <cell r="L208" t="str">
            <v>PA</v>
          </cell>
          <cell r="M208">
            <v>19604</v>
          </cell>
          <cell r="N208" t="str">
            <v>1621 N 13th St Reading, PA 19604</v>
          </cell>
        </row>
        <row r="209">
          <cell r="G209">
            <v>243460</v>
          </cell>
          <cell r="H209" t="str">
            <v>Cliff Fitzgerald</v>
          </cell>
          <cell r="I209" t="str">
            <v>North Wales</v>
          </cell>
          <cell r="K209" t="str">
            <v>601 Ellison Dr</v>
          </cell>
          <cell r="L209" t="str">
            <v>PA</v>
          </cell>
          <cell r="M209">
            <v>19454</v>
          </cell>
          <cell r="N209" t="str">
            <v>601 Ellison Dr North Wales, PA 19454</v>
          </cell>
        </row>
        <row r="210">
          <cell r="G210">
            <v>459971</v>
          </cell>
          <cell r="H210" t="str">
            <v>Work Space Property Trust L.P</v>
          </cell>
          <cell r="I210" t="str">
            <v>Horsham</v>
          </cell>
          <cell r="K210" t="str">
            <v>240 Gibraltar Rd</v>
          </cell>
          <cell r="L210" t="str">
            <v>PA</v>
          </cell>
          <cell r="M210">
            <v>19044</v>
          </cell>
          <cell r="N210" t="str">
            <v>240 Gibraltar Rd Horsham, PA 19044</v>
          </cell>
        </row>
        <row r="211">
          <cell r="G211">
            <v>296066</v>
          </cell>
          <cell r="H211" t="str">
            <v>Fairview Village Church</v>
          </cell>
          <cell r="I211" t="str">
            <v>Eagleville</v>
          </cell>
          <cell r="K211" t="str">
            <v>3044 W Germantown Pike</v>
          </cell>
          <cell r="L211" t="str">
            <v>PA</v>
          </cell>
          <cell r="M211">
            <v>19403</v>
          </cell>
          <cell r="N211" t="str">
            <v>3044 W Germantown Pike Eagleville, PA 19403</v>
          </cell>
        </row>
        <row r="212">
          <cell r="G212">
            <v>472106</v>
          </cell>
          <cell r="H212" t="str">
            <v>Pickering Valley Elementary</v>
          </cell>
          <cell r="I212" t="str">
            <v>Chester Springs</v>
          </cell>
          <cell r="K212" t="str">
            <v>121 Byers Rd</v>
          </cell>
          <cell r="L212" t="str">
            <v>PA</v>
          </cell>
          <cell r="M212">
            <v>19425</v>
          </cell>
          <cell r="N212" t="str">
            <v>121 Byers Rd Chester Springs, PA 19425</v>
          </cell>
        </row>
        <row r="213">
          <cell r="G213">
            <v>293699</v>
          </cell>
          <cell r="H213" t="str">
            <v>Precision Acura of Princeton</v>
          </cell>
          <cell r="I213" t="str">
            <v>Lawrenceville</v>
          </cell>
          <cell r="K213" t="str">
            <v>3001 US Highway 1</v>
          </cell>
          <cell r="L213" t="str">
            <v>NJ</v>
          </cell>
          <cell r="M213">
            <v>8648</v>
          </cell>
          <cell r="N213" t="str">
            <v>3001 US Highway 1 Lawrenceville, NJ 08648</v>
          </cell>
        </row>
        <row r="214">
          <cell r="G214">
            <v>265209</v>
          </cell>
          <cell r="H214" t="str">
            <v>LANCASTER REHABILITATION HOSPI</v>
          </cell>
          <cell r="I214" t="str">
            <v>Lancaster</v>
          </cell>
          <cell r="K214" t="str">
            <v>675 Good Dr</v>
          </cell>
          <cell r="L214" t="str">
            <v>PA</v>
          </cell>
          <cell r="M214">
            <v>17601</v>
          </cell>
          <cell r="N214" t="str">
            <v>675 Good Dr Lancaster, PA 17601</v>
          </cell>
        </row>
        <row r="215">
          <cell r="G215">
            <v>417335</v>
          </cell>
          <cell r="H215" t="str">
            <v>Hibbert Group</v>
          </cell>
          <cell r="I215" t="str">
            <v>Trenton</v>
          </cell>
          <cell r="K215" t="str">
            <v>400 Pennington Ave</v>
          </cell>
          <cell r="L215" t="str">
            <v>NJ</v>
          </cell>
          <cell r="M215">
            <v>8618</v>
          </cell>
          <cell r="N215" t="str">
            <v>400 Pennington Ave Trenton, NJ 08618</v>
          </cell>
        </row>
        <row r="216">
          <cell r="G216">
            <v>429836</v>
          </cell>
          <cell r="H216" t="str">
            <v>Pocopson Elementary School</v>
          </cell>
          <cell r="I216" t="str">
            <v>West Chester</v>
          </cell>
          <cell r="K216" t="str">
            <v>1105 Pocopson Rd</v>
          </cell>
          <cell r="L216" t="str">
            <v>PA</v>
          </cell>
          <cell r="M216">
            <v>19382</v>
          </cell>
          <cell r="N216" t="str">
            <v>1105 Pocopson Rd West Chester, PA 19382</v>
          </cell>
        </row>
        <row r="217">
          <cell r="G217">
            <v>243049</v>
          </cell>
          <cell r="H217" t="str">
            <v>Bucks County Technical High Sc</v>
          </cell>
          <cell r="I217" t="str">
            <v>Fairless Hills</v>
          </cell>
          <cell r="K217" t="str">
            <v>610 Wistar Rd</v>
          </cell>
          <cell r="L217" t="str">
            <v>PA</v>
          </cell>
          <cell r="M217">
            <v>19030</v>
          </cell>
          <cell r="N217" t="str">
            <v>610 Wistar Rd Fairless Hills, PA 19030</v>
          </cell>
        </row>
        <row r="218">
          <cell r="G218">
            <v>417403</v>
          </cell>
          <cell r="H218" t="str">
            <v>Greenwood Elementary School</v>
          </cell>
          <cell r="I218" t="str">
            <v>Kennett Square</v>
          </cell>
          <cell r="K218" t="str">
            <v>420 Greenwood Rd</v>
          </cell>
          <cell r="L218" t="str">
            <v>PA</v>
          </cell>
          <cell r="M218">
            <v>19348</v>
          </cell>
          <cell r="N218" t="str">
            <v>420 Greenwood Rd Kennett Square, PA 19348</v>
          </cell>
        </row>
        <row r="219">
          <cell r="G219">
            <v>307689</v>
          </cell>
          <cell r="H219" t="str">
            <v>St Huberts High School</v>
          </cell>
          <cell r="I219" t="str">
            <v>Philadelphia</v>
          </cell>
          <cell r="K219" t="str">
            <v>7320 Torresdale Ave</v>
          </cell>
          <cell r="L219" t="str">
            <v>PA</v>
          </cell>
          <cell r="M219">
            <v>19136</v>
          </cell>
          <cell r="N219" t="str">
            <v>7320 Torresdale Ave Philadelphia, PA 19136</v>
          </cell>
        </row>
        <row r="220">
          <cell r="G220">
            <v>417248</v>
          </cell>
          <cell r="H220" t="str">
            <v>FRANKLIN ELEMENTARY SCHOOL</v>
          </cell>
          <cell r="I220" t="str">
            <v>Pottstown</v>
          </cell>
          <cell r="K220" t="str">
            <v>970 N Franklin St</v>
          </cell>
          <cell r="L220" t="str">
            <v>PA</v>
          </cell>
          <cell r="M220">
            <v>19464</v>
          </cell>
          <cell r="N220" t="str">
            <v>970 N Franklin St Pottstown, PA 19464</v>
          </cell>
        </row>
        <row r="221">
          <cell r="G221">
            <v>418387</v>
          </cell>
          <cell r="H221" t="str">
            <v>Plymouth Whitemarsh High Schoo</v>
          </cell>
          <cell r="I221" t="str">
            <v>PLYMOUTH MEETING</v>
          </cell>
          <cell r="K221" t="str">
            <v>201 E Germantown Pike</v>
          </cell>
          <cell r="L221" t="str">
            <v>PA</v>
          </cell>
          <cell r="M221">
            <v>19462</v>
          </cell>
          <cell r="N221" t="str">
            <v>201 E Germantown Pike PLYMOUTH MEETING, PA 19462</v>
          </cell>
        </row>
        <row r="222">
          <cell r="G222">
            <v>428080</v>
          </cell>
          <cell r="H222" t="str">
            <v>Unionville Elementary</v>
          </cell>
          <cell r="I222" t="str">
            <v>Kennett Square</v>
          </cell>
          <cell r="K222" t="str">
            <v>1775 W Doe Run Rd</v>
          </cell>
          <cell r="L222" t="str">
            <v>PA</v>
          </cell>
          <cell r="M222">
            <v>19348</v>
          </cell>
          <cell r="N222" t="str">
            <v>1775 W Doe Run Rd Kennett Square, PA 19348</v>
          </cell>
        </row>
        <row r="223">
          <cell r="G223">
            <v>241653</v>
          </cell>
          <cell r="H223" t="str">
            <v>RUTTERS FARM STORE #14</v>
          </cell>
          <cell r="I223" t="str">
            <v>Dillsburg</v>
          </cell>
          <cell r="K223" t="str">
            <v>899 N US Route 15</v>
          </cell>
          <cell r="L223" t="str">
            <v>PA</v>
          </cell>
          <cell r="M223">
            <v>17019</v>
          </cell>
          <cell r="N223" t="str">
            <v>899 N US Route 15 Dillsburg, PA 17019</v>
          </cell>
        </row>
        <row r="224">
          <cell r="G224">
            <v>418311</v>
          </cell>
          <cell r="H224" t="str">
            <v>SOUTH MIDDLE SCHOOL</v>
          </cell>
          <cell r="I224" t="str">
            <v>Perkasie</v>
          </cell>
          <cell r="K224" t="str">
            <v>610 S 5th St</v>
          </cell>
          <cell r="L224" t="str">
            <v>PA</v>
          </cell>
          <cell r="M224">
            <v>18944</v>
          </cell>
          <cell r="N224" t="str">
            <v>610 S 5th St Perkasie, PA 18944</v>
          </cell>
        </row>
        <row r="225">
          <cell r="G225">
            <v>243402</v>
          </cell>
          <cell r="H225" t="str">
            <v>Episcopal Academy</v>
          </cell>
          <cell r="I225" t="str">
            <v>Newtown Square</v>
          </cell>
          <cell r="K225" t="str">
            <v>1785 Bishop White Dr</v>
          </cell>
          <cell r="L225" t="str">
            <v>PA</v>
          </cell>
          <cell r="M225">
            <v>19073</v>
          </cell>
          <cell r="N225" t="str">
            <v>1785 Bishop White Dr Newtown Square, PA 19073</v>
          </cell>
        </row>
        <row r="226">
          <cell r="G226">
            <v>482653</v>
          </cell>
          <cell r="H226" t="str">
            <v>Hibbert Group</v>
          </cell>
          <cell r="I226" t="str">
            <v>Robbinsville</v>
          </cell>
          <cell r="K226" t="str">
            <v>1100 US Highway 130</v>
          </cell>
          <cell r="L226" t="str">
            <v>NJ</v>
          </cell>
          <cell r="M226">
            <v>8691</v>
          </cell>
          <cell r="N226" t="str">
            <v>1100 US Highway 130 Robbinsville, NJ 08691</v>
          </cell>
        </row>
        <row r="227">
          <cell r="G227">
            <v>418331</v>
          </cell>
          <cell r="H227" t="str">
            <v>Pennwood Middle School</v>
          </cell>
          <cell r="I227" t="str">
            <v>Yardley</v>
          </cell>
          <cell r="K227" t="str">
            <v>1523 Makefield Rd</v>
          </cell>
          <cell r="L227" t="str">
            <v>PA</v>
          </cell>
          <cell r="M227">
            <v>19067</v>
          </cell>
          <cell r="N227" t="str">
            <v>1523 Makefield Rd Yardley, PA 19067</v>
          </cell>
        </row>
        <row r="228">
          <cell r="G228">
            <v>424965</v>
          </cell>
          <cell r="H228" t="str">
            <v>Florence Twp. Memorial High Sc</v>
          </cell>
          <cell r="I228" t="str">
            <v>Burlington</v>
          </cell>
          <cell r="J228" t="str">
            <v>Cherry Hill</v>
          </cell>
          <cell r="K228" t="str">
            <v>1050 Cedar Ln</v>
          </cell>
          <cell r="L228" t="str">
            <v>NJ</v>
          </cell>
          <cell r="M228">
            <v>8016</v>
          </cell>
          <cell r="N228" t="str">
            <v>1050 Cedar Ln Burlington, NJ 08016</v>
          </cell>
        </row>
        <row r="229">
          <cell r="G229">
            <v>428610</v>
          </cell>
          <cell r="H229" t="str">
            <v>BRECKNOCK ELEMENTARY</v>
          </cell>
          <cell r="I229" t="str">
            <v>Mohnton</v>
          </cell>
          <cell r="K229" t="str">
            <v>1332 Alleghenyville Rd</v>
          </cell>
          <cell r="L229" t="str">
            <v>PA</v>
          </cell>
          <cell r="M229">
            <v>19540</v>
          </cell>
          <cell r="N229" t="str">
            <v>1332 Alleghenyville Rd Mohnton, PA 19540</v>
          </cell>
        </row>
        <row r="230">
          <cell r="G230">
            <v>416716</v>
          </cell>
          <cell r="H230" t="str">
            <v>Colonial Elementary School</v>
          </cell>
          <cell r="I230" t="str">
            <v>PLYMOUTH MEETING</v>
          </cell>
          <cell r="K230" t="str">
            <v>230 Flourtown Rd</v>
          </cell>
          <cell r="L230" t="str">
            <v>PA</v>
          </cell>
          <cell r="M230">
            <v>19462</v>
          </cell>
          <cell r="N230" t="str">
            <v>230 Flourtown Rd PLYMOUTH MEETING, PA 19462</v>
          </cell>
        </row>
        <row r="231">
          <cell r="G231">
            <v>471126</v>
          </cell>
          <cell r="H231" t="str">
            <v>ENVIRONMENTAL - DG POTTSVILLE</v>
          </cell>
          <cell r="I231" t="str">
            <v>Pottsville</v>
          </cell>
          <cell r="K231" t="str">
            <v>1044 Keystone Blvd</v>
          </cell>
          <cell r="L231" t="str">
            <v>PA</v>
          </cell>
          <cell r="M231">
            <v>17901</v>
          </cell>
          <cell r="N231" t="str">
            <v>1044 Keystone Blvd Pottsville, PA 17901</v>
          </cell>
        </row>
        <row r="232">
          <cell r="G232">
            <v>305532</v>
          </cell>
          <cell r="H232" t="str">
            <v>Newark Charter Jr High Campus</v>
          </cell>
          <cell r="I232" t="str">
            <v>Newark</v>
          </cell>
          <cell r="K232" t="str">
            <v>1089 Elkton Rd</v>
          </cell>
          <cell r="L232" t="str">
            <v>DE</v>
          </cell>
          <cell r="M232">
            <v>19711</v>
          </cell>
          <cell r="N232" t="str">
            <v>1089 Elkton Rd Newark, DE 19711</v>
          </cell>
        </row>
        <row r="233">
          <cell r="G233">
            <v>472591</v>
          </cell>
          <cell r="H233" t="str">
            <v>ALBRIGHT COLLEGE</v>
          </cell>
          <cell r="I233" t="str">
            <v>Reading</v>
          </cell>
          <cell r="K233" t="str">
            <v>1801 N 12TH ST</v>
          </cell>
          <cell r="L233" t="str">
            <v>PA</v>
          </cell>
          <cell r="M233">
            <v>19604</v>
          </cell>
          <cell r="N233" t="str">
            <v>1801 N 12TH ST Reading, PA 19604</v>
          </cell>
        </row>
        <row r="234">
          <cell r="G234">
            <v>453635</v>
          </cell>
          <cell r="H234" t="str">
            <v>PROVIDENCE ELEM SCHOOL</v>
          </cell>
          <cell r="I234" t="str">
            <v>New Providence</v>
          </cell>
          <cell r="K234" t="str">
            <v>137 Truce Rd</v>
          </cell>
          <cell r="L234" t="str">
            <v>PA</v>
          </cell>
          <cell r="M234">
            <v>17560</v>
          </cell>
          <cell r="N234" t="str">
            <v>137 Truce Rd New Providence, PA 17560</v>
          </cell>
        </row>
        <row r="235">
          <cell r="G235">
            <v>342615</v>
          </cell>
          <cell r="H235" t="str">
            <v>Flemington-Raritan Regional BO</v>
          </cell>
          <cell r="I235" t="str">
            <v>Flemington</v>
          </cell>
          <cell r="K235" t="str">
            <v>50 Court St</v>
          </cell>
          <cell r="L235" t="str">
            <v>NJ</v>
          </cell>
          <cell r="M235">
            <v>8822</v>
          </cell>
          <cell r="N235" t="str">
            <v>50 Court St Flemington, NJ 08822</v>
          </cell>
        </row>
        <row r="236">
          <cell r="G236">
            <v>424732</v>
          </cell>
          <cell r="H236" t="str">
            <v>Bradford Heights Elementary Sc</v>
          </cell>
          <cell r="I236" t="str">
            <v>Downingtown</v>
          </cell>
          <cell r="K236" t="str">
            <v>1330 Romig Rd</v>
          </cell>
          <cell r="L236" t="str">
            <v>PA</v>
          </cell>
          <cell r="M236">
            <v>19335</v>
          </cell>
          <cell r="N236" t="str">
            <v>1330 Romig Rd Downingtown, PA 19335</v>
          </cell>
        </row>
        <row r="237">
          <cell r="G237">
            <v>468468</v>
          </cell>
          <cell r="H237" t="str">
            <v>CEDAR CLIFF HIGH SCHOOL</v>
          </cell>
          <cell r="I237" t="str">
            <v>CAMP HILL</v>
          </cell>
          <cell r="K237" t="str">
            <v>1301 Carlisle Rd</v>
          </cell>
          <cell r="L237" t="str">
            <v>PA</v>
          </cell>
          <cell r="M237">
            <v>17011</v>
          </cell>
          <cell r="N237" t="str">
            <v>1301 Carlisle Rd CAMP HILL, PA 17011</v>
          </cell>
        </row>
        <row r="238">
          <cell r="G238">
            <v>463492</v>
          </cell>
          <cell r="H238" t="str">
            <v>Medford Memorial Middle School</v>
          </cell>
          <cell r="I238" t="str">
            <v>Medford</v>
          </cell>
          <cell r="J238" t="str">
            <v>Southampton Twp</v>
          </cell>
          <cell r="K238" t="str">
            <v>55 Mill St</v>
          </cell>
          <cell r="L238" t="str">
            <v>NJ</v>
          </cell>
          <cell r="M238">
            <v>8055</v>
          </cell>
          <cell r="N238" t="str">
            <v>55 Mill St Medford, NJ 08055</v>
          </cell>
        </row>
        <row r="239">
          <cell r="G239">
            <v>416345</v>
          </cell>
          <cell r="H239" t="str">
            <v>Buildings &amp; Grounds Dept</v>
          </cell>
          <cell r="I239" t="str">
            <v>Farmingdale</v>
          </cell>
          <cell r="J239" t="str">
            <v>Trenton - East Shore</v>
          </cell>
          <cell r="K239" t="str">
            <v>405 Squankum Yellowbrook Rd</v>
          </cell>
          <cell r="L239" t="str">
            <v>NJ</v>
          </cell>
          <cell r="M239">
            <v>7727</v>
          </cell>
          <cell r="N239" t="str">
            <v>405 Squankum Yellowbrook Rd, Farmingdale, NJ 07727</v>
          </cell>
        </row>
        <row r="240">
          <cell r="G240">
            <v>416125</v>
          </cell>
          <cell r="H240" t="str">
            <v>Absegami High School</v>
          </cell>
          <cell r="I240" t="str">
            <v>Galloway</v>
          </cell>
          <cell r="K240" t="str">
            <v>201 S Wrangleboro Rd</v>
          </cell>
          <cell r="L240" t="str">
            <v>NJ</v>
          </cell>
          <cell r="M240">
            <v>8205</v>
          </cell>
          <cell r="N240" t="str">
            <v>201 S Wrangleboro Rd Galloway, NJ 08205</v>
          </cell>
        </row>
        <row r="241">
          <cell r="G241">
            <v>425128</v>
          </cell>
          <cell r="H241" t="str">
            <v>Shamona Creek Elementary Schoo</v>
          </cell>
          <cell r="I241" t="str">
            <v>Downingtown</v>
          </cell>
          <cell r="K241" t="str">
            <v>501 Dorlan Mill Rd</v>
          </cell>
          <cell r="L241" t="str">
            <v>PA</v>
          </cell>
          <cell r="M241">
            <v>19335</v>
          </cell>
          <cell r="N241" t="str">
            <v>501 Dorlan Mill Rd Downingtown, PA 19335</v>
          </cell>
        </row>
        <row r="242">
          <cell r="G242">
            <v>254506</v>
          </cell>
          <cell r="H242" t="str">
            <v>Maurice River Township BOE</v>
          </cell>
          <cell r="I242" t="str">
            <v>Port Elizabeth</v>
          </cell>
          <cell r="K242" t="str">
            <v>3593 Route 47</v>
          </cell>
          <cell r="L242" t="str">
            <v>NJ</v>
          </cell>
          <cell r="M242">
            <v>8348</v>
          </cell>
          <cell r="N242" t="str">
            <v>3593 Route 47 Port Elizabeth, NJ 08348</v>
          </cell>
        </row>
        <row r="243">
          <cell r="G243">
            <v>239793</v>
          </cell>
          <cell r="H243" t="str">
            <v>Dayspring Christian Academy</v>
          </cell>
          <cell r="I243" t="str">
            <v>Mountville</v>
          </cell>
          <cell r="K243" t="str">
            <v>120 College Ave</v>
          </cell>
          <cell r="L243" t="str">
            <v>PA</v>
          </cell>
          <cell r="M243">
            <v>17554</v>
          </cell>
          <cell r="N243" t="str">
            <v>120 College Ave Mountville, PA 17554</v>
          </cell>
        </row>
        <row r="244">
          <cell r="G244">
            <v>472574</v>
          </cell>
          <cell r="H244" t="str">
            <v>Central York School Food Servi</v>
          </cell>
          <cell r="I244" t="str">
            <v>York</v>
          </cell>
          <cell r="K244" t="str">
            <v>601 Mundis Mill Rd</v>
          </cell>
          <cell r="L244" t="str">
            <v>PA</v>
          </cell>
          <cell r="M244">
            <v>17406</v>
          </cell>
          <cell r="N244" t="str">
            <v>601 Mundis Mill Rd York, PA 17406</v>
          </cell>
        </row>
        <row r="245">
          <cell r="G245">
            <v>286760</v>
          </cell>
          <cell r="H245" t="str">
            <v>Premier CSI</v>
          </cell>
          <cell r="I245" t="str">
            <v>Jenkintown</v>
          </cell>
          <cell r="K245" t="str">
            <v>501 Washington Ln Ste 202</v>
          </cell>
          <cell r="L245" t="str">
            <v>PA</v>
          </cell>
          <cell r="M245">
            <v>19046</v>
          </cell>
          <cell r="N245" t="str">
            <v>501 Washington Ln Ste 202 Jenkintown, PA 19046</v>
          </cell>
        </row>
        <row r="246">
          <cell r="G246">
            <v>337114</v>
          </cell>
          <cell r="H246" t="str">
            <v>RUTTERS FARM STORES #91</v>
          </cell>
          <cell r="I246" t="str">
            <v>Gap</v>
          </cell>
          <cell r="K246" t="str">
            <v>5267 LINCOLN HWY</v>
          </cell>
          <cell r="L246" t="str">
            <v>PA</v>
          </cell>
          <cell r="M246">
            <v>17527</v>
          </cell>
          <cell r="N246" t="str">
            <v>5267 LINCOLN HWY Gap, PA 17527</v>
          </cell>
        </row>
        <row r="247">
          <cell r="G247">
            <v>449765</v>
          </cell>
          <cell r="H247" t="str">
            <v>MANHEIM TWP MIDDLE SCHOOL</v>
          </cell>
          <cell r="I247" t="str">
            <v>Lancaster</v>
          </cell>
          <cell r="K247" t="str">
            <v>155 N School Ln</v>
          </cell>
          <cell r="L247" t="str">
            <v>PA</v>
          </cell>
          <cell r="M247">
            <v>17603</v>
          </cell>
          <cell r="N247" t="str">
            <v>155 N School Ln Lancaster, PA 17603</v>
          </cell>
        </row>
        <row r="248">
          <cell r="G248">
            <v>309493</v>
          </cell>
          <cell r="H248" t="str">
            <v>RUTTERS FARM STORES #36</v>
          </cell>
          <cell r="I248" t="str">
            <v>York Springs</v>
          </cell>
          <cell r="K248" t="str">
            <v>3050 HEIDLERSBURG RD</v>
          </cell>
          <cell r="L248" t="str">
            <v>PA</v>
          </cell>
          <cell r="M248">
            <v>17372</v>
          </cell>
          <cell r="N248" t="str">
            <v>3050 HEIDLERSBURG RD York Springs, PA 17372</v>
          </cell>
        </row>
        <row r="249">
          <cell r="G249">
            <v>470565</v>
          </cell>
          <cell r="H249" t="str">
            <v>COCALICO HIGH SCHOOL</v>
          </cell>
          <cell r="I249" t="str">
            <v>Denver</v>
          </cell>
          <cell r="K249" t="str">
            <v>810 S 4th St</v>
          </cell>
          <cell r="L249" t="str">
            <v>PA</v>
          </cell>
          <cell r="M249">
            <v>17517</v>
          </cell>
          <cell r="N249" t="str">
            <v>810 S 4th St Denver, PA 17517</v>
          </cell>
        </row>
        <row r="250">
          <cell r="G250">
            <v>423810</v>
          </cell>
          <cell r="H250" t="str">
            <v>MT PENN PRIMARY CENTER</v>
          </cell>
          <cell r="I250" t="str">
            <v>Mount Penn</v>
          </cell>
          <cell r="K250" t="str">
            <v>201 N 25TH ST</v>
          </cell>
          <cell r="L250" t="str">
            <v>PA</v>
          </cell>
          <cell r="M250">
            <v>19606</v>
          </cell>
          <cell r="N250" t="str">
            <v>201 N 25TH ST Mount Penn, PA 19606</v>
          </cell>
        </row>
        <row r="251">
          <cell r="G251">
            <v>430824</v>
          </cell>
          <cell r="H251" t="str">
            <v>Appoquinimink High School</v>
          </cell>
          <cell r="I251" t="str">
            <v>MIDDLETOWN</v>
          </cell>
          <cell r="K251" t="str">
            <v>1080 Bunker Hill Rd</v>
          </cell>
          <cell r="L251" t="str">
            <v>DE</v>
          </cell>
          <cell r="M251">
            <v>19709</v>
          </cell>
          <cell r="N251" t="str">
            <v>1080 Bunker Hill Rd MIDDLETOWN, DE 19709</v>
          </cell>
        </row>
        <row r="252">
          <cell r="G252">
            <v>270040</v>
          </cell>
          <cell r="H252" t="str">
            <v>RUTTERS FARM STORES #11</v>
          </cell>
          <cell r="I252" t="str">
            <v>York</v>
          </cell>
          <cell r="K252" t="str">
            <v>160 N HILLS RD</v>
          </cell>
          <cell r="L252" t="str">
            <v>PA</v>
          </cell>
          <cell r="M252">
            <v>17402</v>
          </cell>
          <cell r="N252" t="str">
            <v>160 N HILLS RD York, PA 17402</v>
          </cell>
        </row>
        <row r="253">
          <cell r="G253">
            <v>469362</v>
          </cell>
          <cell r="H253" t="str">
            <v>YMCA of Bucks Fairless Hills</v>
          </cell>
          <cell r="I253" t="str">
            <v>Fairless Hills</v>
          </cell>
          <cell r="K253" t="str">
            <v>601 S Oxford Valley Rd</v>
          </cell>
          <cell r="L253" t="str">
            <v>PA</v>
          </cell>
          <cell r="M253">
            <v>19030</v>
          </cell>
          <cell r="N253" t="str">
            <v>601 S Oxford Valley Rd Fairless Hills, PA 19030</v>
          </cell>
        </row>
        <row r="254">
          <cell r="G254">
            <v>464836</v>
          </cell>
          <cell r="H254" t="str">
            <v>WITMANS CLEANING SERVICE LLC</v>
          </cell>
          <cell r="I254" t="str">
            <v>Laureldale</v>
          </cell>
          <cell r="K254" t="str">
            <v>1107 ELIZABETH AVE - REAR</v>
          </cell>
          <cell r="L254" t="str">
            <v>PA</v>
          </cell>
          <cell r="M254">
            <v>19605</v>
          </cell>
          <cell r="N254" t="str">
            <v>1107 ELIZABETH AVE - REAR Laureldale, PA 19605</v>
          </cell>
        </row>
        <row r="255">
          <cell r="G255">
            <v>480659</v>
          </cell>
          <cell r="H255" t="str">
            <v>ENVIRONMENTAL - Members 1st</v>
          </cell>
          <cell r="I255" t="str">
            <v>Enola</v>
          </cell>
          <cell r="K255" t="str">
            <v>5000 Marketplace Way</v>
          </cell>
          <cell r="L255" t="str">
            <v>PA</v>
          </cell>
          <cell r="M255">
            <v>17025</v>
          </cell>
          <cell r="N255" t="str">
            <v>5000 Marketplace Way Enola, PA 17025</v>
          </cell>
        </row>
        <row r="256">
          <cell r="G256">
            <v>415432</v>
          </cell>
          <cell r="H256" t="str">
            <v>DALLASTOWN MIDDLE SCHOOL</v>
          </cell>
          <cell r="I256" t="str">
            <v>DALLASTOWN</v>
          </cell>
          <cell r="K256" t="str">
            <v>700 New School Ln</v>
          </cell>
          <cell r="L256" t="str">
            <v>PA</v>
          </cell>
          <cell r="M256">
            <v>17313</v>
          </cell>
          <cell r="N256" t="str">
            <v>700 New School Ln DALLASTOWN, PA 17313</v>
          </cell>
        </row>
        <row r="257">
          <cell r="G257">
            <v>270588</v>
          </cell>
          <cell r="H257" t="str">
            <v>RUTTERS FARM STORES #27</v>
          </cell>
          <cell r="I257" t="str">
            <v>Hummelstown</v>
          </cell>
          <cell r="K257" t="str">
            <v>8210 DERRY ST</v>
          </cell>
          <cell r="L257" t="str">
            <v>PA</v>
          </cell>
          <cell r="M257">
            <v>17036</v>
          </cell>
          <cell r="N257" t="str">
            <v>8210 DERRY ST Hummelstown, PA 17036</v>
          </cell>
        </row>
        <row r="258">
          <cell r="G258">
            <v>296618</v>
          </cell>
          <cell r="H258" t="str">
            <v>HANOVER AREA YMCA#</v>
          </cell>
          <cell r="I258" t="str">
            <v>Hanover</v>
          </cell>
          <cell r="K258" t="str">
            <v>500 George St</v>
          </cell>
          <cell r="L258" t="str">
            <v>PA</v>
          </cell>
          <cell r="M258">
            <v>17331</v>
          </cell>
          <cell r="N258" t="str">
            <v>500 George St Hanover, PA 17331</v>
          </cell>
        </row>
        <row r="259">
          <cell r="G259">
            <v>418705</v>
          </cell>
          <cell r="H259" t="str">
            <v>St Andrew School CEC</v>
          </cell>
          <cell r="I259" t="str">
            <v>Newtown</v>
          </cell>
          <cell r="K259" t="str">
            <v>51 Wrights Rd</v>
          </cell>
          <cell r="L259" t="str">
            <v>PA</v>
          </cell>
          <cell r="M259">
            <v>18940</v>
          </cell>
          <cell r="N259" t="str">
            <v>51 Wrights Rd Newtown, PA 18940</v>
          </cell>
        </row>
        <row r="260">
          <cell r="G260">
            <v>243116</v>
          </cell>
          <cell r="H260" t="str">
            <v>Centennial School District</v>
          </cell>
          <cell r="I260" t="str">
            <v>Warminster</v>
          </cell>
          <cell r="J260" t="str">
            <v>Philly Suburbs - North</v>
          </cell>
          <cell r="K260" t="str">
            <v>48 Swan Way</v>
          </cell>
          <cell r="L260" t="str">
            <v>PA</v>
          </cell>
          <cell r="M260">
            <v>18974</v>
          </cell>
          <cell r="N260" t="str">
            <v>48 Swan Way Warminster, PA 18974</v>
          </cell>
        </row>
        <row r="261">
          <cell r="G261">
            <v>243100</v>
          </cell>
          <cell r="H261" t="str">
            <v>Cathedral Village</v>
          </cell>
          <cell r="I261" t="str">
            <v>Philadelphia</v>
          </cell>
          <cell r="K261" t="str">
            <v>600 E Cathedral Rd</v>
          </cell>
          <cell r="L261" t="str">
            <v>PA</v>
          </cell>
          <cell r="M261">
            <v>19128</v>
          </cell>
          <cell r="N261" t="str">
            <v>600 E Cathedral Rd Philadelphia, PA 19128</v>
          </cell>
        </row>
        <row r="262">
          <cell r="G262">
            <v>439742</v>
          </cell>
          <cell r="H262" t="str">
            <v>GOVERNOR MIFFLIN Maintenance B</v>
          </cell>
          <cell r="I262" t="str">
            <v>Shillington</v>
          </cell>
          <cell r="K262" t="str">
            <v>600 Governor Dr</v>
          </cell>
          <cell r="L262" t="str">
            <v>PA</v>
          </cell>
          <cell r="M262">
            <v>19607</v>
          </cell>
          <cell r="N262" t="str">
            <v>600 Governor Dr Shillington, PA 19607</v>
          </cell>
        </row>
        <row r="263">
          <cell r="G263">
            <v>480572</v>
          </cell>
          <cell r="H263" t="str">
            <v>William R Satz Middle School</v>
          </cell>
          <cell r="I263" t="str">
            <v>Holmdel</v>
          </cell>
          <cell r="K263" t="str">
            <v>24 Crawfords Corner Rd</v>
          </cell>
          <cell r="L263" t="str">
            <v>NJ</v>
          </cell>
          <cell r="M263">
            <v>7733</v>
          </cell>
          <cell r="N263" t="str">
            <v>24 Crawfords Corner Rd Holmdel, NJ 07733</v>
          </cell>
        </row>
        <row r="264">
          <cell r="G264">
            <v>447723</v>
          </cell>
          <cell r="H264" t="str">
            <v>DONEGAL JUNIOR HIGH SCHOOL</v>
          </cell>
          <cell r="I264" t="str">
            <v>Mount Joy</v>
          </cell>
          <cell r="K264" t="str">
            <v>915 ANDERSON FERRY RD</v>
          </cell>
          <cell r="L264" t="str">
            <v>PA</v>
          </cell>
          <cell r="M264">
            <v>17552</v>
          </cell>
          <cell r="N264" t="str">
            <v>915 ANDERSON FERRY RD Mount Joy, PA 17552</v>
          </cell>
        </row>
        <row r="265">
          <cell r="G265">
            <v>265575</v>
          </cell>
          <cell r="H265" t="str">
            <v>Cape May County Technical Scho</v>
          </cell>
          <cell r="I265" t="str">
            <v>Cape May Court House</v>
          </cell>
          <cell r="K265" t="str">
            <v>188 Crest Haven Rd</v>
          </cell>
          <cell r="L265" t="str">
            <v>NJ</v>
          </cell>
          <cell r="M265">
            <v>8210</v>
          </cell>
          <cell r="N265" t="str">
            <v>188 Crest Haven Rd Cape May Court House, NJ 08210</v>
          </cell>
        </row>
        <row r="266">
          <cell r="G266">
            <v>279103</v>
          </cell>
          <cell r="H266" t="str">
            <v>St Agnes Parish</v>
          </cell>
          <cell r="I266" t="str">
            <v>West Chester</v>
          </cell>
          <cell r="K266" t="str">
            <v>233 W Gay St</v>
          </cell>
          <cell r="L266" t="str">
            <v>PA</v>
          </cell>
          <cell r="M266">
            <v>19380</v>
          </cell>
          <cell r="N266" t="str">
            <v>233 W Gay St West Chester, PA 19380</v>
          </cell>
        </row>
        <row r="267">
          <cell r="G267">
            <v>479156</v>
          </cell>
          <cell r="H267" t="str">
            <v>Folcroft</v>
          </cell>
          <cell r="I267" t="str">
            <v>Folcroft</v>
          </cell>
          <cell r="K267" t="str">
            <v>701 Henderson Blvd N</v>
          </cell>
          <cell r="L267" t="str">
            <v>PA</v>
          </cell>
          <cell r="M267">
            <v>19032</v>
          </cell>
          <cell r="N267" t="str">
            <v>701 Henderson Blvd N Folcroft, PA 19032</v>
          </cell>
        </row>
        <row r="268">
          <cell r="G268">
            <v>241700</v>
          </cell>
          <cell r="H268" t="str">
            <v>RUTTERS FARM STORES #8</v>
          </cell>
          <cell r="I268" t="str">
            <v>York</v>
          </cell>
          <cell r="K268" t="str">
            <v>129 LEADERS HEIGHTS RD</v>
          </cell>
          <cell r="L268" t="str">
            <v>PA</v>
          </cell>
          <cell r="M268">
            <v>17403</v>
          </cell>
          <cell r="N268" t="str">
            <v>129 LEADERS HEIGHTS RD York, PA 17403</v>
          </cell>
        </row>
        <row r="269">
          <cell r="G269">
            <v>267431</v>
          </cell>
          <cell r="H269" t="str">
            <v>Nationwide Janitorial Grp, LLC</v>
          </cell>
          <cell r="I269" t="str">
            <v>Chalfont</v>
          </cell>
          <cell r="K269" t="str">
            <v>1032 Hickory Ridge Dr</v>
          </cell>
          <cell r="L269" t="str">
            <v>PA</v>
          </cell>
          <cell r="M269">
            <v>18914</v>
          </cell>
          <cell r="N269" t="str">
            <v>1032 Hickory Ridge Dr Chalfont, PA 18914</v>
          </cell>
        </row>
        <row r="270">
          <cell r="G270">
            <v>415364</v>
          </cell>
          <cell r="H270" t="str">
            <v>BLUE MOUNTAIN WEST ELEMENTARY</v>
          </cell>
          <cell r="I270" t="str">
            <v>Schuylkill Haven</v>
          </cell>
          <cell r="K270" t="str">
            <v>20 N Front Street</v>
          </cell>
          <cell r="L270" t="str">
            <v>PA</v>
          </cell>
          <cell r="M270">
            <v>17972</v>
          </cell>
          <cell r="N270" t="str">
            <v>20 N Front Street Schuylkill Haven, PA 17972</v>
          </cell>
        </row>
        <row r="271">
          <cell r="G271">
            <v>423139</v>
          </cell>
          <cell r="H271" t="str">
            <v>SMOKETOWN ELEMENTARY</v>
          </cell>
          <cell r="I271" t="str">
            <v>Lancaster</v>
          </cell>
          <cell r="K271" t="str">
            <v>2426 Old Philadelphia Pike</v>
          </cell>
          <cell r="L271" t="str">
            <v>PA</v>
          </cell>
          <cell r="M271">
            <v>17602</v>
          </cell>
          <cell r="N271" t="str">
            <v>2426 Old Philadelphia Pike Lancaster, PA 17602</v>
          </cell>
        </row>
        <row r="272">
          <cell r="G272">
            <v>241015</v>
          </cell>
          <cell r="H272" t="str">
            <v>MANHEIM TWP SCHOOL SP#</v>
          </cell>
          <cell r="I272" t="str">
            <v>Lancaster</v>
          </cell>
          <cell r="K272" t="str">
            <v>450A Candlewyck Rd</v>
          </cell>
          <cell r="L272" t="str">
            <v>PA</v>
          </cell>
          <cell r="M272">
            <v>17601</v>
          </cell>
          <cell r="N272" t="str">
            <v>450A Candlewyck Rd Lancaster, PA 17601</v>
          </cell>
        </row>
        <row r="273">
          <cell r="G273">
            <v>239777</v>
          </cell>
          <cell r="H273" t="str">
            <v>DART CONTAINER</v>
          </cell>
          <cell r="I273" t="str">
            <v>Leola</v>
          </cell>
          <cell r="K273" t="str">
            <v>60 E Main St</v>
          </cell>
          <cell r="L273" t="str">
            <v>PA</v>
          </cell>
          <cell r="M273">
            <v>17540</v>
          </cell>
          <cell r="N273" t="str">
            <v>60 E Main St Leola, PA 17540</v>
          </cell>
        </row>
        <row r="274">
          <cell r="G274">
            <v>256852</v>
          </cell>
          <cell r="H274" t="str">
            <v>KUTZTOWN UNIVERSITY PO ONLY</v>
          </cell>
          <cell r="I274" t="str">
            <v>Kutztown</v>
          </cell>
          <cell r="K274" t="str">
            <v>425 Baldy Rd</v>
          </cell>
          <cell r="L274" t="str">
            <v>PA</v>
          </cell>
          <cell r="M274">
            <v>19530</v>
          </cell>
          <cell r="N274" t="str">
            <v>425 Baldy Rd Kutztown, PA 19530</v>
          </cell>
        </row>
        <row r="275">
          <cell r="G275">
            <v>468469</v>
          </cell>
          <cell r="H275" t="str">
            <v>RED LAND HIGH SCHOOL</v>
          </cell>
          <cell r="I275" t="str">
            <v>Lewisberry</v>
          </cell>
          <cell r="K275" t="str">
            <v>560 Fishing Creek Rd</v>
          </cell>
          <cell r="L275" t="str">
            <v>PA</v>
          </cell>
          <cell r="M275">
            <v>17339</v>
          </cell>
          <cell r="N275" t="str">
            <v>560 Fishing Creek Rd Lewisberry, PA 17339</v>
          </cell>
        </row>
        <row r="276">
          <cell r="G276">
            <v>471857</v>
          </cell>
          <cell r="H276" t="str">
            <v>MILLERSVILLE - BARD HALL</v>
          </cell>
          <cell r="I276" t="str">
            <v>Millersville</v>
          </cell>
          <cell r="K276" t="str">
            <v>60 Brooks Drive</v>
          </cell>
          <cell r="L276" t="str">
            <v>PA</v>
          </cell>
          <cell r="M276">
            <v>17551</v>
          </cell>
          <cell r="N276" t="str">
            <v>60 Brooks Drive Millersville, PA 17551</v>
          </cell>
        </row>
        <row r="277">
          <cell r="G277">
            <v>239898</v>
          </cell>
          <cell r="H277" t="str">
            <v>DUTCH GOLD HONEY INC#</v>
          </cell>
          <cell r="I277" t="str">
            <v>Lancaster</v>
          </cell>
          <cell r="K277" t="str">
            <v>2220 Dutch Gold Dr</v>
          </cell>
          <cell r="L277" t="str">
            <v>PA</v>
          </cell>
          <cell r="M277">
            <v>17601</v>
          </cell>
          <cell r="N277" t="str">
            <v>2220 Dutch Gold Dr Lancaster, PA 17601</v>
          </cell>
        </row>
        <row r="278">
          <cell r="G278">
            <v>271622</v>
          </cell>
          <cell r="H278" t="str">
            <v>Holy Cross Catholic School</v>
          </cell>
          <cell r="I278" t="str">
            <v>Dover</v>
          </cell>
          <cell r="K278" t="str">
            <v>631 S State St</v>
          </cell>
          <cell r="L278" t="str">
            <v>DE</v>
          </cell>
          <cell r="M278">
            <v>19901</v>
          </cell>
          <cell r="N278" t="str">
            <v>631 S State St Dover, DE 19901</v>
          </cell>
        </row>
        <row r="279">
          <cell r="G279">
            <v>423135</v>
          </cell>
          <cell r="H279" t="str">
            <v>J E FRITZ ELEMENTARY</v>
          </cell>
          <cell r="I279" t="str">
            <v>Lancaster</v>
          </cell>
          <cell r="K279" t="str">
            <v>845 Hornig Rd</v>
          </cell>
          <cell r="L279" t="str">
            <v>PA</v>
          </cell>
          <cell r="M279">
            <v>17601</v>
          </cell>
          <cell r="N279" t="str">
            <v>845 Hornig Rd Lancaster, PA 17601</v>
          </cell>
        </row>
        <row r="280">
          <cell r="G280">
            <v>308438</v>
          </cell>
          <cell r="H280" t="str">
            <v>Holy Cross Regional Catholic S</v>
          </cell>
          <cell r="I280" t="str">
            <v>Collegeville</v>
          </cell>
          <cell r="K280" t="str">
            <v>701 Locust St</v>
          </cell>
          <cell r="L280" t="str">
            <v>PA</v>
          </cell>
          <cell r="M280">
            <v>19426</v>
          </cell>
          <cell r="N280" t="str">
            <v>701 Locust St Collegeville, PA 19426</v>
          </cell>
        </row>
        <row r="281">
          <cell r="G281">
            <v>432021</v>
          </cell>
          <cell r="H281" t="str">
            <v>Riverfront School</v>
          </cell>
          <cell r="I281" t="str">
            <v>Florence</v>
          </cell>
          <cell r="J281" t="str">
            <v>Trenton - South</v>
          </cell>
          <cell r="K281" t="str">
            <v>500 E Front St</v>
          </cell>
          <cell r="L281" t="str">
            <v>NJ</v>
          </cell>
          <cell r="M281">
            <v>8518</v>
          </cell>
          <cell r="N281" t="str">
            <v>500 E Front St Florence, NJ 08518</v>
          </cell>
        </row>
        <row r="282">
          <cell r="G282">
            <v>418340</v>
          </cell>
          <cell r="H282" t="str">
            <v>Perkiomen Valley Middle School</v>
          </cell>
          <cell r="I282" t="str">
            <v>Zieglerville</v>
          </cell>
          <cell r="K282" t="str">
            <v>220 Big Rd</v>
          </cell>
          <cell r="L282" t="str">
            <v>PA</v>
          </cell>
          <cell r="M282">
            <v>19492</v>
          </cell>
          <cell r="N282" t="str">
            <v>220 Big Rd Zieglerville, PA 19492</v>
          </cell>
        </row>
        <row r="283">
          <cell r="G283">
            <v>299777</v>
          </cell>
          <cell r="H283" t="str">
            <v>Haverford College</v>
          </cell>
          <cell r="I283" t="str">
            <v>HAVERFORD</v>
          </cell>
          <cell r="K283" t="str">
            <v>370 W LANCASTER AVE</v>
          </cell>
          <cell r="L283" t="str">
            <v>PA</v>
          </cell>
          <cell r="M283">
            <v>19041</v>
          </cell>
          <cell r="N283" t="str">
            <v>370 W LANCASTER AVE HAVERFORD, PA 19041</v>
          </cell>
        </row>
        <row r="284">
          <cell r="G284">
            <v>446362</v>
          </cell>
          <cell r="H284" t="str">
            <v>Bancroft Elementary School</v>
          </cell>
          <cell r="I284" t="str">
            <v>Kennett Square</v>
          </cell>
          <cell r="K284" t="str">
            <v>181 Bancroft Rd</v>
          </cell>
          <cell r="L284" t="str">
            <v>PA</v>
          </cell>
          <cell r="M284">
            <v>19348</v>
          </cell>
          <cell r="N284" t="str">
            <v>181 Bancroft Rd Kennett Square, PA 19348</v>
          </cell>
        </row>
        <row r="285">
          <cell r="G285">
            <v>241859</v>
          </cell>
          <cell r="H285" t="str">
            <v>SOUTH EASTERN SCHOOL DIST</v>
          </cell>
          <cell r="I285" t="str">
            <v>Fawn Grove</v>
          </cell>
          <cell r="K285" t="str">
            <v>377 Main St</v>
          </cell>
          <cell r="L285" t="str">
            <v>PA</v>
          </cell>
          <cell r="M285">
            <v>17321</v>
          </cell>
          <cell r="N285" t="str">
            <v>377 Main St Fawn Grove, PA 17321</v>
          </cell>
        </row>
        <row r="286">
          <cell r="G286">
            <v>472475</v>
          </cell>
          <cell r="H286" t="str">
            <v>LANC GENERAL HOSPITAL HEALTH C</v>
          </cell>
          <cell r="I286" t="str">
            <v>Lancaster</v>
          </cell>
          <cell r="K286" t="str">
            <v>2100 Harrisburg Pike</v>
          </cell>
          <cell r="L286" t="str">
            <v>PA</v>
          </cell>
          <cell r="M286">
            <v>17601</v>
          </cell>
          <cell r="N286" t="str">
            <v>2100 Harrisburg Pike Lancaster, PA 17601</v>
          </cell>
        </row>
        <row r="287">
          <cell r="G287">
            <v>341494</v>
          </cell>
          <cell r="H287" t="str">
            <v>RUTTERS FARM STORES #92</v>
          </cell>
          <cell r="I287" t="str">
            <v>Kutztown</v>
          </cell>
          <cell r="K287" t="str">
            <v>15475 KUTZTOWN RD</v>
          </cell>
          <cell r="L287" t="str">
            <v>PA</v>
          </cell>
          <cell r="M287">
            <v>19530</v>
          </cell>
          <cell r="N287" t="str">
            <v>15475 KUTZTOWN RD Kutztown, PA 19530</v>
          </cell>
        </row>
        <row r="288">
          <cell r="G288">
            <v>484172</v>
          </cell>
          <cell r="H288" t="str">
            <v>Bnos Yaakov Elementary School</v>
          </cell>
          <cell r="I288" t="str">
            <v>Lakewood</v>
          </cell>
          <cell r="J288" t="str">
            <v>Jersey Shore - North</v>
          </cell>
          <cell r="K288" t="str">
            <v>2 KENT RD</v>
          </cell>
          <cell r="L288" t="str">
            <v>NJ</v>
          </cell>
          <cell r="M288">
            <v>8701</v>
          </cell>
          <cell r="N288" t="str">
            <v>2 KENT RD Lakewood, NJ 08701</v>
          </cell>
        </row>
        <row r="289">
          <cell r="G289">
            <v>482682</v>
          </cell>
          <cell r="H289" t="str">
            <v>Black Doctors Consortium</v>
          </cell>
          <cell r="I289" t="str">
            <v>Philadelphia</v>
          </cell>
          <cell r="K289" t="str">
            <v>2001 W Lehigh Ave</v>
          </cell>
          <cell r="L289" t="str">
            <v>PA</v>
          </cell>
          <cell r="M289">
            <v>19132</v>
          </cell>
          <cell r="N289" t="str">
            <v>2001 W Lehigh Ave Philadelphia, PA 19132</v>
          </cell>
        </row>
        <row r="290">
          <cell r="G290">
            <v>284027</v>
          </cell>
          <cell r="H290" t="str">
            <v>RUTTERS FARM STORES #66</v>
          </cell>
          <cell r="I290" t="str">
            <v>Carlisle</v>
          </cell>
          <cell r="K290" t="str">
            <v>1455 YORK RD</v>
          </cell>
          <cell r="L290" t="str">
            <v>PA</v>
          </cell>
          <cell r="M290">
            <v>17015</v>
          </cell>
          <cell r="N290" t="str">
            <v>1455 YORK RD Carlisle, PA 17015</v>
          </cell>
        </row>
        <row r="291">
          <cell r="G291">
            <v>425017</v>
          </cell>
          <cell r="H291" t="str">
            <v>Chadds Ford Elementary School</v>
          </cell>
          <cell r="I291" t="str">
            <v>Chadds Ford</v>
          </cell>
          <cell r="K291" t="str">
            <v>3 Baltimore Pike</v>
          </cell>
          <cell r="L291" t="str">
            <v>PA</v>
          </cell>
          <cell r="M291">
            <v>19317</v>
          </cell>
          <cell r="N291" t="str">
            <v>3 Baltimore Pike Chadds Ford, PA 19317</v>
          </cell>
        </row>
        <row r="292">
          <cell r="G292">
            <v>418316</v>
          </cell>
          <cell r="H292" t="str">
            <v>NORTH MIDDLE SCHOOL</v>
          </cell>
          <cell r="I292" t="str">
            <v>Perkasie</v>
          </cell>
          <cell r="K292" t="str">
            <v>1500 N 5th St</v>
          </cell>
          <cell r="L292" t="str">
            <v>PA</v>
          </cell>
          <cell r="M292">
            <v>18944</v>
          </cell>
          <cell r="N292" t="str">
            <v>1500 N 5th St Perkasie, PA 18944</v>
          </cell>
        </row>
        <row r="293">
          <cell r="G293">
            <v>430497</v>
          </cell>
          <cell r="H293" t="str">
            <v>Milanesi Elementary School</v>
          </cell>
          <cell r="I293" t="str">
            <v>Buena</v>
          </cell>
          <cell r="K293" t="str">
            <v>880 Harding Hwy</v>
          </cell>
          <cell r="L293" t="str">
            <v>NJ</v>
          </cell>
          <cell r="M293">
            <v>8310</v>
          </cell>
          <cell r="N293" t="str">
            <v>880 Harding Hwy Buena, NJ 08310</v>
          </cell>
        </row>
        <row r="294">
          <cell r="G294">
            <v>418900</v>
          </cell>
          <cell r="H294" t="str">
            <v>Upper Dublin High School</v>
          </cell>
          <cell r="I294" t="str">
            <v>Fort Washington</v>
          </cell>
          <cell r="K294" t="str">
            <v>800 Loch Alsh Ave</v>
          </cell>
          <cell r="L294" t="str">
            <v>PA</v>
          </cell>
          <cell r="M294">
            <v>19034</v>
          </cell>
          <cell r="N294" t="str">
            <v>800 Loch Alsh Ave Fort Washington, PA 19034</v>
          </cell>
        </row>
        <row r="295">
          <cell r="G295">
            <v>241694</v>
          </cell>
          <cell r="H295" t="str">
            <v>RUTTERS FARM STORES #58</v>
          </cell>
          <cell r="I295" t="str">
            <v>Abbottstown</v>
          </cell>
          <cell r="J295" t="str">
            <v>York - SW</v>
          </cell>
          <cell r="K295" t="str">
            <v>7680 LINCOLN HWY</v>
          </cell>
          <cell r="L295" t="str">
            <v>PA</v>
          </cell>
          <cell r="M295">
            <v>17301</v>
          </cell>
          <cell r="N295" t="str">
            <v>7680 LINCOLN HWY Abbottstown, PA 17301</v>
          </cell>
        </row>
        <row r="296">
          <cell r="G296">
            <v>453125</v>
          </cell>
          <cell r="H296" t="str">
            <v>Northern Lebanon Secondary Sch</v>
          </cell>
          <cell r="I296" t="str">
            <v>Fredericksburg</v>
          </cell>
          <cell r="K296" t="str">
            <v>345 SCHOOL DR</v>
          </cell>
          <cell r="L296" t="str">
            <v>PA</v>
          </cell>
          <cell r="M296">
            <v>17026</v>
          </cell>
          <cell r="N296" t="str">
            <v>345 SCHOOL DR Fredericksburg, PA 17026</v>
          </cell>
        </row>
        <row r="297">
          <cell r="G297">
            <v>423942</v>
          </cell>
          <cell r="H297" t="str">
            <v>South Western High School</v>
          </cell>
          <cell r="I297" t="str">
            <v>Hanover</v>
          </cell>
          <cell r="K297" t="str">
            <v>200 Bowman Rd</v>
          </cell>
          <cell r="L297" t="str">
            <v>PA</v>
          </cell>
          <cell r="M297">
            <v>17331</v>
          </cell>
          <cell r="N297" t="str">
            <v>200 Bowman Rd Hanover, PA 17331</v>
          </cell>
        </row>
        <row r="298">
          <cell r="G298">
            <v>240754</v>
          </cell>
          <cell r="H298" t="str">
            <v>LANC MENNONITE HIGH SCHOOL</v>
          </cell>
          <cell r="I298" t="str">
            <v>Lancaster</v>
          </cell>
          <cell r="K298" t="str">
            <v>2176 Lincoln Hwy E</v>
          </cell>
          <cell r="L298" t="str">
            <v>PA</v>
          </cell>
          <cell r="M298">
            <v>17602</v>
          </cell>
          <cell r="N298" t="str">
            <v>2176 Lincoln Hwy E Lancaster, PA 17602</v>
          </cell>
        </row>
        <row r="299">
          <cell r="G299">
            <v>425206</v>
          </cell>
          <cell r="H299" t="str">
            <v>New Hope-Solebury Lower Elem.</v>
          </cell>
          <cell r="I299" t="str">
            <v>New Hope</v>
          </cell>
          <cell r="K299" t="str">
            <v>3020 Sugan Rd</v>
          </cell>
          <cell r="L299" t="str">
            <v>PA</v>
          </cell>
          <cell r="M299">
            <v>18938</v>
          </cell>
          <cell r="N299" t="str">
            <v>3020 Sugan Rd New Hope, PA 18938</v>
          </cell>
        </row>
        <row r="300">
          <cell r="G300">
            <v>304710</v>
          </cell>
          <cell r="H300" t="str">
            <v>RUTTERS FARM STORES #20</v>
          </cell>
          <cell r="I300" t="str">
            <v>MIDDLETOWN</v>
          </cell>
          <cell r="K300" t="str">
            <v>2800 VINE ST</v>
          </cell>
          <cell r="L300" t="str">
            <v>PA</v>
          </cell>
          <cell r="M300">
            <v>17057</v>
          </cell>
          <cell r="N300" t="str">
            <v>2800 VINE ST MIDDLETOWN, PA 17057</v>
          </cell>
        </row>
        <row r="301">
          <cell r="G301">
            <v>474514</v>
          </cell>
          <cell r="H301" t="str">
            <v>Warehouse</v>
          </cell>
          <cell r="I301" t="str">
            <v>Quarryville</v>
          </cell>
          <cell r="K301" t="str">
            <v>44 E 4th St</v>
          </cell>
          <cell r="L301" t="str">
            <v>PA</v>
          </cell>
          <cell r="M301">
            <v>17566</v>
          </cell>
          <cell r="N301" t="str">
            <v>44 E 4th St Quarryville, PA 17566</v>
          </cell>
        </row>
        <row r="302">
          <cell r="G302">
            <v>273124</v>
          </cell>
          <cell r="H302" t="str">
            <v>RUTTERS FARM STORES #4</v>
          </cell>
          <cell r="I302" t="str">
            <v>Wrightsville</v>
          </cell>
          <cell r="K302" t="str">
            <v>201 COOL SPRINGS RD</v>
          </cell>
          <cell r="L302" t="str">
            <v>PA</v>
          </cell>
          <cell r="M302">
            <v>17368</v>
          </cell>
          <cell r="N302" t="str">
            <v>201 COOL SPRINGS RD Wrightsville, PA 17368</v>
          </cell>
        </row>
        <row r="303">
          <cell r="G303">
            <v>480570</v>
          </cell>
          <cell r="H303" t="str">
            <v>Holmdel High School</v>
          </cell>
          <cell r="I303" t="str">
            <v>Holmdel</v>
          </cell>
          <cell r="K303" t="str">
            <v>36 Crawfords Corner Rd</v>
          </cell>
          <cell r="L303" t="str">
            <v>NJ</v>
          </cell>
          <cell r="M303">
            <v>7733</v>
          </cell>
          <cell r="N303" t="str">
            <v>36 Crawfords Corner Rd Holmdel, NJ 07733</v>
          </cell>
        </row>
        <row r="304">
          <cell r="G304">
            <v>419026</v>
          </cell>
          <cell r="H304" t="str">
            <v>William Penn Middle School</v>
          </cell>
          <cell r="I304" t="str">
            <v>Yardley</v>
          </cell>
          <cell r="K304" t="str">
            <v>1524 Derbyshire Rd</v>
          </cell>
          <cell r="L304" t="str">
            <v>PA</v>
          </cell>
          <cell r="M304">
            <v>19067</v>
          </cell>
          <cell r="N304" t="str">
            <v>1524 Derbyshire Rd Yardley, PA 19067</v>
          </cell>
        </row>
        <row r="305">
          <cell r="G305">
            <v>240777</v>
          </cell>
          <cell r="H305" t="str">
            <v>LANCASTER TOYOTA INC#</v>
          </cell>
          <cell r="I305" t="str">
            <v>East Petersburg</v>
          </cell>
          <cell r="K305" t="str">
            <v>5270 Main St</v>
          </cell>
          <cell r="L305" t="str">
            <v>PA</v>
          </cell>
          <cell r="M305">
            <v>17520</v>
          </cell>
          <cell r="N305" t="str">
            <v>5270 Main St East Petersburg, PA 17520</v>
          </cell>
        </row>
        <row r="306">
          <cell r="G306">
            <v>473044</v>
          </cell>
          <cell r="H306" t="str">
            <v>YORK HOSPITAL RECEIVING DOCK</v>
          </cell>
          <cell r="I306" t="str">
            <v>York</v>
          </cell>
          <cell r="K306" t="str">
            <v>1001 S George St</v>
          </cell>
          <cell r="L306" t="str">
            <v>PA</v>
          </cell>
          <cell r="M306">
            <v>17403</v>
          </cell>
          <cell r="N306" t="str">
            <v>1001 S George St York, PA 17403</v>
          </cell>
        </row>
        <row r="307">
          <cell r="G307">
            <v>463704</v>
          </cell>
          <cell r="H307" t="str">
            <v>MOT Charter High School</v>
          </cell>
          <cell r="I307" t="str">
            <v>MIDDLETOWN</v>
          </cell>
          <cell r="K307" t="str">
            <v>1275 Cedar Lane Rd</v>
          </cell>
          <cell r="L307" t="str">
            <v>DE</v>
          </cell>
          <cell r="M307">
            <v>19709</v>
          </cell>
          <cell r="N307" t="str">
            <v>1275 Cedar Lane Rd MIDDLETOWN, DE 19709</v>
          </cell>
        </row>
        <row r="308">
          <cell r="G308">
            <v>464194</v>
          </cell>
          <cell r="H308" t="str">
            <v>CENTRAL DAUPHIN EAST HIGH SCHO</v>
          </cell>
          <cell r="I308" t="str">
            <v>Harrisburg</v>
          </cell>
          <cell r="K308" t="str">
            <v>626 Rutherford Rd</v>
          </cell>
          <cell r="L308" t="str">
            <v>PA</v>
          </cell>
          <cell r="M308">
            <v>17109</v>
          </cell>
          <cell r="N308" t="str">
            <v>626 Rutherford Rd Harrisburg, PA 17109</v>
          </cell>
        </row>
        <row r="309">
          <cell r="G309">
            <v>470636</v>
          </cell>
          <cell r="H309" t="str">
            <v>DANVILLE AREA SCHOOL DIST</v>
          </cell>
          <cell r="I309" t="str">
            <v>Danville</v>
          </cell>
          <cell r="K309" t="str">
            <v>1021 Liberty St</v>
          </cell>
          <cell r="L309" t="str">
            <v>PA</v>
          </cell>
          <cell r="M309">
            <v>17821</v>
          </cell>
          <cell r="N309" t="str">
            <v>1021 Liberty St Danville, PA 17821</v>
          </cell>
        </row>
        <row r="310">
          <cell r="G310">
            <v>416252</v>
          </cell>
          <cell r="H310" t="str">
            <v>Barth Elementary</v>
          </cell>
          <cell r="I310" t="str">
            <v>Pottstown</v>
          </cell>
          <cell r="K310" t="str">
            <v>467 West Walnut St</v>
          </cell>
          <cell r="L310" t="str">
            <v>PA</v>
          </cell>
          <cell r="M310">
            <v>19464</v>
          </cell>
          <cell r="N310" t="str">
            <v>467 West Walnut St Pottstown, PA 19464</v>
          </cell>
        </row>
        <row r="311">
          <cell r="G311">
            <v>449436</v>
          </cell>
          <cell r="H311" t="str">
            <v>Old State Elementary School</v>
          </cell>
          <cell r="I311" t="str">
            <v>Townsend</v>
          </cell>
          <cell r="K311" t="str">
            <v>580 Tony Marchio Dr</v>
          </cell>
          <cell r="L311" t="str">
            <v>DE</v>
          </cell>
          <cell r="M311">
            <v>19734</v>
          </cell>
          <cell r="N311" t="str">
            <v>580 Tony Marchio Dr Townsend, DE 19734</v>
          </cell>
        </row>
        <row r="312">
          <cell r="G312">
            <v>241659</v>
          </cell>
          <cell r="H312" t="str">
            <v>RUTTERS FARM STORE #60</v>
          </cell>
          <cell r="I312" t="str">
            <v>York</v>
          </cell>
          <cell r="K312" t="str">
            <v>4425 W Market St</v>
          </cell>
          <cell r="L312" t="str">
            <v>PA</v>
          </cell>
          <cell r="M312">
            <v>17408</v>
          </cell>
          <cell r="N312" t="str">
            <v>4425 W Market St York, PA 17408</v>
          </cell>
        </row>
        <row r="313">
          <cell r="G313">
            <v>430561</v>
          </cell>
          <cell r="H313" t="str">
            <v>Kathleen H. Wilbur Elementary</v>
          </cell>
          <cell r="I313" t="str">
            <v>Bear</v>
          </cell>
          <cell r="J313" t="str">
            <v>Wilmington</v>
          </cell>
          <cell r="K313" t="str">
            <v>4050 Wrangle Hill Rd</v>
          </cell>
          <cell r="L313" t="str">
            <v>DE</v>
          </cell>
          <cell r="M313">
            <v>19701</v>
          </cell>
          <cell r="N313" t="str">
            <v>4050 Wrangle Hill Rd Bear, DE 19701</v>
          </cell>
        </row>
        <row r="314">
          <cell r="G314">
            <v>416587</v>
          </cell>
          <cell r="H314" t="str">
            <v>Charles Boehm Middle School</v>
          </cell>
          <cell r="I314" t="str">
            <v>Yardley</v>
          </cell>
          <cell r="K314" t="str">
            <v>866 Big Oak Rd</v>
          </cell>
          <cell r="L314" t="str">
            <v>PA</v>
          </cell>
          <cell r="M314">
            <v>19067</v>
          </cell>
          <cell r="N314" t="str">
            <v>866 Big Oak Rd Yardley, PA 19067</v>
          </cell>
        </row>
        <row r="315">
          <cell r="G315">
            <v>467452</v>
          </cell>
          <cell r="H315" t="str">
            <v>Seylar Elementary</v>
          </cell>
          <cell r="I315" t="str">
            <v>Perkasie</v>
          </cell>
          <cell r="K315" t="str">
            <v>820 Callowhill Rd</v>
          </cell>
          <cell r="L315" t="str">
            <v>PA</v>
          </cell>
          <cell r="M315">
            <v>18944</v>
          </cell>
          <cell r="N315" t="str">
            <v>820 Callowhill Rd Perkasie, PA 18944</v>
          </cell>
        </row>
        <row r="316">
          <cell r="G316">
            <v>453641</v>
          </cell>
          <cell r="H316" t="str">
            <v>CLERMONT ELEM SCHOOL</v>
          </cell>
          <cell r="I316" t="str">
            <v>Quarryville</v>
          </cell>
          <cell r="K316" t="str">
            <v>1868 Robert Fulton Hwy</v>
          </cell>
          <cell r="L316" t="str">
            <v>PA</v>
          </cell>
          <cell r="M316">
            <v>17566</v>
          </cell>
          <cell r="N316" t="str">
            <v>1868 Robert Fulton Hwy Quarryville, PA 17566</v>
          </cell>
        </row>
        <row r="317">
          <cell r="G317">
            <v>242575</v>
          </cell>
          <cell r="H317" t="str">
            <v>RICHTER PRECISION INC</v>
          </cell>
          <cell r="I317" t="str">
            <v>East Petersburg</v>
          </cell>
          <cell r="K317" t="str">
            <v>1021 Commercial Ave Door B4</v>
          </cell>
          <cell r="L317" t="str">
            <v>PA</v>
          </cell>
          <cell r="M317">
            <v>17520</v>
          </cell>
          <cell r="N317" t="str">
            <v>1021 Commercial Ave Door B4 East Petersburg, PA 17520</v>
          </cell>
        </row>
        <row r="318">
          <cell r="G318">
            <v>478972</v>
          </cell>
          <cell r="H318" t="str">
            <v>SKH Mt Joy</v>
          </cell>
          <cell r="I318" t="str">
            <v>Mount Joy</v>
          </cell>
          <cell r="K318" t="str">
            <v>945 E Main St</v>
          </cell>
          <cell r="L318" t="str">
            <v>PA</v>
          </cell>
          <cell r="M318">
            <v>17552</v>
          </cell>
          <cell r="N318" t="str">
            <v>945 E Main St Mount Joy, PA 17552</v>
          </cell>
        </row>
        <row r="319">
          <cell r="G319">
            <v>415646</v>
          </cell>
          <cell r="H319" t="str">
            <v>PARK ELEMENTARY SCHOOL</v>
          </cell>
          <cell r="I319" t="str">
            <v>Columbia</v>
          </cell>
          <cell r="K319" t="str">
            <v>50 S 6th St</v>
          </cell>
          <cell r="L319" t="str">
            <v>PA</v>
          </cell>
          <cell r="M319">
            <v>17512</v>
          </cell>
          <cell r="N319" t="str">
            <v>50 S 6th St Columbia, PA 17512</v>
          </cell>
        </row>
        <row r="320">
          <cell r="G320">
            <v>299785</v>
          </cell>
          <cell r="H320" t="str">
            <v>CONESTOGA CHRISTIAN SCHOOL#</v>
          </cell>
          <cell r="I320" t="str">
            <v>Morgantown</v>
          </cell>
          <cell r="K320" t="str">
            <v>2760 Main St</v>
          </cell>
          <cell r="L320" t="str">
            <v>PA</v>
          </cell>
          <cell r="M320">
            <v>19543</v>
          </cell>
          <cell r="N320" t="str">
            <v>2760 Main St Morgantown, PA 19543</v>
          </cell>
        </row>
        <row r="321">
          <cell r="G321">
            <v>240899</v>
          </cell>
          <cell r="H321" t="str">
            <v>LITITZ CHURCH OF BRETHREN</v>
          </cell>
          <cell r="I321" t="str">
            <v>Lititz</v>
          </cell>
          <cell r="K321" t="str">
            <v>300 W Orange St</v>
          </cell>
          <cell r="L321" t="str">
            <v>PA</v>
          </cell>
          <cell r="M321">
            <v>17543</v>
          </cell>
          <cell r="N321" t="str">
            <v>300 W Orange St Lititz, PA 17543</v>
          </cell>
        </row>
        <row r="322">
          <cell r="G322">
            <v>430495</v>
          </cell>
          <cell r="H322" t="str">
            <v>Collins Lake Elementary School</v>
          </cell>
          <cell r="I322" t="str">
            <v>Williamstown</v>
          </cell>
          <cell r="K322" t="str">
            <v>620 Cains Mill Rd</v>
          </cell>
          <cell r="L322" t="str">
            <v>NJ</v>
          </cell>
          <cell r="M322">
            <v>8094</v>
          </cell>
          <cell r="N322" t="str">
            <v>620 Cains Mill Rd Williamstown, NJ 08094</v>
          </cell>
        </row>
        <row r="323">
          <cell r="G323">
            <v>343689</v>
          </cell>
          <cell r="H323" t="str">
            <v>Holy Spirit High School</v>
          </cell>
          <cell r="I323" t="str">
            <v>Absecon</v>
          </cell>
          <cell r="J323" t="str">
            <v>Atlantic City</v>
          </cell>
          <cell r="K323" t="str">
            <v>500 S New Rd</v>
          </cell>
          <cell r="L323" t="str">
            <v>NJ</v>
          </cell>
          <cell r="M323">
            <v>8201</v>
          </cell>
          <cell r="N323" t="str">
            <v>500 S New Rd Absecon, NJ 08201</v>
          </cell>
        </row>
        <row r="324">
          <cell r="G324">
            <v>246043</v>
          </cell>
          <cell r="H324" t="str">
            <v>Polytech High School</v>
          </cell>
          <cell r="I324" t="str">
            <v>Woodside</v>
          </cell>
          <cell r="K324" t="str">
            <v>823 Walnut Shade Road</v>
          </cell>
          <cell r="L324" t="str">
            <v>DE</v>
          </cell>
          <cell r="M324">
            <v>19980</v>
          </cell>
          <cell r="N324" t="str">
            <v>823 Walnut Shade Road Woodside, DE 19980</v>
          </cell>
        </row>
        <row r="325">
          <cell r="G325">
            <v>301337</v>
          </cell>
          <cell r="H325" t="str">
            <v>RUTTERS FARM STORES #23</v>
          </cell>
          <cell r="I325" t="str">
            <v>Mountville</v>
          </cell>
          <cell r="K325" t="str">
            <v>3849 HEMPLAND RD</v>
          </cell>
          <cell r="L325" t="str">
            <v>PA</v>
          </cell>
          <cell r="M325">
            <v>17554</v>
          </cell>
          <cell r="N325" t="str">
            <v>3849 HEMPLAND RD Mountville, PA 17554</v>
          </cell>
        </row>
        <row r="326">
          <cell r="G326">
            <v>464201</v>
          </cell>
          <cell r="H326" t="str">
            <v>CENTRAL DAUPHIN EAST MIDDLE SC</v>
          </cell>
          <cell r="I326" t="str">
            <v>Harrisburg</v>
          </cell>
          <cell r="K326" t="str">
            <v>628 Rutherford Rd</v>
          </cell>
          <cell r="L326" t="str">
            <v>PA</v>
          </cell>
          <cell r="M326">
            <v>17109</v>
          </cell>
          <cell r="N326" t="str">
            <v>628 Rutherford Rd Harrisburg, PA 17109</v>
          </cell>
        </row>
        <row r="327">
          <cell r="G327">
            <v>482350</v>
          </cell>
          <cell r="H327" t="str">
            <v>Crystal Run Elem</v>
          </cell>
          <cell r="I327" t="str">
            <v>MIDDLETOWN</v>
          </cell>
          <cell r="K327" t="str">
            <v>1470 Aviator Way</v>
          </cell>
          <cell r="L327" t="str">
            <v>PA</v>
          </cell>
          <cell r="M327">
            <v>19079</v>
          </cell>
          <cell r="N327" t="str">
            <v>1470 Aviator Way MIDDLETOWN, PA 19079</v>
          </cell>
        </row>
        <row r="328">
          <cell r="G328">
            <v>240274</v>
          </cell>
          <cell r="H328" t="str">
            <v>GREENWOOD SCHOOL DISTRICT</v>
          </cell>
          <cell r="I328" t="str">
            <v>Millerstown</v>
          </cell>
          <cell r="J328" t="str">
            <v>Lewistown</v>
          </cell>
          <cell r="K328" t="str">
            <v>405 E Sunbury St</v>
          </cell>
          <cell r="L328" t="str">
            <v>PA</v>
          </cell>
          <cell r="M328">
            <v>17062</v>
          </cell>
          <cell r="N328" t="str">
            <v>405 E Sunbury St Millerstown, PA 17062</v>
          </cell>
        </row>
        <row r="329">
          <cell r="G329">
            <v>241669</v>
          </cell>
          <cell r="H329" t="str">
            <v>RUTTERS FARM STORES #25</v>
          </cell>
          <cell r="I329" t="str">
            <v>York</v>
          </cell>
          <cell r="K329" t="str">
            <v>1520 PENNSYLVANIA AVE</v>
          </cell>
          <cell r="L329" t="str">
            <v>PA</v>
          </cell>
          <cell r="M329">
            <v>17404</v>
          </cell>
          <cell r="N329" t="str">
            <v>1520 PENNSYLVANIA AVE York, PA 17404</v>
          </cell>
        </row>
        <row r="330">
          <cell r="G330">
            <v>418446</v>
          </cell>
          <cell r="H330" t="str">
            <v>Ithan Elementary School</v>
          </cell>
          <cell r="I330" t="str">
            <v>Bryn Mawr</v>
          </cell>
          <cell r="K330" t="str">
            <v>695 Clyde Rd</v>
          </cell>
          <cell r="L330" t="str">
            <v>PA</v>
          </cell>
          <cell r="M330">
            <v>19010</v>
          </cell>
          <cell r="N330" t="str">
            <v>695 Clyde Rd Bryn Mawr, PA 19010</v>
          </cell>
        </row>
        <row r="331">
          <cell r="G331">
            <v>330579</v>
          </cell>
          <cell r="H331" t="str">
            <v>RUTTERS FARM STORES #81</v>
          </cell>
          <cell r="I331" t="str">
            <v>Leesport</v>
          </cell>
          <cell r="K331" t="str">
            <v>15 NEW ENTERPRISE DR</v>
          </cell>
          <cell r="L331" t="str">
            <v>PA</v>
          </cell>
          <cell r="M331">
            <v>19533</v>
          </cell>
          <cell r="N331" t="str">
            <v>15 NEW ENTERPRISE DR Leesport, PA 19533</v>
          </cell>
        </row>
        <row r="332">
          <cell r="G332">
            <v>482026</v>
          </cell>
          <cell r="H332" t="str">
            <v>Susquehanna Auto Ford</v>
          </cell>
          <cell r="I332" t="str">
            <v>Willow Street</v>
          </cell>
          <cell r="K332" t="str">
            <v>150 Lancaster Pike S</v>
          </cell>
          <cell r="L332" t="str">
            <v>PA</v>
          </cell>
          <cell r="M332">
            <v>17584</v>
          </cell>
          <cell r="N332" t="str">
            <v>150 Lancaster Pike S Willow Street, PA 17584</v>
          </cell>
        </row>
        <row r="333">
          <cell r="G333">
            <v>449775</v>
          </cell>
          <cell r="H333" t="str">
            <v>SCHAEFFER ELEMENTARY SCHOOL</v>
          </cell>
          <cell r="I333" t="str">
            <v>Lancaster</v>
          </cell>
          <cell r="K333" t="str">
            <v>875 Pleasure Rd</v>
          </cell>
          <cell r="L333" t="str">
            <v>PA</v>
          </cell>
          <cell r="M333">
            <v>17601</v>
          </cell>
          <cell r="N333" t="str">
            <v>875 Pleasure Rd Lancaster, PA 17601</v>
          </cell>
        </row>
        <row r="334">
          <cell r="G334">
            <v>417685</v>
          </cell>
          <cell r="H334" t="str">
            <v>New Garden Elementary School</v>
          </cell>
          <cell r="I334" t="str">
            <v>Toughkenamon</v>
          </cell>
          <cell r="K334" t="str">
            <v>265 New Garden Rd</v>
          </cell>
          <cell r="L334" t="str">
            <v>PA</v>
          </cell>
          <cell r="M334">
            <v>19374</v>
          </cell>
          <cell r="N334" t="str">
            <v>265 New Garden Rd Toughkenamon, PA 19374</v>
          </cell>
        </row>
        <row r="335">
          <cell r="G335">
            <v>449771</v>
          </cell>
          <cell r="H335" t="str">
            <v>NEFF ELEMENTARY SCHOOL</v>
          </cell>
          <cell r="I335" t="str">
            <v>Lancaster</v>
          </cell>
          <cell r="K335" t="str">
            <v>21 Valley Rd</v>
          </cell>
          <cell r="L335" t="str">
            <v>PA</v>
          </cell>
          <cell r="M335">
            <v>17601</v>
          </cell>
          <cell r="N335" t="str">
            <v>21 Valley Rd Lancaster, PA 17601</v>
          </cell>
        </row>
        <row r="336">
          <cell r="G336">
            <v>312571</v>
          </cell>
          <cell r="H336" t="str">
            <v>RUTTERS FARM STORES #67</v>
          </cell>
          <cell r="I336" t="str">
            <v>Mercersburg</v>
          </cell>
          <cell r="K336" t="str">
            <v>378 N MAIN ST</v>
          </cell>
          <cell r="L336" t="str">
            <v>PA</v>
          </cell>
          <cell r="M336">
            <v>17236</v>
          </cell>
          <cell r="N336" t="str">
            <v>378 N MAIN ST Mercersburg, PA 17236</v>
          </cell>
        </row>
        <row r="337">
          <cell r="G337">
            <v>467650</v>
          </cell>
          <cell r="H337" t="str">
            <v>WILSON WEST MIDDLE SCHOOL</v>
          </cell>
          <cell r="I337" t="str">
            <v>Sinking Spring</v>
          </cell>
          <cell r="K337" t="str">
            <v>450 FAUST ROAD</v>
          </cell>
          <cell r="L337" t="str">
            <v>PA</v>
          </cell>
          <cell r="M337">
            <v>19608</v>
          </cell>
          <cell r="N337" t="str">
            <v>450 FAUST ROAD Sinking Spring, PA 19608</v>
          </cell>
        </row>
        <row r="338">
          <cell r="G338">
            <v>296548</v>
          </cell>
          <cell r="H338" t="str">
            <v>RUTTERS FARM STORE #16</v>
          </cell>
          <cell r="I338" t="str">
            <v>York</v>
          </cell>
          <cell r="K338" t="str">
            <v>362 N MAIN ST</v>
          </cell>
          <cell r="L338" t="str">
            <v>PA</v>
          </cell>
          <cell r="M338">
            <v>17403</v>
          </cell>
          <cell r="N338" t="str">
            <v>362 N MAIN ST York, PA 17403</v>
          </cell>
        </row>
        <row r="339">
          <cell r="G339">
            <v>424854</v>
          </cell>
          <cell r="H339" t="str">
            <v>One River Place AAA Bldg</v>
          </cell>
          <cell r="I339" t="str">
            <v>Wilmington</v>
          </cell>
          <cell r="K339" t="str">
            <v>1 River Pl</v>
          </cell>
          <cell r="L339" t="str">
            <v>DE</v>
          </cell>
          <cell r="M339">
            <v>19801</v>
          </cell>
          <cell r="N339" t="str">
            <v>1 River Pl Wilmington, DE 19801</v>
          </cell>
        </row>
        <row r="340">
          <cell r="G340">
            <v>467433</v>
          </cell>
          <cell r="H340" t="str">
            <v>Bedminster Elementary</v>
          </cell>
          <cell r="I340" t="str">
            <v>Perkasie</v>
          </cell>
          <cell r="K340" t="str">
            <v>2914 Fretz Valley Rd</v>
          </cell>
          <cell r="L340" t="str">
            <v>PA</v>
          </cell>
          <cell r="M340">
            <v>18944</v>
          </cell>
          <cell r="N340" t="str">
            <v>2914 Fretz Valley Rd Perkasie, PA 18944</v>
          </cell>
        </row>
        <row r="341">
          <cell r="G341">
            <v>241658</v>
          </cell>
          <cell r="H341" t="str">
            <v>RUTTERS FARM STORE #53</v>
          </cell>
          <cell r="I341" t="str">
            <v>Etters</v>
          </cell>
          <cell r="K341" t="str">
            <v>2215 Old Trail Rd</v>
          </cell>
          <cell r="L341" t="str">
            <v>PA</v>
          </cell>
          <cell r="M341">
            <v>17319</v>
          </cell>
          <cell r="N341" t="str">
            <v>2215 Old Trail Rd Etters, PA 17319</v>
          </cell>
        </row>
        <row r="342">
          <cell r="G342">
            <v>457278</v>
          </cell>
          <cell r="H342" t="str">
            <v>COCALICO SERVICE CENTER</v>
          </cell>
          <cell r="I342" t="str">
            <v>Denver</v>
          </cell>
          <cell r="K342" t="str">
            <v>820 S 4th St</v>
          </cell>
          <cell r="L342" t="str">
            <v>PA</v>
          </cell>
          <cell r="M342">
            <v>17517</v>
          </cell>
          <cell r="N342" t="str">
            <v>820 S 4th St Denver, PA 17517</v>
          </cell>
        </row>
        <row r="343">
          <cell r="G343">
            <v>483752</v>
          </cell>
          <cell r="H343" t="str">
            <v>Bayhealth Blue Hen Corporate C</v>
          </cell>
          <cell r="I343" t="str">
            <v>Dover</v>
          </cell>
          <cell r="K343" t="str">
            <v>655 S Bay Rd</v>
          </cell>
          <cell r="L343" t="str">
            <v>DE</v>
          </cell>
          <cell r="M343">
            <v>19901</v>
          </cell>
          <cell r="N343" t="str">
            <v>655 S Bay Rd Dover, DE 19901</v>
          </cell>
        </row>
        <row r="344">
          <cell r="G344">
            <v>449770</v>
          </cell>
          <cell r="H344" t="str">
            <v>BUCHER ELEMENTARY SCHOOL</v>
          </cell>
          <cell r="I344" t="str">
            <v>Lancaster</v>
          </cell>
          <cell r="K344" t="str">
            <v>450 Candlewyck Rd</v>
          </cell>
          <cell r="L344" t="str">
            <v>PA</v>
          </cell>
          <cell r="M344">
            <v>17601</v>
          </cell>
          <cell r="N344" t="str">
            <v>450 Candlewyck Rd Lancaster, PA 17601</v>
          </cell>
        </row>
        <row r="345">
          <cell r="G345">
            <v>453638</v>
          </cell>
          <cell r="H345" t="str">
            <v>SMITH MIDDLE SCHOOL</v>
          </cell>
          <cell r="I345" t="str">
            <v>Quarryville</v>
          </cell>
          <cell r="K345" t="str">
            <v>645 Kirkwood Pike</v>
          </cell>
          <cell r="L345" t="str">
            <v>PA</v>
          </cell>
          <cell r="M345">
            <v>17566</v>
          </cell>
          <cell r="N345" t="str">
            <v>645 Kirkwood Pike Quarryville, PA 17566</v>
          </cell>
        </row>
        <row r="346">
          <cell r="G346">
            <v>480581</v>
          </cell>
          <cell r="H346" t="str">
            <v>Village Elementary School</v>
          </cell>
          <cell r="I346" t="str">
            <v>Holmdel</v>
          </cell>
          <cell r="K346" t="str">
            <v>67 McCampbell Rd</v>
          </cell>
          <cell r="L346" t="str">
            <v>NJ</v>
          </cell>
          <cell r="M346">
            <v>7733</v>
          </cell>
          <cell r="N346" t="str">
            <v>67 McCampbell Rd Holmdel, NJ 07733</v>
          </cell>
        </row>
        <row r="347">
          <cell r="G347">
            <v>310041</v>
          </cell>
          <cell r="H347" t="str">
            <v>LANCASTER ENTERTAINMENT PARTNE</v>
          </cell>
          <cell r="I347" t="str">
            <v>Lancaster</v>
          </cell>
          <cell r="K347" t="str">
            <v>1170 Garfield Ave</v>
          </cell>
          <cell r="L347" t="str">
            <v>PA</v>
          </cell>
          <cell r="M347">
            <v>17601</v>
          </cell>
          <cell r="N347" t="str">
            <v>1170 Garfield Ave Lancaster, PA 17601</v>
          </cell>
        </row>
        <row r="348">
          <cell r="G348">
            <v>468632</v>
          </cell>
          <cell r="H348" t="str">
            <v>Northwest Elementary School</v>
          </cell>
          <cell r="I348" t="str">
            <v>Lebanon</v>
          </cell>
          <cell r="K348" t="str">
            <v>1315 Old Forge Rd</v>
          </cell>
          <cell r="L348" t="str">
            <v>PA</v>
          </cell>
          <cell r="M348">
            <v>17046</v>
          </cell>
          <cell r="N348" t="str">
            <v>1315 Old Forge Rd Lebanon, PA 17046</v>
          </cell>
        </row>
        <row r="349">
          <cell r="G349">
            <v>480580</v>
          </cell>
          <cell r="H349" t="str">
            <v>Indian Hill School</v>
          </cell>
          <cell r="I349" t="str">
            <v>Holmdel</v>
          </cell>
          <cell r="K349" t="str">
            <v>735 Holmdel Rd</v>
          </cell>
          <cell r="L349" t="str">
            <v>NJ</v>
          </cell>
          <cell r="M349">
            <v>7733</v>
          </cell>
          <cell r="N349" t="str">
            <v>735 Holmdel Rd Holmdel, NJ 07733</v>
          </cell>
        </row>
        <row r="350">
          <cell r="G350">
            <v>325343</v>
          </cell>
          <cell r="H350" t="str">
            <v>NJ Veterans Home at Vineland</v>
          </cell>
          <cell r="I350" t="str">
            <v>Vineland</v>
          </cell>
          <cell r="K350" t="str">
            <v>524 N West Blvd</v>
          </cell>
          <cell r="L350" t="str">
            <v>NJ</v>
          </cell>
          <cell r="M350">
            <v>8360</v>
          </cell>
          <cell r="N350" t="str">
            <v>524 N West Blvd Vineland, NJ 08360</v>
          </cell>
        </row>
        <row r="351">
          <cell r="G351">
            <v>416571</v>
          </cell>
          <cell r="H351" t="str">
            <v>Cedar Lane Elementary School</v>
          </cell>
          <cell r="I351" t="str">
            <v>MIDDLETOWN</v>
          </cell>
          <cell r="K351" t="str">
            <v>1259 Cedar Lane Rd</v>
          </cell>
          <cell r="L351" t="str">
            <v>DE</v>
          </cell>
          <cell r="M351">
            <v>19709</v>
          </cell>
          <cell r="N351" t="str">
            <v>1259 Cedar Lane Rd MIDDLETOWN, DE 19709</v>
          </cell>
        </row>
        <row r="352">
          <cell r="G352">
            <v>245430</v>
          </cell>
          <cell r="H352" t="str">
            <v>Manville School District</v>
          </cell>
          <cell r="I352" t="str">
            <v>Manville</v>
          </cell>
          <cell r="K352" t="str">
            <v>1100 Brooks Blvd</v>
          </cell>
          <cell r="L352" t="str">
            <v>NJ</v>
          </cell>
          <cell r="M352">
            <v>8835</v>
          </cell>
          <cell r="N352" t="str">
            <v>1100 Brooks Blvd Manville, NJ 08835</v>
          </cell>
        </row>
        <row r="353">
          <cell r="G353">
            <v>467450</v>
          </cell>
          <cell r="H353" t="str">
            <v>Guth Elementary</v>
          </cell>
          <cell r="I353" t="str">
            <v>Perkasie</v>
          </cell>
          <cell r="K353" t="str">
            <v>601 N 7th St</v>
          </cell>
          <cell r="L353" t="str">
            <v>PA</v>
          </cell>
          <cell r="M353">
            <v>18944</v>
          </cell>
          <cell r="N353" t="str">
            <v>601 N 7th St Perkasie, PA 18944</v>
          </cell>
        </row>
        <row r="354">
          <cell r="G354">
            <v>272562</v>
          </cell>
          <cell r="H354" t="str">
            <v>RUTTERS FARM STORES #64</v>
          </cell>
          <cell r="I354" t="str">
            <v>Carlisle</v>
          </cell>
          <cell r="K354" t="str">
            <v>1150 HARRISBURG PIKE</v>
          </cell>
          <cell r="L354" t="str">
            <v>PA</v>
          </cell>
          <cell r="M354">
            <v>17013</v>
          </cell>
          <cell r="N354" t="str">
            <v>1150 HARRISBURG PIKE Carlisle, PA 17013</v>
          </cell>
        </row>
        <row r="355">
          <cell r="G355">
            <v>415363</v>
          </cell>
          <cell r="H355" t="str">
            <v>BLUE MOUNTAIN EAST ELEMENTARY</v>
          </cell>
          <cell r="I355" t="str">
            <v>Orwigsburg</v>
          </cell>
          <cell r="K355" t="str">
            <v>675 Red Dale Rd</v>
          </cell>
          <cell r="L355" t="str">
            <v>PA</v>
          </cell>
          <cell r="M355">
            <v>17961</v>
          </cell>
          <cell r="N355" t="str">
            <v>675 Red Dale Rd Orwigsburg, PA 17961</v>
          </cell>
        </row>
        <row r="356">
          <cell r="G356">
            <v>417953</v>
          </cell>
          <cell r="H356" t="str">
            <v>Maintenance &amp; Warehouse</v>
          </cell>
          <cell r="I356" t="str">
            <v>Coatesville</v>
          </cell>
          <cell r="K356" t="str">
            <v>1029 E Lincoln Hwy</v>
          </cell>
          <cell r="L356" t="str">
            <v>PA</v>
          </cell>
          <cell r="M356">
            <v>19320</v>
          </cell>
          <cell r="N356" t="str">
            <v>1029 E Lincoln Hwy Coatesville, PA 19320</v>
          </cell>
        </row>
        <row r="357">
          <cell r="G357">
            <v>239999</v>
          </cell>
          <cell r="H357" t="str">
            <v>EPHRATA REC CENTER#</v>
          </cell>
          <cell r="I357" t="str">
            <v>Ephrata</v>
          </cell>
          <cell r="K357" t="str">
            <v>130 S Academy Dr</v>
          </cell>
          <cell r="L357" t="str">
            <v>PA</v>
          </cell>
          <cell r="M357">
            <v>17522</v>
          </cell>
          <cell r="N357" t="str">
            <v>130 S Academy Dr Ephrata, PA 17522</v>
          </cell>
        </row>
        <row r="358">
          <cell r="G358">
            <v>418377</v>
          </cell>
          <cell r="H358" t="str">
            <v>Pitman High School</v>
          </cell>
          <cell r="I358" t="str">
            <v>Pitman</v>
          </cell>
          <cell r="K358" t="str">
            <v>225 Linden Ave</v>
          </cell>
          <cell r="L358" t="str">
            <v>NJ</v>
          </cell>
          <cell r="M358">
            <v>8071</v>
          </cell>
          <cell r="N358" t="str">
            <v>225 Linden Ave Pitman, NJ 08071</v>
          </cell>
        </row>
        <row r="359">
          <cell r="G359">
            <v>469991</v>
          </cell>
          <cell r="H359" t="str">
            <v>MILLERSVILLE - STUDENT MEMORIA</v>
          </cell>
          <cell r="I359" t="str">
            <v>Millersville</v>
          </cell>
          <cell r="K359" t="str">
            <v>113-251 113 Shenks Ln # 251</v>
          </cell>
          <cell r="L359" t="str">
            <v>PA</v>
          </cell>
          <cell r="M359">
            <v>17551</v>
          </cell>
          <cell r="N359" t="str">
            <v>113-251 113 Shenks Ln # 251 Millersville, PA 17551</v>
          </cell>
        </row>
        <row r="360">
          <cell r="G360">
            <v>322083</v>
          </cell>
          <cell r="H360" t="str">
            <v>Calvary Chapel of Delaware Cou</v>
          </cell>
          <cell r="I360" t="str">
            <v>Chadds Ford</v>
          </cell>
          <cell r="K360" t="str">
            <v>500 Brandywine Dr</v>
          </cell>
          <cell r="L360" t="str">
            <v>PA</v>
          </cell>
          <cell r="M360">
            <v>19317</v>
          </cell>
          <cell r="N360" t="str">
            <v>500 Brandywine Dr Chadds Ford, PA 19317</v>
          </cell>
        </row>
        <row r="361">
          <cell r="G361">
            <v>449082</v>
          </cell>
          <cell r="H361" t="str">
            <v>JL CLARK MFG CO</v>
          </cell>
          <cell r="I361" t="str">
            <v>Lancaster</v>
          </cell>
          <cell r="K361" t="str">
            <v>303 N Plum St</v>
          </cell>
          <cell r="L361" t="str">
            <v>PA</v>
          </cell>
          <cell r="M361">
            <v>17602</v>
          </cell>
          <cell r="N361" t="str">
            <v>303 N Plum St Lancaster, PA 17602</v>
          </cell>
        </row>
        <row r="362">
          <cell r="G362">
            <v>272623</v>
          </cell>
          <cell r="H362" t="str">
            <v>RUTTERS DAIRY INC*</v>
          </cell>
          <cell r="I362" t="str">
            <v>York</v>
          </cell>
          <cell r="K362" t="str">
            <v>2100 N George St</v>
          </cell>
          <cell r="L362" t="str">
            <v>PA</v>
          </cell>
          <cell r="M362">
            <v>17404</v>
          </cell>
          <cell r="N362" t="str">
            <v>2100 N George St York, PA 17404</v>
          </cell>
        </row>
        <row r="363">
          <cell r="G363">
            <v>468574</v>
          </cell>
          <cell r="H363" t="str">
            <v>FORBES ROAD HIGH SCHOOL</v>
          </cell>
          <cell r="I363" t="str">
            <v>Waterfall</v>
          </cell>
          <cell r="K363" t="str">
            <v>263 Red Bird Dr</v>
          </cell>
          <cell r="L363" t="str">
            <v>PA</v>
          </cell>
          <cell r="M363">
            <v>16689</v>
          </cell>
          <cell r="N363" t="str">
            <v>263 Red Bird Dr Waterfall, PA 16689</v>
          </cell>
        </row>
        <row r="364">
          <cell r="G364">
            <v>449772</v>
          </cell>
          <cell r="H364" t="str">
            <v>NITRAUER ELEMENTARY SCHOOL</v>
          </cell>
          <cell r="I364" t="str">
            <v>Lancaster</v>
          </cell>
          <cell r="K364" t="str">
            <v>811 Ashbourne Ave</v>
          </cell>
          <cell r="L364" t="str">
            <v>PA</v>
          </cell>
          <cell r="M364">
            <v>17601</v>
          </cell>
          <cell r="N364" t="str">
            <v>811 Ashbourne Ave Lancaster, PA 17601</v>
          </cell>
        </row>
        <row r="365">
          <cell r="G365">
            <v>244176</v>
          </cell>
          <cell r="H365" t="str">
            <v>Springfield Township Board of</v>
          </cell>
          <cell r="I365" t="str">
            <v>Jobstown</v>
          </cell>
          <cell r="J365" t="str">
            <v>Trenton - South</v>
          </cell>
          <cell r="K365" t="str">
            <v>2146 Jacksonville Jobstown Rd</v>
          </cell>
          <cell r="L365" t="str">
            <v>NJ</v>
          </cell>
          <cell r="M365">
            <v>8041</v>
          </cell>
          <cell r="N365" t="str">
            <v>2146 Jacksonville Jobstown Rd Jobstown, NJ 08041</v>
          </cell>
        </row>
        <row r="366">
          <cell r="G366">
            <v>311693</v>
          </cell>
          <cell r="H366" t="str">
            <v>RUTTERS FARM STORE  #37</v>
          </cell>
          <cell r="I366" t="str">
            <v>Mifflintown</v>
          </cell>
          <cell r="J366" t="str">
            <v>Lewistown</v>
          </cell>
          <cell r="K366" t="str">
            <v>27335 Route 75 N</v>
          </cell>
          <cell r="L366" t="str">
            <v>PA</v>
          </cell>
          <cell r="M366">
            <v>17059</v>
          </cell>
          <cell r="N366" t="str">
            <v>27335 Route 75 N Mifflintown, PA 17059</v>
          </cell>
        </row>
        <row r="367">
          <cell r="G367">
            <v>281590</v>
          </cell>
          <cell r="H367" t="str">
            <v>RUTTERS FARM STORE #45</v>
          </cell>
          <cell r="I367" t="str">
            <v>Stewartstown</v>
          </cell>
          <cell r="K367" t="str">
            <v>14 W PENNSYLVANIA AVE</v>
          </cell>
          <cell r="L367" t="str">
            <v>PA</v>
          </cell>
          <cell r="M367">
            <v>17363</v>
          </cell>
          <cell r="N367" t="str">
            <v>14 W PENNSYLVANIA AVE Stewartstown, PA 17363</v>
          </cell>
        </row>
        <row r="368">
          <cell r="G368">
            <v>241855</v>
          </cell>
          <cell r="H368" t="str">
            <v>SOLANCO SCHOOL DISTRICT</v>
          </cell>
          <cell r="I368" t="str">
            <v>Quarryville</v>
          </cell>
          <cell r="K368" t="str">
            <v>121 S Hess St</v>
          </cell>
          <cell r="L368" t="str">
            <v>PA</v>
          </cell>
          <cell r="M368">
            <v>17566</v>
          </cell>
          <cell r="N368" t="str">
            <v>121 S Hess St Quarryville, PA 17566</v>
          </cell>
        </row>
        <row r="369">
          <cell r="G369">
            <v>472664</v>
          </cell>
          <cell r="H369" t="str">
            <v>Women Against Abuse AP</v>
          </cell>
          <cell r="I369" t="str">
            <v>Philadelphia</v>
          </cell>
          <cell r="K369" t="str">
            <v>5250 N 13th St</v>
          </cell>
          <cell r="L369" t="str">
            <v>PA</v>
          </cell>
          <cell r="M369">
            <v>19141</v>
          </cell>
          <cell r="N369" t="str">
            <v>5250 N 13th St Philadelphia, PA 19141</v>
          </cell>
        </row>
        <row r="370">
          <cell r="G370">
            <v>272563</v>
          </cell>
          <cell r="H370" t="str">
            <v>RUTTERS FARM STORES #65</v>
          </cell>
          <cell r="I370" t="str">
            <v>Chambersburg</v>
          </cell>
          <cell r="K370" t="str">
            <v>1391 S MAIN ST</v>
          </cell>
          <cell r="L370" t="str">
            <v>PA</v>
          </cell>
          <cell r="M370">
            <v>17201</v>
          </cell>
          <cell r="N370" t="str">
            <v>1391 S MAIN ST Chambersburg, PA 17201</v>
          </cell>
        </row>
        <row r="371">
          <cell r="G371">
            <v>456914</v>
          </cell>
          <cell r="H371" t="str">
            <v>GETTYSBURG MIDDLE SCHOOL</v>
          </cell>
          <cell r="I371" t="str">
            <v>Gettysburg</v>
          </cell>
          <cell r="K371" t="str">
            <v>37 Lefever St</v>
          </cell>
          <cell r="L371" t="str">
            <v>PA</v>
          </cell>
          <cell r="M371">
            <v>17325</v>
          </cell>
          <cell r="N371" t="str">
            <v>37 Lefever St Gettysburg, PA 17325</v>
          </cell>
        </row>
        <row r="372">
          <cell r="G372">
            <v>306782</v>
          </cell>
          <cell r="H372" t="str">
            <v>DALLASTOWN NURSING CENTER</v>
          </cell>
          <cell r="I372" t="str">
            <v>DALLASTOWN</v>
          </cell>
          <cell r="K372" t="str">
            <v>623 E MAIN ST</v>
          </cell>
          <cell r="L372" t="str">
            <v>PA</v>
          </cell>
          <cell r="M372">
            <v>17313</v>
          </cell>
          <cell r="N372" t="str">
            <v>623 E MAIN ST DALLASTOWN, PA 17313</v>
          </cell>
        </row>
        <row r="373">
          <cell r="G373">
            <v>419025</v>
          </cell>
          <cell r="H373" t="str">
            <v>William Penn High School</v>
          </cell>
          <cell r="I373" t="str">
            <v>New Castle</v>
          </cell>
          <cell r="K373" t="str">
            <v>713 E Basin Rd</v>
          </cell>
          <cell r="L373" t="str">
            <v>DE</v>
          </cell>
          <cell r="M373">
            <v>19720</v>
          </cell>
          <cell r="N373" t="str">
            <v>713 E Basin Rd New Castle, DE 19720</v>
          </cell>
        </row>
        <row r="374">
          <cell r="G374">
            <v>467732</v>
          </cell>
          <cell r="H374" t="str">
            <v>Emory H. Markle Middle School</v>
          </cell>
          <cell r="I374" t="str">
            <v>Hanover</v>
          </cell>
          <cell r="K374" t="str">
            <v>225 Bowman Rd</v>
          </cell>
          <cell r="L374" t="str">
            <v>PA</v>
          </cell>
          <cell r="M374">
            <v>17331</v>
          </cell>
          <cell r="N374" t="str">
            <v>225 Bowman Rd Hanover, PA 17331</v>
          </cell>
        </row>
        <row r="375">
          <cell r="G375">
            <v>265344</v>
          </cell>
          <cell r="H375" t="str">
            <v>St Andrews School of Delaware,</v>
          </cell>
          <cell r="I375" t="str">
            <v>MIDDLETOWN</v>
          </cell>
          <cell r="K375" t="str">
            <v>350 Noxontown Rd</v>
          </cell>
          <cell r="L375" t="str">
            <v>DE</v>
          </cell>
          <cell r="M375">
            <v>19709</v>
          </cell>
          <cell r="N375" t="str">
            <v>350 Noxontown Rd MIDDLETOWN, DE 19709</v>
          </cell>
        </row>
        <row r="376">
          <cell r="G376">
            <v>307803</v>
          </cell>
          <cell r="H376" t="str">
            <v>Renaissance Academy Charter Sc</v>
          </cell>
          <cell r="I376" t="str">
            <v>Phoenixville</v>
          </cell>
          <cell r="K376" t="str">
            <v>413 Fairview St</v>
          </cell>
          <cell r="L376" t="str">
            <v>PA</v>
          </cell>
          <cell r="M376">
            <v>19460</v>
          </cell>
          <cell r="N376" t="str">
            <v>413 Fairview St Phoenixville, PA 19460</v>
          </cell>
        </row>
        <row r="377">
          <cell r="G377">
            <v>430116</v>
          </cell>
          <cell r="H377" t="str">
            <v>Middlesex Cty Piscataway Tech</v>
          </cell>
          <cell r="I377" t="str">
            <v>Piscataway</v>
          </cell>
          <cell r="K377" t="str">
            <v>21 Suttons Ln</v>
          </cell>
          <cell r="L377" t="str">
            <v>NJ</v>
          </cell>
          <cell r="M377">
            <v>8854</v>
          </cell>
          <cell r="N377" t="str">
            <v>21 Suttons Ln Piscataway, NJ 08854</v>
          </cell>
        </row>
        <row r="378">
          <cell r="G378">
            <v>240825</v>
          </cell>
          <cell r="H378" t="str">
            <v>LAUREL MALL OFFICE</v>
          </cell>
          <cell r="I378" t="str">
            <v>Hazleton</v>
          </cell>
          <cell r="K378" t="str">
            <v>106 Laurel Mall Drive</v>
          </cell>
          <cell r="L378" t="str">
            <v>PA</v>
          </cell>
          <cell r="M378">
            <v>18202</v>
          </cell>
          <cell r="N378" t="str">
            <v>106 Laurel Mall Drive Hazleton, PA 18202</v>
          </cell>
        </row>
        <row r="379">
          <cell r="G379">
            <v>418310</v>
          </cell>
          <cell r="H379" t="str">
            <v>Central Middle School</v>
          </cell>
          <cell r="I379" t="str">
            <v>Perkasie</v>
          </cell>
          <cell r="K379" t="str">
            <v>144 N Walnut St</v>
          </cell>
          <cell r="L379" t="str">
            <v>PA</v>
          </cell>
          <cell r="M379">
            <v>18944</v>
          </cell>
          <cell r="N379" t="str">
            <v>144 N Walnut St Perkasie, PA 18944</v>
          </cell>
        </row>
        <row r="380">
          <cell r="G380">
            <v>345060</v>
          </cell>
          <cell r="H380" t="str">
            <v>Chester Charter Scholars Acade</v>
          </cell>
          <cell r="I380" t="str">
            <v>Chester</v>
          </cell>
          <cell r="K380" t="str">
            <v>1500 Highland Ave</v>
          </cell>
          <cell r="L380" t="str">
            <v>PA</v>
          </cell>
          <cell r="M380">
            <v>19013</v>
          </cell>
          <cell r="N380" t="str">
            <v>1500 Highland Ave Chester, PA 19013</v>
          </cell>
        </row>
        <row r="381">
          <cell r="G381">
            <v>245745</v>
          </cell>
          <cell r="H381" t="str">
            <v>ARCHBISHOP CARROLL HIGH SCHOOL</v>
          </cell>
          <cell r="I381" t="str">
            <v>Radnor</v>
          </cell>
          <cell r="K381" t="str">
            <v>211 W Matsonford Rd</v>
          </cell>
          <cell r="L381" t="str">
            <v>PA</v>
          </cell>
          <cell r="M381">
            <v>19087</v>
          </cell>
          <cell r="N381" t="str">
            <v>211 W Matsonford Rd Radnor, PA 19087</v>
          </cell>
        </row>
        <row r="382">
          <cell r="G382">
            <v>418512</v>
          </cell>
          <cell r="H382" t="str">
            <v>Eleanor Roosevelt Elementary S</v>
          </cell>
          <cell r="I382" t="str">
            <v>Morrisville</v>
          </cell>
          <cell r="K382" t="str">
            <v>185 Walton Dr</v>
          </cell>
          <cell r="L382" t="str">
            <v>PA</v>
          </cell>
          <cell r="M382">
            <v>19067</v>
          </cell>
          <cell r="N382" t="str">
            <v>185 Walton Dr Morrisville, PA 19067</v>
          </cell>
        </row>
        <row r="383">
          <cell r="G383">
            <v>242001</v>
          </cell>
          <cell r="H383" t="str">
            <v>YORK SUBURBAN SCHOOL DISTRICT</v>
          </cell>
          <cell r="I383" t="str">
            <v>York</v>
          </cell>
          <cell r="K383" t="str">
            <v>1800 Hollywood Dr</v>
          </cell>
          <cell r="L383" t="str">
            <v>PA</v>
          </cell>
          <cell r="M383">
            <v>17403</v>
          </cell>
          <cell r="N383" t="str">
            <v>1800 Hollywood Dr York, PA 17403</v>
          </cell>
        </row>
        <row r="384">
          <cell r="G384">
            <v>460014</v>
          </cell>
          <cell r="H384" t="str">
            <v>Littlestown Area School Distri</v>
          </cell>
          <cell r="I384" t="str">
            <v>Littlestown</v>
          </cell>
          <cell r="K384" t="str">
            <v>116 Newark St</v>
          </cell>
          <cell r="L384" t="str">
            <v>PA</v>
          </cell>
          <cell r="M384">
            <v>17340</v>
          </cell>
          <cell r="N384" t="str">
            <v>116 Newark St Littlestown, PA 17340</v>
          </cell>
        </row>
        <row r="385">
          <cell r="G385">
            <v>297875</v>
          </cell>
          <cell r="H385" t="str">
            <v>SUMMIT INTERNATIONAL SCHOOL</v>
          </cell>
          <cell r="I385" t="str">
            <v>Grantville</v>
          </cell>
          <cell r="K385" t="str">
            <v>74 Harrison School Rd</v>
          </cell>
          <cell r="L385" t="str">
            <v>PA</v>
          </cell>
          <cell r="M385">
            <v>17028</v>
          </cell>
          <cell r="N385" t="str">
            <v>74 Harrison School Rd Grantville, PA 17028</v>
          </cell>
        </row>
        <row r="386">
          <cell r="G386">
            <v>243690</v>
          </cell>
          <cell r="H386" t="str">
            <v>Jack Devine Gym Floor Restorat</v>
          </cell>
          <cell r="I386" t="str">
            <v>Marlton</v>
          </cell>
          <cell r="J386" t="str">
            <v>Cherry Hill</v>
          </cell>
          <cell r="K386" t="str">
            <v>29 Old Republic Ln</v>
          </cell>
          <cell r="L386" t="str">
            <v>NJ</v>
          </cell>
          <cell r="M386">
            <v>8053</v>
          </cell>
          <cell r="N386" t="str">
            <v>29 Old Republic Ln Marlton, NJ 08053</v>
          </cell>
        </row>
        <row r="387">
          <cell r="G387">
            <v>472847</v>
          </cell>
          <cell r="H387" t="str">
            <v>Priestly Elementary School</v>
          </cell>
          <cell r="I387" t="str">
            <v>NORTHUMBERLAND</v>
          </cell>
          <cell r="K387" t="str">
            <v>423 Cannery Rd</v>
          </cell>
          <cell r="L387" t="str">
            <v>PA</v>
          </cell>
          <cell r="M387">
            <v>17857</v>
          </cell>
          <cell r="N387" t="str">
            <v>423 Cannery Rd NORTHUMBERLAND, PA 17857</v>
          </cell>
        </row>
        <row r="388">
          <cell r="G388">
            <v>245453</v>
          </cell>
          <cell r="H388" t="str">
            <v>New Hanover Township BOE</v>
          </cell>
          <cell r="I388" t="str">
            <v>Wrightstown</v>
          </cell>
          <cell r="J388" t="str">
            <v>Trenton - SW</v>
          </cell>
          <cell r="K388" t="str">
            <v>122 Fort Dix St</v>
          </cell>
          <cell r="L388" t="str">
            <v>NJ</v>
          </cell>
          <cell r="M388">
            <v>8562</v>
          </cell>
          <cell r="N388" t="str">
            <v>122 Fort Dix St Wrightstown, NJ 08562</v>
          </cell>
        </row>
        <row r="389">
          <cell r="G389">
            <v>241332</v>
          </cell>
          <cell r="H389" t="str">
            <v>PA COLLEGE OF ART &amp; DESIGN</v>
          </cell>
          <cell r="I389" t="str">
            <v>Lancaster</v>
          </cell>
          <cell r="K389" t="str">
            <v>204 N Prince St</v>
          </cell>
          <cell r="L389" t="str">
            <v>PA</v>
          </cell>
          <cell r="M389">
            <v>17603</v>
          </cell>
          <cell r="N389" t="str">
            <v>204 N Prince St Lancaster, PA 17603</v>
          </cell>
        </row>
        <row r="390">
          <cell r="G390">
            <v>416141</v>
          </cell>
          <cell r="H390" t="str">
            <v>Afton Elementary School</v>
          </cell>
          <cell r="I390" t="str">
            <v>Yardley</v>
          </cell>
          <cell r="K390" t="str">
            <v>1673 Quarry Rd</v>
          </cell>
          <cell r="L390" t="str">
            <v>PA</v>
          </cell>
          <cell r="M390">
            <v>19067</v>
          </cell>
          <cell r="N390" t="str">
            <v>1673 Quarry Rd Yardley, PA 19067</v>
          </cell>
        </row>
        <row r="391">
          <cell r="G391">
            <v>465579</v>
          </cell>
          <cell r="H391" t="str">
            <v>OAKLYN ELEMENTARY SCHOOL</v>
          </cell>
          <cell r="I391" t="str">
            <v>Sunbury</v>
          </cell>
          <cell r="K391" t="str">
            <v>115 Oak St</v>
          </cell>
          <cell r="L391" t="str">
            <v>PA</v>
          </cell>
          <cell r="M391">
            <v>17801</v>
          </cell>
          <cell r="N391" t="str">
            <v>115 Oak St Sunbury, PA 17801</v>
          </cell>
        </row>
        <row r="392">
          <cell r="G392">
            <v>464105</v>
          </cell>
          <cell r="H392" t="str">
            <v>R B Myers Co LLC</v>
          </cell>
          <cell r="I392" t="str">
            <v>Lawrenceville</v>
          </cell>
          <cell r="K392" t="str">
            <v>161 Millerick Ave</v>
          </cell>
          <cell r="L392" t="str">
            <v>NJ</v>
          </cell>
          <cell r="M392">
            <v>8648</v>
          </cell>
          <cell r="N392" t="str">
            <v>161 Millerick Ave Lawrenceville, NJ 08648</v>
          </cell>
        </row>
        <row r="393">
          <cell r="G393">
            <v>286684</v>
          </cell>
          <cell r="H393" t="str">
            <v>RUTTERS FARM STORE #5</v>
          </cell>
          <cell r="I393" t="str">
            <v>Fayetteville</v>
          </cell>
          <cell r="K393" t="str">
            <v>6837 LINCOLN WAY E</v>
          </cell>
          <cell r="L393" t="str">
            <v>PA</v>
          </cell>
          <cell r="M393">
            <v>17222</v>
          </cell>
          <cell r="N393" t="str">
            <v>6837 LINCOLN WAY E Fayetteville, PA 17222</v>
          </cell>
        </row>
        <row r="394">
          <cell r="G394">
            <v>418443</v>
          </cell>
          <cell r="H394" t="str">
            <v>Radnor Elementary School</v>
          </cell>
          <cell r="I394" t="str">
            <v>Radnor</v>
          </cell>
          <cell r="K394" t="str">
            <v>20 W Matsonford Rd</v>
          </cell>
          <cell r="L394" t="str">
            <v>PA</v>
          </cell>
          <cell r="M394">
            <v>19087</v>
          </cell>
          <cell r="N394" t="str">
            <v>20 W Matsonford Rd Radnor, PA 19087</v>
          </cell>
        </row>
        <row r="395">
          <cell r="G395">
            <v>241657</v>
          </cell>
          <cell r="H395" t="str">
            <v>RUTTERS FARM STORE #52</v>
          </cell>
          <cell r="I395" t="str">
            <v>Hanover</v>
          </cell>
          <cell r="K395" t="str">
            <v>1400 BALTIMORE ST</v>
          </cell>
          <cell r="L395" t="str">
            <v>PA</v>
          </cell>
          <cell r="M395">
            <v>17331</v>
          </cell>
          <cell r="N395" t="str">
            <v>1400 BALTIMORE ST Hanover, PA 17331</v>
          </cell>
        </row>
        <row r="396">
          <cell r="G396">
            <v>419199</v>
          </cell>
          <cell r="H396" t="str">
            <v>Springton Lake Middle School</v>
          </cell>
          <cell r="I396" t="str">
            <v>Media</v>
          </cell>
          <cell r="K396" t="str">
            <v>1900 N Providence Rd</v>
          </cell>
          <cell r="L396" t="str">
            <v>PA</v>
          </cell>
          <cell r="M396">
            <v>19063</v>
          </cell>
          <cell r="N396" t="str">
            <v>1900 N Providence Rd Media, PA 19063</v>
          </cell>
        </row>
        <row r="397">
          <cell r="G397">
            <v>480500</v>
          </cell>
          <cell r="H397" t="str">
            <v>MASONIC VILLAGE LAFAYETTE VILL</v>
          </cell>
          <cell r="I397" t="str">
            <v>Lafayette Hill</v>
          </cell>
          <cell r="K397" t="str">
            <v>801 Ridge Pike</v>
          </cell>
          <cell r="L397" t="str">
            <v>PA</v>
          </cell>
          <cell r="M397">
            <v>19444</v>
          </cell>
          <cell r="N397" t="str">
            <v>801 Ridge Pike Lafayette Hill, PA 19444</v>
          </cell>
        </row>
        <row r="398">
          <cell r="G398">
            <v>430839</v>
          </cell>
          <cell r="H398" t="str">
            <v>PSEG - "Materials Center"</v>
          </cell>
          <cell r="I398" t="str">
            <v>Hancocks Bridge</v>
          </cell>
          <cell r="K398" t="str">
            <v>1 Alloway Creek Neck Rd</v>
          </cell>
          <cell r="L398" t="str">
            <v>NJ</v>
          </cell>
          <cell r="M398">
            <v>8038</v>
          </cell>
          <cell r="N398" t="str">
            <v>1 Alloway Creek Neck Rd Hancocks Bridge, NJ 08038</v>
          </cell>
        </row>
        <row r="399">
          <cell r="G399">
            <v>239249</v>
          </cell>
          <cell r="H399" t="str">
            <v>BALLY RIBBON MILLS</v>
          </cell>
          <cell r="I399" t="str">
            <v>Bally</v>
          </cell>
          <cell r="J399" t="str">
            <v>Perkiomenville</v>
          </cell>
          <cell r="K399" t="str">
            <v>23 N 7th St</v>
          </cell>
          <cell r="L399" t="str">
            <v>PA</v>
          </cell>
          <cell r="M399">
            <v>19503</v>
          </cell>
          <cell r="N399" t="str">
            <v>23 N 7th St Bally, PA 19503</v>
          </cell>
        </row>
        <row r="400">
          <cell r="G400">
            <v>453636</v>
          </cell>
          <cell r="H400" t="str">
            <v>QUARRYVILLE ELEM SCHOOL</v>
          </cell>
          <cell r="I400" t="str">
            <v>Quarryville</v>
          </cell>
          <cell r="K400" t="str">
            <v>211 S Hess St</v>
          </cell>
          <cell r="L400" t="str">
            <v>PA</v>
          </cell>
          <cell r="M400">
            <v>17566</v>
          </cell>
          <cell r="N400" t="str">
            <v>211 S Hess St Quarryville, PA 17566</v>
          </cell>
        </row>
        <row r="401">
          <cell r="G401">
            <v>245170</v>
          </cell>
          <cell r="H401" t="str">
            <v>Christian Life Church</v>
          </cell>
          <cell r="I401" t="str">
            <v>Bensalem</v>
          </cell>
          <cell r="J401" t="str">
            <v>Philly - NE</v>
          </cell>
          <cell r="K401" t="str">
            <v>3100 Galloway Rd</v>
          </cell>
          <cell r="L401" t="str">
            <v>PA</v>
          </cell>
          <cell r="M401">
            <v>19020</v>
          </cell>
          <cell r="N401" t="str">
            <v>3100 Galloway Rd Bensalem, PA 19020</v>
          </cell>
        </row>
        <row r="402">
          <cell r="G402">
            <v>465497</v>
          </cell>
          <cell r="H402" t="str">
            <v>CHAMBERSBURG AREA SCHOOL DISTR</v>
          </cell>
          <cell r="I402" t="str">
            <v>Chambersburg</v>
          </cell>
          <cell r="K402" t="str">
            <v>483 S Main St</v>
          </cell>
          <cell r="L402" t="str">
            <v>PA</v>
          </cell>
          <cell r="M402">
            <v>17201</v>
          </cell>
          <cell r="N402" t="str">
            <v>483 S Main St Chambersburg, PA 17201</v>
          </cell>
        </row>
        <row r="403">
          <cell r="G403">
            <v>482963</v>
          </cell>
          <cell r="H403" t="str">
            <v>Warrior Run Elementary</v>
          </cell>
          <cell r="I403" t="str">
            <v>Turbotville</v>
          </cell>
          <cell r="K403" t="str">
            <v>244 Warrior Run Blvd</v>
          </cell>
          <cell r="L403" t="str">
            <v>PA</v>
          </cell>
          <cell r="M403">
            <v>17772</v>
          </cell>
          <cell r="N403" t="str">
            <v>244 Warrior Run Blvd Turbotville, PA 17772</v>
          </cell>
        </row>
        <row r="404">
          <cell r="G404">
            <v>416719</v>
          </cell>
          <cell r="H404" t="str">
            <v>Facilities Department</v>
          </cell>
          <cell r="I404" t="str">
            <v>Cape May Court House</v>
          </cell>
          <cell r="K404" t="str">
            <v>101 W Pacific Ave Bldg</v>
          </cell>
          <cell r="L404" t="str">
            <v>NJ</v>
          </cell>
          <cell r="M404">
            <v>8210</v>
          </cell>
          <cell r="N404" t="str">
            <v>101 W Pacific Ave Bldg Cape May Court House, NJ 08210</v>
          </cell>
        </row>
        <row r="405">
          <cell r="G405">
            <v>240578</v>
          </cell>
          <cell r="H405" t="str">
            <v>JONES DEALERSHIPS INC</v>
          </cell>
          <cell r="I405" t="str">
            <v>Lancaster</v>
          </cell>
          <cell r="K405" t="str">
            <v>1335 Manheim Pike</v>
          </cell>
          <cell r="L405" t="str">
            <v>PA</v>
          </cell>
          <cell r="M405">
            <v>17601</v>
          </cell>
          <cell r="N405" t="str">
            <v>1335 Manheim Pike Lancaster, PA 17601</v>
          </cell>
        </row>
        <row r="406">
          <cell r="G406">
            <v>241231</v>
          </cell>
          <cell r="H406" t="str">
            <v>NEW CONCEPT MFG LLC#</v>
          </cell>
          <cell r="I406" t="str">
            <v>Emigsville</v>
          </cell>
          <cell r="K406" t="str">
            <v>320 Busser Rd</v>
          </cell>
          <cell r="L406" t="str">
            <v>PA</v>
          </cell>
          <cell r="M406">
            <v>17318</v>
          </cell>
          <cell r="N406" t="str">
            <v>320 Busser Rd Emigsville, PA 17318</v>
          </cell>
        </row>
        <row r="407">
          <cell r="G407">
            <v>316801</v>
          </cell>
          <cell r="H407" t="str">
            <v>ALL AMERICAN THREADED PRODUCTS</v>
          </cell>
          <cell r="I407" t="str">
            <v>Lancaster</v>
          </cell>
          <cell r="K407" t="str">
            <v>731 Martha Ave</v>
          </cell>
          <cell r="L407" t="str">
            <v>PA</v>
          </cell>
          <cell r="M407">
            <v>17601</v>
          </cell>
          <cell r="N407" t="str">
            <v>731 Martha Ave Lancaster, PA 17601</v>
          </cell>
        </row>
        <row r="408">
          <cell r="G408">
            <v>241326</v>
          </cell>
          <cell r="H408" t="str">
            <v>OUR MOTHER PERPETUAL SCHOOL</v>
          </cell>
          <cell r="I408" t="str">
            <v>Ephrata</v>
          </cell>
          <cell r="K408" t="str">
            <v>330 Church Ave</v>
          </cell>
          <cell r="L408" t="str">
            <v>PA</v>
          </cell>
          <cell r="M408">
            <v>17522</v>
          </cell>
          <cell r="N408" t="str">
            <v>330 Church Ave Ephrata, PA 17522</v>
          </cell>
        </row>
        <row r="409">
          <cell r="G409">
            <v>312880</v>
          </cell>
          <cell r="H409" t="str">
            <v>RUTTERS FARM STORES #69</v>
          </cell>
          <cell r="I409" t="str">
            <v>Hamburg</v>
          </cell>
          <cell r="K409" t="str">
            <v>100 GRAND ST</v>
          </cell>
          <cell r="L409" t="str">
            <v>PA</v>
          </cell>
          <cell r="M409">
            <v>19526</v>
          </cell>
          <cell r="N409" t="str">
            <v>100 GRAND ST Hamburg, PA 19526</v>
          </cell>
        </row>
        <row r="410">
          <cell r="G410">
            <v>309392</v>
          </cell>
          <cell r="H410" t="str">
            <v>Holy Child School At Rosemont</v>
          </cell>
          <cell r="I410" t="str">
            <v>Bryn Mawr</v>
          </cell>
          <cell r="K410" t="str">
            <v>1344 MONTGOMERY AVE</v>
          </cell>
          <cell r="L410" t="str">
            <v>PA</v>
          </cell>
          <cell r="M410">
            <v>19010</v>
          </cell>
          <cell r="N410" t="str">
            <v>1344 MONTGOMERY AVE Bryn Mawr, PA 19010</v>
          </cell>
        </row>
        <row r="411">
          <cell r="G411">
            <v>283720</v>
          </cell>
          <cell r="H411" t="str">
            <v>SAINT CLAIR SCHOOL DISTRICT</v>
          </cell>
          <cell r="I411" t="str">
            <v>Saint Clair</v>
          </cell>
          <cell r="K411" t="str">
            <v>227 S Mill St</v>
          </cell>
          <cell r="L411" t="str">
            <v>PA</v>
          </cell>
          <cell r="M411">
            <v>17970</v>
          </cell>
          <cell r="N411" t="str">
            <v>227 S Mill St Saint Clair, PA 17970</v>
          </cell>
        </row>
        <row r="412">
          <cell r="G412">
            <v>430033</v>
          </cell>
          <cell r="H412" t="str">
            <v>Alfred G. Waters Middle School</v>
          </cell>
          <cell r="I412" t="str">
            <v>MIDDLETOWN</v>
          </cell>
          <cell r="K412" t="str">
            <v>1235 Cedar Lane Rd</v>
          </cell>
          <cell r="L412" t="str">
            <v>DE</v>
          </cell>
          <cell r="M412">
            <v>19709</v>
          </cell>
          <cell r="N412" t="str">
            <v>1235 Cedar Lane Rd MIDDLETOWN, DE 19709</v>
          </cell>
        </row>
        <row r="413">
          <cell r="G413">
            <v>418342</v>
          </cell>
          <cell r="H413" t="str">
            <v>Perkiomen Valley High School</v>
          </cell>
          <cell r="I413" t="str">
            <v>Collegeville</v>
          </cell>
          <cell r="K413" t="str">
            <v>509 Gravel Pike</v>
          </cell>
          <cell r="L413" t="str">
            <v>PA</v>
          </cell>
          <cell r="M413">
            <v>19426</v>
          </cell>
          <cell r="N413" t="str">
            <v>509 Gravel Pike Collegeville, PA 19426</v>
          </cell>
        </row>
        <row r="414">
          <cell r="G414">
            <v>246467</v>
          </cell>
          <cell r="H414" t="str">
            <v>Upper Bucks Co Tech School</v>
          </cell>
          <cell r="I414" t="str">
            <v>Perkasie</v>
          </cell>
          <cell r="K414" t="str">
            <v>3115 Ridge Rd</v>
          </cell>
          <cell r="L414" t="str">
            <v>PA</v>
          </cell>
          <cell r="M414">
            <v>18944</v>
          </cell>
          <cell r="N414" t="str">
            <v>3115 Ridge Rd Perkasie, PA 18944</v>
          </cell>
        </row>
        <row r="415">
          <cell r="G415">
            <v>483959</v>
          </cell>
          <cell r="H415" t="str">
            <v>WV-Southern Market Lancaster</v>
          </cell>
          <cell r="I415" t="str">
            <v>Lancaster</v>
          </cell>
          <cell r="K415" t="str">
            <v>100 S QUEEN ST</v>
          </cell>
          <cell r="L415" t="str">
            <v>PA</v>
          </cell>
          <cell r="M415">
            <v>17603</v>
          </cell>
          <cell r="N415" t="str">
            <v>100 S QUEEN ST Lancaster, PA 17603</v>
          </cell>
        </row>
        <row r="416">
          <cell r="G416">
            <v>470537</v>
          </cell>
          <cell r="H416" t="str">
            <v>Lorewood Grove Elementary Scho</v>
          </cell>
          <cell r="I416" t="str">
            <v>MIDDLETOWN</v>
          </cell>
          <cell r="K416" t="str">
            <v>820 Mapleton Ave</v>
          </cell>
          <cell r="L416" t="str">
            <v>DE</v>
          </cell>
          <cell r="M416">
            <v>19709</v>
          </cell>
          <cell r="N416" t="str">
            <v>820 Mapleton Ave MIDDLETOWN, DE 19709</v>
          </cell>
        </row>
        <row r="417">
          <cell r="G417">
            <v>246141</v>
          </cell>
          <cell r="H417" t="str">
            <v>Roman Catholic High School</v>
          </cell>
          <cell r="I417" t="str">
            <v>Philadelphia</v>
          </cell>
          <cell r="K417" t="str">
            <v>301 N Broad St</v>
          </cell>
          <cell r="L417" t="str">
            <v>PA</v>
          </cell>
          <cell r="M417">
            <v>19107</v>
          </cell>
          <cell r="N417" t="str">
            <v>301 N Broad St Philadelphia, PA 19107</v>
          </cell>
        </row>
        <row r="418">
          <cell r="G418">
            <v>239004</v>
          </cell>
          <cell r="H418" t="str">
            <v>WILLOW VALLEY MED LKS MNR FLR#</v>
          </cell>
          <cell r="I418" t="str">
            <v>Willow Street</v>
          </cell>
          <cell r="K418" t="str">
            <v>300 Willow Valley Lakes Dr</v>
          </cell>
          <cell r="L418" t="str">
            <v>PA</v>
          </cell>
          <cell r="M418">
            <v>17584</v>
          </cell>
          <cell r="N418" t="str">
            <v>300 Willow Valley Lakes Dr Willow Street, PA 17584</v>
          </cell>
        </row>
        <row r="419">
          <cell r="G419">
            <v>459743</v>
          </cell>
          <cell r="H419" t="str">
            <v>COUNTY OF YORK PRISON</v>
          </cell>
          <cell r="I419" t="str">
            <v>York</v>
          </cell>
          <cell r="K419" t="str">
            <v>3400 Concord Rd</v>
          </cell>
          <cell r="L419" t="str">
            <v>PA</v>
          </cell>
          <cell r="M419">
            <v>17402</v>
          </cell>
          <cell r="N419" t="str">
            <v>3400 Concord Rd York, PA 17402</v>
          </cell>
        </row>
        <row r="420">
          <cell r="G420">
            <v>453171</v>
          </cell>
          <cell r="H420" t="str">
            <v>EAST HIGH STREET ELEMENTARY</v>
          </cell>
          <cell r="I420" t="str">
            <v>ELIZABETHTOWN</v>
          </cell>
          <cell r="K420" t="str">
            <v>800 E High St</v>
          </cell>
          <cell r="L420" t="str">
            <v>PA</v>
          </cell>
          <cell r="M420">
            <v>17022</v>
          </cell>
          <cell r="N420" t="str">
            <v>800 E High St ELIZABETHTOWN, PA 17022</v>
          </cell>
        </row>
        <row r="421">
          <cell r="G421">
            <v>272622</v>
          </cell>
          <cell r="H421" t="str">
            <v>RUTTERS FARM STORES #6</v>
          </cell>
          <cell r="I421" t="str">
            <v>Hanover</v>
          </cell>
          <cell r="K421" t="str">
            <v>1009 YORK ST</v>
          </cell>
          <cell r="L421" t="str">
            <v>PA</v>
          </cell>
          <cell r="M421">
            <v>17331</v>
          </cell>
          <cell r="N421" t="str">
            <v>1009 YORK ST Hanover, PA 17331</v>
          </cell>
        </row>
        <row r="422">
          <cell r="G422">
            <v>241662</v>
          </cell>
          <cell r="H422" t="str">
            <v>RUTTERS FARM STORES #15</v>
          </cell>
          <cell r="I422" t="str">
            <v>York</v>
          </cell>
          <cell r="K422" t="str">
            <v>2125 N Susquehanna Trl</v>
          </cell>
          <cell r="L422" t="str">
            <v>PA</v>
          </cell>
          <cell r="M422">
            <v>17404</v>
          </cell>
          <cell r="N422" t="str">
            <v>2125 N Susquehanna Trl York, PA 17404</v>
          </cell>
        </row>
        <row r="423">
          <cell r="G423">
            <v>452750</v>
          </cell>
          <cell r="H423" t="str">
            <v>Alice Costello School</v>
          </cell>
          <cell r="I423" t="str">
            <v>Brooklawn</v>
          </cell>
          <cell r="J423" t="str">
            <v>Cherry Hill</v>
          </cell>
          <cell r="K423" t="str">
            <v>301 Haakon Rd</v>
          </cell>
          <cell r="L423" t="str">
            <v>NJ</v>
          </cell>
          <cell r="M423">
            <v>8030</v>
          </cell>
          <cell r="N423" t="str">
            <v>301 Haakon Rd Brooklawn, NJ 08030</v>
          </cell>
        </row>
        <row r="424">
          <cell r="G424">
            <v>256146</v>
          </cell>
          <cell r="H424" t="str">
            <v>RUTTERS FARM STORES #31</v>
          </cell>
          <cell r="I424" t="str">
            <v>Shippensburg</v>
          </cell>
          <cell r="K424" t="str">
            <v>1 Airport Rd</v>
          </cell>
          <cell r="L424" t="str">
            <v>PA</v>
          </cell>
          <cell r="M424">
            <v>17257</v>
          </cell>
          <cell r="N424" t="str">
            <v>1 Airport Rd Shippensburg, PA 17257</v>
          </cell>
        </row>
        <row r="425">
          <cell r="G425">
            <v>341917</v>
          </cell>
          <cell r="H425" t="str">
            <v>MASONIC VILLAGES OF THE GRAND</v>
          </cell>
          <cell r="I425" t="str">
            <v>ELIZABETHTOWN</v>
          </cell>
          <cell r="K425" t="str">
            <v>581 Freemason Dr</v>
          </cell>
          <cell r="L425" t="str">
            <v>PA</v>
          </cell>
          <cell r="M425">
            <v>17022</v>
          </cell>
          <cell r="N425" t="str">
            <v>581 Freemason Dr ELIZABETHTOWN, PA 17022</v>
          </cell>
        </row>
        <row r="426">
          <cell r="G426">
            <v>482989</v>
          </cell>
          <cell r="H426" t="str">
            <v>SHIKELLAMY Warehouse</v>
          </cell>
          <cell r="I426" t="str">
            <v>Sunbury</v>
          </cell>
          <cell r="K426" t="str">
            <v>501 Church St</v>
          </cell>
          <cell r="L426" t="str">
            <v>PA</v>
          </cell>
          <cell r="M426">
            <v>17801</v>
          </cell>
          <cell r="N426" t="str">
            <v>501 Church St Sunbury, PA 17801</v>
          </cell>
        </row>
        <row r="427">
          <cell r="G427">
            <v>456817</v>
          </cell>
          <cell r="H427" t="str">
            <v>WAYNESBORO MIDDLE SCHOOL</v>
          </cell>
          <cell r="I427" t="str">
            <v>Waynesboro</v>
          </cell>
          <cell r="K427" t="str">
            <v>702 E 2nd St</v>
          </cell>
          <cell r="L427" t="str">
            <v>PA</v>
          </cell>
          <cell r="M427">
            <v>17268</v>
          </cell>
          <cell r="N427" t="str">
            <v>702 E 2nd St Waynesboro, PA 17268</v>
          </cell>
        </row>
        <row r="428">
          <cell r="G428">
            <v>242714</v>
          </cell>
          <cell r="H428" t="str">
            <v>RUTTERS FARM STORES #62</v>
          </cell>
          <cell r="I428" t="str">
            <v>York</v>
          </cell>
          <cell r="K428" t="str">
            <v>910 S RICHLAND AVE</v>
          </cell>
          <cell r="L428" t="str">
            <v>PA</v>
          </cell>
          <cell r="M428">
            <v>17403</v>
          </cell>
          <cell r="N428" t="str">
            <v>910 S RICHLAND AVE York, PA 17403</v>
          </cell>
        </row>
        <row r="429">
          <cell r="G429">
            <v>314104</v>
          </cell>
          <cell r="H429" t="str">
            <v>Clementon Borough BOE</v>
          </cell>
          <cell r="I429" t="str">
            <v>Clementon</v>
          </cell>
          <cell r="J429" t="str">
            <v>Cherry Hill</v>
          </cell>
          <cell r="K429" t="str">
            <v>4 Audubon Ave</v>
          </cell>
          <cell r="L429" t="str">
            <v>NJ</v>
          </cell>
          <cell r="M429">
            <v>8021</v>
          </cell>
          <cell r="N429" t="str">
            <v>4 Audubon Ave Clementon, NJ 08021</v>
          </cell>
        </row>
        <row r="430">
          <cell r="G430">
            <v>415487</v>
          </cell>
          <cell r="H430" t="str">
            <v>GOODS STORE</v>
          </cell>
          <cell r="I430" t="str">
            <v>Quarryville</v>
          </cell>
          <cell r="K430" t="str">
            <v>333 W 4th St</v>
          </cell>
          <cell r="L430" t="str">
            <v>PA</v>
          </cell>
          <cell r="M430">
            <v>17566</v>
          </cell>
          <cell r="N430" t="str">
            <v>333 W 4th St Quarryville, PA 17566</v>
          </cell>
        </row>
        <row r="431">
          <cell r="G431">
            <v>241656</v>
          </cell>
          <cell r="H431" t="str">
            <v>Rutters Farm Store # 47</v>
          </cell>
          <cell r="I431" t="str">
            <v>York</v>
          </cell>
          <cell r="K431" t="str">
            <v>509 GREENBRIAR RD</v>
          </cell>
          <cell r="L431" t="str">
            <v>PA</v>
          </cell>
          <cell r="M431">
            <v>17404</v>
          </cell>
          <cell r="N431" t="str">
            <v>509 GREENBRIAR RD York, PA 17404</v>
          </cell>
        </row>
        <row r="432">
          <cell r="G432">
            <v>296247</v>
          </cell>
          <cell r="H432" t="str">
            <v>St Patrick Parish</v>
          </cell>
          <cell r="I432" t="str">
            <v>Malvern</v>
          </cell>
          <cell r="K432" t="str">
            <v>131 Channing Ave</v>
          </cell>
          <cell r="L432" t="str">
            <v>PA</v>
          </cell>
          <cell r="M432">
            <v>19355</v>
          </cell>
          <cell r="N432" t="str">
            <v>131 Channing Ave Malvern, PA 19355</v>
          </cell>
        </row>
        <row r="433">
          <cell r="G433">
            <v>417471</v>
          </cell>
          <cell r="H433" t="str">
            <v>Indian Mills Memorial School</v>
          </cell>
          <cell r="I433" t="str">
            <v>Shamong</v>
          </cell>
          <cell r="J433" t="str">
            <v>Southampton Twp</v>
          </cell>
          <cell r="K433" t="str">
            <v>295 Indian Mills Rd</v>
          </cell>
          <cell r="L433" t="str">
            <v>NJ</v>
          </cell>
          <cell r="M433">
            <v>8088</v>
          </cell>
          <cell r="N433" t="str">
            <v>295 Indian Mills Rd Shamong, NJ 08088</v>
          </cell>
        </row>
        <row r="434">
          <cell r="G434">
            <v>417133</v>
          </cell>
          <cell r="H434" t="str">
            <v>Edgewood Elementary School</v>
          </cell>
          <cell r="I434" t="str">
            <v>Yardley</v>
          </cell>
          <cell r="K434" t="str">
            <v>899 Oxford Valley Rd</v>
          </cell>
          <cell r="L434" t="str">
            <v>PA</v>
          </cell>
          <cell r="M434">
            <v>19067</v>
          </cell>
          <cell r="N434" t="str">
            <v>899 Oxford Valley Rd Yardley, PA 19067</v>
          </cell>
        </row>
        <row r="435">
          <cell r="G435">
            <v>241528</v>
          </cell>
          <cell r="H435" t="str">
            <v>READING BAKERY SYSTEMS#</v>
          </cell>
          <cell r="I435" t="str">
            <v>Robesonia</v>
          </cell>
          <cell r="K435" t="str">
            <v>380 Old W Penn Ave</v>
          </cell>
          <cell r="L435" t="str">
            <v>PA</v>
          </cell>
          <cell r="M435">
            <v>19551</v>
          </cell>
          <cell r="N435" t="str">
            <v>380 Old W Penn Ave Robesonia, PA 19551</v>
          </cell>
        </row>
        <row r="436">
          <cell r="G436">
            <v>416425</v>
          </cell>
          <cell r="H436" t="str">
            <v>Brickmill Elementary School</v>
          </cell>
          <cell r="I436" t="str">
            <v>MIDDLETOWN</v>
          </cell>
          <cell r="K436" t="str">
            <v>378 Brick Mill Rd</v>
          </cell>
          <cell r="L436" t="str">
            <v>DE</v>
          </cell>
          <cell r="M436">
            <v>19709</v>
          </cell>
          <cell r="N436" t="str">
            <v>378 Brick Mill Rd MIDDLETOWN, DE 19709</v>
          </cell>
        </row>
        <row r="437">
          <cell r="G437">
            <v>416518</v>
          </cell>
          <cell r="H437" t="str">
            <v>Burlington City High School</v>
          </cell>
          <cell r="I437" t="str">
            <v>Burlington</v>
          </cell>
          <cell r="J437" t="str">
            <v>Cherry Hill</v>
          </cell>
          <cell r="K437" t="str">
            <v>100 Blue Devil Way</v>
          </cell>
          <cell r="L437" t="str">
            <v>NJ</v>
          </cell>
          <cell r="M437">
            <v>8016</v>
          </cell>
          <cell r="N437" t="str">
            <v>100 Blue Devil Way Burlington, NJ 08016</v>
          </cell>
        </row>
        <row r="438">
          <cell r="G438">
            <v>453639</v>
          </cell>
          <cell r="H438" t="str">
            <v>SWIFT MIDDLE SCHOOL</v>
          </cell>
          <cell r="I438" t="str">
            <v>Quarryville</v>
          </cell>
          <cell r="K438" t="str">
            <v>1866 Robert Fulton Hwy</v>
          </cell>
          <cell r="L438" t="str">
            <v>PA</v>
          </cell>
          <cell r="M438">
            <v>17566</v>
          </cell>
          <cell r="N438" t="str">
            <v>1866 Robert Fulton Hwy Quarryville, PA 17566</v>
          </cell>
        </row>
        <row r="439">
          <cell r="G439">
            <v>418834</v>
          </cell>
          <cell r="H439" t="str">
            <v>Townsend Elementary School</v>
          </cell>
          <cell r="I439" t="str">
            <v>Townsend</v>
          </cell>
          <cell r="K439" t="str">
            <v>126 Main St</v>
          </cell>
          <cell r="L439" t="str">
            <v>DE</v>
          </cell>
          <cell r="M439">
            <v>19734</v>
          </cell>
          <cell r="N439" t="str">
            <v>126 Main St Townsend, DE 19734</v>
          </cell>
        </row>
        <row r="440">
          <cell r="G440">
            <v>286426</v>
          </cell>
          <cell r="H440" t="str">
            <v>SPOOKY NOOK SPORTS#</v>
          </cell>
          <cell r="I440" t="str">
            <v>Manheim</v>
          </cell>
          <cell r="K440" t="str">
            <v>2913 Spooky Nook Rd</v>
          </cell>
          <cell r="L440" t="str">
            <v>PA</v>
          </cell>
          <cell r="M440">
            <v>17545</v>
          </cell>
          <cell r="N440" t="str">
            <v>2913 Spooky Nook Rd Manheim, PA 17545</v>
          </cell>
        </row>
        <row r="441">
          <cell r="G441">
            <v>317447</v>
          </cell>
          <cell r="H441" t="str">
            <v>Galloway Township Municipal</v>
          </cell>
          <cell r="I441" t="str">
            <v>Galloway</v>
          </cell>
          <cell r="K441" t="str">
            <v>300 E Jimmie Leeds Rd</v>
          </cell>
          <cell r="L441" t="str">
            <v>NJ</v>
          </cell>
          <cell r="M441">
            <v>8205</v>
          </cell>
          <cell r="N441" t="str">
            <v>300 E Jimmie Leeds Rd Galloway, NJ 08205</v>
          </cell>
        </row>
        <row r="442">
          <cell r="G442">
            <v>319219</v>
          </cell>
          <cell r="H442" t="str">
            <v>RUTTERS FARM STORES #72</v>
          </cell>
          <cell r="I442" t="str">
            <v>Saint Thomas</v>
          </cell>
          <cell r="K442" t="str">
            <v>4498 LINCOLN WAY W</v>
          </cell>
          <cell r="L442" t="str">
            <v>PA</v>
          </cell>
          <cell r="M442">
            <v>17252</v>
          </cell>
          <cell r="N442" t="str">
            <v>4498 LINCOLN WAY W Saint Thomas, PA 17252</v>
          </cell>
        </row>
        <row r="443">
          <cell r="G443">
            <v>431926</v>
          </cell>
          <cell r="H443" t="str">
            <v>UTI Universal Technical Instit</v>
          </cell>
          <cell r="I443" t="str">
            <v>EXTON</v>
          </cell>
          <cell r="K443" t="str">
            <v>750 Pennsylvania Dr</v>
          </cell>
          <cell r="L443" t="str">
            <v>PA</v>
          </cell>
          <cell r="M443">
            <v>19341</v>
          </cell>
          <cell r="N443" t="str">
            <v>750 Pennsylvania Dr EXTON, PA 19341</v>
          </cell>
        </row>
        <row r="444">
          <cell r="G444">
            <v>459982</v>
          </cell>
          <cell r="H444" t="str">
            <v>Work Space Property Trust L.P</v>
          </cell>
          <cell r="I444" t="str">
            <v>Horsham</v>
          </cell>
          <cell r="K444" t="str">
            <v>100 Witmer Rd</v>
          </cell>
          <cell r="L444" t="str">
            <v>PA</v>
          </cell>
          <cell r="M444">
            <v>19044</v>
          </cell>
          <cell r="N444" t="str">
            <v>100 Witmer Rd Horsham, PA 19044</v>
          </cell>
        </row>
        <row r="445">
          <cell r="G445">
            <v>240911</v>
          </cell>
          <cell r="H445" t="str">
            <v>Littlestown Area School Distri</v>
          </cell>
          <cell r="I445" t="str">
            <v>Littlestown</v>
          </cell>
          <cell r="K445" t="str">
            <v>162 Newark St</v>
          </cell>
          <cell r="L445" t="str">
            <v>PA</v>
          </cell>
          <cell r="M445">
            <v>17340</v>
          </cell>
          <cell r="N445" t="str">
            <v>162 Newark St Littlestown, PA 17340</v>
          </cell>
        </row>
        <row r="446">
          <cell r="G446">
            <v>281483</v>
          </cell>
          <cell r="H446" t="str">
            <v>Bermuda Janitorial Supply</v>
          </cell>
          <cell r="I446" t="str">
            <v>Salem</v>
          </cell>
          <cell r="K446" t="str">
            <v>103 Tilbury Rd</v>
          </cell>
          <cell r="L446" t="str">
            <v>NJ</v>
          </cell>
          <cell r="M446">
            <v>8079</v>
          </cell>
          <cell r="N446" t="str">
            <v>103 Tilbury Rd Salem, NJ 08079</v>
          </cell>
        </row>
        <row r="447">
          <cell r="G447">
            <v>428613</v>
          </cell>
          <cell r="H447" t="str">
            <v>GOVERNOR MIFFLIN MIDDLE SCHOOL</v>
          </cell>
          <cell r="I447" t="str">
            <v>Shillington</v>
          </cell>
          <cell r="K447" t="str">
            <v>130 E Lancaster Ave</v>
          </cell>
          <cell r="L447" t="str">
            <v>PA</v>
          </cell>
          <cell r="M447">
            <v>19607</v>
          </cell>
          <cell r="N447" t="str">
            <v>130 E Lancaster Ave Shillington, PA 19607</v>
          </cell>
        </row>
        <row r="448">
          <cell r="G448">
            <v>342767</v>
          </cell>
          <cell r="H448" t="str">
            <v>IMMACULATE CONCEPTION SCHOOL</v>
          </cell>
          <cell r="I448" t="str">
            <v>ANNANDALE</v>
          </cell>
          <cell r="J448" t="str">
            <v>Easton - East</v>
          </cell>
          <cell r="K448" t="str">
            <v>314 OLD ALLERTON RD</v>
          </cell>
          <cell r="L448" t="str">
            <v>NJ</v>
          </cell>
          <cell r="M448">
            <v>8801</v>
          </cell>
          <cell r="N448" t="str">
            <v>314 OLD ALLERTON RD ANNANDALE, NJ 08801</v>
          </cell>
        </row>
        <row r="449">
          <cell r="G449">
            <v>417066</v>
          </cell>
          <cell r="H449" t="str">
            <v>Dennis Township Primary School</v>
          </cell>
          <cell r="I449" t="str">
            <v>Cape May Court House</v>
          </cell>
          <cell r="K449" t="str">
            <v>601 Hagen Rd</v>
          </cell>
          <cell r="L449" t="str">
            <v>NJ</v>
          </cell>
          <cell r="M449">
            <v>8210</v>
          </cell>
          <cell r="N449" t="str">
            <v>601 Hagen Rd Cape May Court House, NJ 08210</v>
          </cell>
        </row>
        <row r="450">
          <cell r="G450">
            <v>425066</v>
          </cell>
          <cell r="H450" t="str">
            <v>Grasse Elementary School</v>
          </cell>
          <cell r="I450" t="str">
            <v>Sellersville</v>
          </cell>
          <cell r="K450" t="str">
            <v>600 Rickert Rd</v>
          </cell>
          <cell r="L450" t="str">
            <v>PA</v>
          </cell>
          <cell r="M450">
            <v>18960</v>
          </cell>
          <cell r="N450" t="str">
            <v>600 Rickert Rd Sellersville, PA 18960</v>
          </cell>
        </row>
        <row r="451">
          <cell r="G451">
            <v>448878</v>
          </cell>
          <cell r="H451" t="str">
            <v>MILTON S HERSHEY MEDICAL CENTE</v>
          </cell>
          <cell r="I451" t="str">
            <v>Hershey</v>
          </cell>
          <cell r="K451" t="str">
            <v>500 University Dr</v>
          </cell>
          <cell r="L451" t="str">
            <v>PA</v>
          </cell>
          <cell r="M451">
            <v>17033</v>
          </cell>
          <cell r="N451" t="str">
            <v>500 University Dr Hershey, PA 17033</v>
          </cell>
        </row>
        <row r="452">
          <cell r="G452">
            <v>240117</v>
          </cell>
          <cell r="H452" t="str">
            <v>SUNRISE LOGISTICS#</v>
          </cell>
          <cell r="I452" t="str">
            <v>Ephrata</v>
          </cell>
          <cell r="K452" t="str">
            <v>820 N Reading Rd</v>
          </cell>
          <cell r="L452" t="str">
            <v>PA</v>
          </cell>
          <cell r="M452">
            <v>17522</v>
          </cell>
          <cell r="N452" t="str">
            <v>820 N Reading Rd Ephrata, PA 17522</v>
          </cell>
        </row>
        <row r="453">
          <cell r="G453">
            <v>241655</v>
          </cell>
          <cell r="H453" t="str">
            <v>RUTTERS FARM STORE #24</v>
          </cell>
          <cell r="I453" t="str">
            <v>Brogue</v>
          </cell>
          <cell r="K453" t="str">
            <v>2600 Delta Rd</v>
          </cell>
          <cell r="L453" t="str">
            <v>PA</v>
          </cell>
          <cell r="M453">
            <v>17309</v>
          </cell>
          <cell r="N453" t="str">
            <v>2600 Delta Rd Brogue, PA 17309</v>
          </cell>
        </row>
        <row r="454">
          <cell r="G454">
            <v>465066</v>
          </cell>
          <cell r="H454" t="str">
            <v>Cranberry Pine Elementary</v>
          </cell>
          <cell r="I454" t="str">
            <v>Medford</v>
          </cell>
          <cell r="J454" t="str">
            <v>Southampton Twp</v>
          </cell>
          <cell r="K454" t="str">
            <v>400 Fairview Rd</v>
          </cell>
          <cell r="L454" t="str">
            <v>NJ</v>
          </cell>
          <cell r="M454">
            <v>8055</v>
          </cell>
          <cell r="N454" t="str">
            <v>400 Fairview Rd Medford, NJ 08055</v>
          </cell>
        </row>
        <row r="455">
          <cell r="G455">
            <v>241312</v>
          </cell>
          <cell r="H455" t="str">
            <v>OLEY VALLEY SCHOOL DISTRICT</v>
          </cell>
          <cell r="I455" t="str">
            <v>Oley</v>
          </cell>
          <cell r="K455" t="str">
            <v>17 Jefferson St</v>
          </cell>
          <cell r="L455" t="str">
            <v>PA</v>
          </cell>
          <cell r="M455">
            <v>19547</v>
          </cell>
          <cell r="N455" t="str">
            <v>17 Jefferson St Oley, PA 19547</v>
          </cell>
        </row>
        <row r="456">
          <cell r="G456">
            <v>239292</v>
          </cell>
          <cell r="H456" t="str">
            <v>BERMUDIAN SPRINGS SCHOOL DIST</v>
          </cell>
          <cell r="I456" t="str">
            <v>York Springs</v>
          </cell>
          <cell r="K456" t="str">
            <v>7335 Carlisle Pike</v>
          </cell>
          <cell r="L456" t="str">
            <v>PA</v>
          </cell>
          <cell r="M456">
            <v>17372</v>
          </cell>
          <cell r="N456" t="str">
            <v>7335 Carlisle Pike York Springs, PA 17372</v>
          </cell>
        </row>
        <row r="457">
          <cell r="G457">
            <v>471873</v>
          </cell>
          <cell r="H457" t="str">
            <v>Millersville - Roddy / Caputo</v>
          </cell>
          <cell r="I457" t="str">
            <v>Millersville</v>
          </cell>
          <cell r="K457" t="str">
            <v>50 W Frederick St</v>
          </cell>
          <cell r="L457" t="str">
            <v>PA</v>
          </cell>
          <cell r="M457">
            <v>17551</v>
          </cell>
          <cell r="N457" t="str">
            <v>50 W Frederick St Millersville, PA 17551</v>
          </cell>
        </row>
        <row r="458">
          <cell r="G458">
            <v>239964</v>
          </cell>
          <cell r="H458" t="str">
            <v>ELIZABETHTOWN AREA SCHOOL V*</v>
          </cell>
          <cell r="I458" t="str">
            <v>ELIZABETHTOWN</v>
          </cell>
          <cell r="K458" t="str">
            <v>600 E High St</v>
          </cell>
          <cell r="L458" t="str">
            <v>PA</v>
          </cell>
          <cell r="M458">
            <v>17022</v>
          </cell>
          <cell r="N458" t="str">
            <v>600 E High St ELIZABETHTOWN, PA 17022</v>
          </cell>
        </row>
        <row r="459">
          <cell r="G459">
            <v>330198</v>
          </cell>
          <cell r="H459" t="str">
            <v>GROSFILLEX INC#</v>
          </cell>
          <cell r="I459" t="str">
            <v>Robesonia</v>
          </cell>
          <cell r="K459" t="str">
            <v>230 Old West Penn Ave</v>
          </cell>
          <cell r="L459" t="str">
            <v>PA</v>
          </cell>
          <cell r="M459">
            <v>19551</v>
          </cell>
          <cell r="N459" t="str">
            <v>230 Old West Penn Ave Robesonia, PA 19551</v>
          </cell>
        </row>
        <row r="460">
          <cell r="G460">
            <v>418582</v>
          </cell>
          <cell r="H460" t="str">
            <v>Schwenksville Elementary Schoo</v>
          </cell>
          <cell r="I460" t="str">
            <v>Schwenksville</v>
          </cell>
          <cell r="K460" t="str">
            <v>55 2nd St</v>
          </cell>
          <cell r="L460" t="str">
            <v>PA</v>
          </cell>
          <cell r="M460">
            <v>19473</v>
          </cell>
          <cell r="N460" t="str">
            <v>55 2nd St Schwenksville, PA 19473</v>
          </cell>
        </row>
        <row r="461">
          <cell r="G461">
            <v>418313</v>
          </cell>
          <cell r="H461" t="str">
            <v>West RockHill Elementary</v>
          </cell>
          <cell r="I461" t="str">
            <v>Sellersville</v>
          </cell>
          <cell r="K461" t="str">
            <v>1000 Washington Ave</v>
          </cell>
          <cell r="L461" t="str">
            <v>PA</v>
          </cell>
          <cell r="M461">
            <v>18960</v>
          </cell>
          <cell r="N461" t="str">
            <v>1000 Washington Ave Sellersville, PA 18960</v>
          </cell>
        </row>
        <row r="462">
          <cell r="G462">
            <v>480927</v>
          </cell>
          <cell r="H462" t="str">
            <v>Royal Suites Housekeeping Patr</v>
          </cell>
          <cell r="I462" t="str">
            <v>Atlantic City</v>
          </cell>
          <cell r="J462" t="str">
            <v>Atlantic City</v>
          </cell>
          <cell r="K462" t="str">
            <v>1507 Boardwalk</v>
          </cell>
          <cell r="L462" t="str">
            <v>NJ</v>
          </cell>
          <cell r="M462">
            <v>8401</v>
          </cell>
          <cell r="N462" t="str">
            <v>1507 Boardwalk Atlantic City, NJ 08401</v>
          </cell>
        </row>
        <row r="463">
          <cell r="G463">
            <v>440758</v>
          </cell>
          <cell r="H463" t="str">
            <v>Roebling Elementary School</v>
          </cell>
          <cell r="I463" t="str">
            <v>Roebling</v>
          </cell>
          <cell r="J463" t="str">
            <v>Trenton - South</v>
          </cell>
          <cell r="K463" t="str">
            <v>1330 Hornberger Ave</v>
          </cell>
          <cell r="L463" t="str">
            <v>NJ</v>
          </cell>
          <cell r="M463">
            <v>8554</v>
          </cell>
          <cell r="N463" t="str">
            <v>1330 Hornberger Ave Roebling, NJ 08554</v>
          </cell>
        </row>
        <row r="464">
          <cell r="G464">
            <v>241036</v>
          </cell>
          <cell r="H464" t="str">
            <v>MARKEYS BLDG MAINT #</v>
          </cell>
          <cell r="I464" t="str">
            <v>Red Lion</v>
          </cell>
          <cell r="K464" t="str">
            <v>211 S Charles St</v>
          </cell>
          <cell r="L464" t="str">
            <v>PA</v>
          </cell>
          <cell r="M464">
            <v>17356</v>
          </cell>
          <cell r="N464" t="str">
            <v>211 S Charles St Red Lion, PA 17356</v>
          </cell>
        </row>
        <row r="465">
          <cell r="G465">
            <v>435816</v>
          </cell>
          <cell r="H465" t="str">
            <v>CLAIR GLOBAL</v>
          </cell>
          <cell r="I465" t="str">
            <v>Lititz</v>
          </cell>
          <cell r="K465" t="str">
            <v>1 Ellen Ave</v>
          </cell>
          <cell r="L465" t="str">
            <v>PA</v>
          </cell>
          <cell r="M465">
            <v>17543</v>
          </cell>
          <cell r="N465" t="str">
            <v>1 Ellen Ave Lititz, PA 17543</v>
          </cell>
        </row>
        <row r="466">
          <cell r="G466">
            <v>242371</v>
          </cell>
          <cell r="H466" t="str">
            <v>West Shore Evangelical Free Ch</v>
          </cell>
          <cell r="I466" t="str">
            <v>Mechanicsburg</v>
          </cell>
          <cell r="K466" t="str">
            <v>1345 Williams Grove Rd</v>
          </cell>
          <cell r="L466" t="str">
            <v>PA</v>
          </cell>
          <cell r="M466">
            <v>17055</v>
          </cell>
          <cell r="N466" t="str">
            <v>1345 Williams Grove Rd Mechanicsburg, PA 17055</v>
          </cell>
        </row>
        <row r="467">
          <cell r="G467">
            <v>434260</v>
          </cell>
          <cell r="H467" t="str">
            <v>New Hope-Solebury Upper Elem S</v>
          </cell>
          <cell r="I467" t="str">
            <v>New Hope</v>
          </cell>
          <cell r="K467" t="str">
            <v>186 W Bridge St</v>
          </cell>
          <cell r="L467" t="str">
            <v>PA</v>
          </cell>
          <cell r="M467">
            <v>18938</v>
          </cell>
          <cell r="N467" t="str">
            <v>186 W Bridge St New Hope, PA 18938</v>
          </cell>
        </row>
        <row r="468">
          <cell r="G468">
            <v>430489</v>
          </cell>
          <cell r="H468" t="str">
            <v>J. P. Cleary Elementary School</v>
          </cell>
          <cell r="I468" t="str">
            <v>Minotola</v>
          </cell>
          <cell r="K468" t="str">
            <v>1501 Central Ave</v>
          </cell>
          <cell r="L468" t="str">
            <v>NJ</v>
          </cell>
          <cell r="M468">
            <v>8341</v>
          </cell>
          <cell r="N468" t="str">
            <v>1501 Central Ave Minotola, NJ 08341</v>
          </cell>
        </row>
        <row r="469">
          <cell r="G469">
            <v>418223</v>
          </cell>
          <cell r="H469" t="str">
            <v>Olive B. Loss Elementary Schoo</v>
          </cell>
          <cell r="I469" t="str">
            <v>Bear</v>
          </cell>
          <cell r="J469" t="str">
            <v>Wilmington</v>
          </cell>
          <cell r="K469" t="str">
            <v>200 Brennan Blvd</v>
          </cell>
          <cell r="L469" t="str">
            <v>DE</v>
          </cell>
          <cell r="M469">
            <v>19701</v>
          </cell>
          <cell r="N469" t="str">
            <v>200 Brennan Blvd Bear, DE 19701</v>
          </cell>
        </row>
        <row r="470">
          <cell r="G470">
            <v>429486</v>
          </cell>
          <cell r="H470" t="str">
            <v>PALMYRA AREA SD WAREHOUSE</v>
          </cell>
          <cell r="I470" t="str">
            <v>Palmyra</v>
          </cell>
          <cell r="K470" t="str">
            <v>1125 Park Dr</v>
          </cell>
          <cell r="L470" t="str">
            <v>PA</v>
          </cell>
          <cell r="M470">
            <v>17078</v>
          </cell>
          <cell r="N470" t="str">
            <v>1125 Park Dr Palmyra, PA 17078</v>
          </cell>
        </row>
        <row r="471">
          <cell r="G471">
            <v>343882</v>
          </cell>
          <cell r="H471" t="str">
            <v>Lower Township School District</v>
          </cell>
          <cell r="I471" t="str">
            <v>Cape May</v>
          </cell>
          <cell r="K471" t="str">
            <v>905 Seashore Rd</v>
          </cell>
          <cell r="L471" t="str">
            <v>NJ</v>
          </cell>
          <cell r="M471">
            <v>8204</v>
          </cell>
          <cell r="N471" t="str">
            <v>905 Seashore Rd Cape May, NJ 08204</v>
          </cell>
        </row>
        <row r="472">
          <cell r="G472">
            <v>418154</v>
          </cell>
          <cell r="H472" t="str">
            <v>Neshaminy High School</v>
          </cell>
          <cell r="I472" t="str">
            <v>Langhorne</v>
          </cell>
          <cell r="K472" t="str">
            <v>2001 Old Lincoln Hwy</v>
          </cell>
          <cell r="L472" t="str">
            <v>PA</v>
          </cell>
          <cell r="M472">
            <v>19047</v>
          </cell>
          <cell r="N472" t="str">
            <v>2001 Old Lincoln Hwy Langhorne, PA 19047</v>
          </cell>
        </row>
        <row r="473">
          <cell r="G473">
            <v>417333</v>
          </cell>
          <cell r="H473" t="str">
            <v>Hibbert Group</v>
          </cell>
          <cell r="I473" t="str">
            <v>New Castle</v>
          </cell>
          <cell r="K473" t="str">
            <v>890 Ships Landing Way</v>
          </cell>
          <cell r="L473" t="str">
            <v>DE</v>
          </cell>
          <cell r="M473">
            <v>19720</v>
          </cell>
          <cell r="N473" t="str">
            <v>890 Ships Landing Way New Castle, DE 19720</v>
          </cell>
        </row>
        <row r="474">
          <cell r="G474">
            <v>296097</v>
          </cell>
          <cell r="H474" t="str">
            <v>LINCOLN CHRISTIAN HOME</v>
          </cell>
          <cell r="I474" t="str">
            <v>Ephrata</v>
          </cell>
          <cell r="K474" t="str">
            <v>1307 Apple St</v>
          </cell>
          <cell r="L474" t="str">
            <v>PA</v>
          </cell>
          <cell r="M474">
            <v>17522</v>
          </cell>
          <cell r="N474" t="str">
            <v>1307 Apple St Ephrata, PA 17522</v>
          </cell>
        </row>
        <row r="475">
          <cell r="G475">
            <v>482311</v>
          </cell>
          <cell r="H475" t="str">
            <v>Bridgewater Raritan Regional S</v>
          </cell>
          <cell r="I475" t="str">
            <v>Bridgewater</v>
          </cell>
          <cell r="K475" t="str">
            <v>105 Commons Way</v>
          </cell>
          <cell r="L475" t="str">
            <v>NJ</v>
          </cell>
          <cell r="M475">
            <v>8807</v>
          </cell>
          <cell r="N475" t="str">
            <v>105 Commons Way Bridgewater, NJ 08807</v>
          </cell>
        </row>
        <row r="476">
          <cell r="G476">
            <v>241679</v>
          </cell>
          <cell r="H476" t="str">
            <v>RUTTERS FARM STORES #38</v>
          </cell>
          <cell r="I476" t="str">
            <v>Hallam</v>
          </cell>
          <cell r="K476" t="str">
            <v>700 W Market St</v>
          </cell>
          <cell r="L476" t="str">
            <v>PA</v>
          </cell>
          <cell r="M476">
            <v>17406</v>
          </cell>
          <cell r="N476" t="str">
            <v>700 W Market St Hallam, PA 17406</v>
          </cell>
        </row>
        <row r="477">
          <cell r="G477">
            <v>241687</v>
          </cell>
          <cell r="H477" t="str">
            <v>RUTTERS FARM STORES #48</v>
          </cell>
          <cell r="I477" t="str">
            <v>Red Lion</v>
          </cell>
          <cell r="K477" t="str">
            <v>5 Winterstown Rd</v>
          </cell>
          <cell r="L477" t="str">
            <v>PA</v>
          </cell>
          <cell r="M477">
            <v>17356</v>
          </cell>
          <cell r="N477" t="str">
            <v>5 Winterstown Rd Red Lion, PA 17356</v>
          </cell>
        </row>
        <row r="478">
          <cell r="G478">
            <v>419096</v>
          </cell>
          <cell r="H478" t="str">
            <v>Women Against Abuse CP</v>
          </cell>
          <cell r="I478" t="str">
            <v>Philadelphia</v>
          </cell>
          <cell r="K478" t="str">
            <v>5301 Germantown Ave</v>
          </cell>
          <cell r="L478" t="str">
            <v>PA</v>
          </cell>
          <cell r="M478">
            <v>19144</v>
          </cell>
          <cell r="N478" t="str">
            <v>5301 Germantown Ave Philadelphia, PA 19144</v>
          </cell>
        </row>
        <row r="479">
          <cell r="G479">
            <v>467434</v>
          </cell>
          <cell r="H479" t="str">
            <v>Deibler Elementary</v>
          </cell>
          <cell r="I479" t="str">
            <v>Perkasie</v>
          </cell>
          <cell r="K479" t="str">
            <v>1122 W Schwenkmill Rd</v>
          </cell>
          <cell r="L479" t="str">
            <v>PA</v>
          </cell>
          <cell r="M479">
            <v>18944</v>
          </cell>
          <cell r="N479" t="str">
            <v>1122 W Schwenkmill Rd Perkasie, PA 18944</v>
          </cell>
        </row>
        <row r="480">
          <cell r="G480">
            <v>471296</v>
          </cell>
          <cell r="H480" t="str">
            <v>GOVERNOR MIFFLIN PARK ELEMENTA</v>
          </cell>
          <cell r="I480" t="str">
            <v>Shillington</v>
          </cell>
          <cell r="K480" t="str">
            <v>598 Governor Dr</v>
          </cell>
          <cell r="L480" t="str">
            <v>PA</v>
          </cell>
          <cell r="M480">
            <v>19607</v>
          </cell>
          <cell r="N480" t="str">
            <v>598 Governor Dr Shillington, PA 19607</v>
          </cell>
        </row>
        <row r="481">
          <cell r="G481">
            <v>316190</v>
          </cell>
          <cell r="H481" t="str">
            <v>RUTTERS FARM STORES #68</v>
          </cell>
          <cell r="I481" t="str">
            <v>Annville</v>
          </cell>
          <cell r="J481" t="str">
            <v>Lebanon - West</v>
          </cell>
          <cell r="K481" t="str">
            <v>798 W MAIN ST</v>
          </cell>
          <cell r="L481" t="str">
            <v>PA</v>
          </cell>
          <cell r="M481">
            <v>17003</v>
          </cell>
          <cell r="N481" t="str">
            <v>798 W MAIN ST Annville, PA 17003</v>
          </cell>
        </row>
        <row r="482">
          <cell r="G482">
            <v>453640</v>
          </cell>
          <cell r="H482" t="str">
            <v>BART COLERAIN ELEM SCHOOL</v>
          </cell>
          <cell r="I482" t="str">
            <v>Christiana</v>
          </cell>
          <cell r="K482" t="str">
            <v>1336 Noble Rd</v>
          </cell>
          <cell r="L482" t="str">
            <v>PA</v>
          </cell>
          <cell r="M482">
            <v>17509</v>
          </cell>
          <cell r="N482" t="str">
            <v>1336 Noble Rd Christiana, PA 17509</v>
          </cell>
        </row>
        <row r="483">
          <cell r="G483">
            <v>465627</v>
          </cell>
          <cell r="H483" t="str">
            <v>ANIMAL HEALTH INT - EAST MT JO</v>
          </cell>
          <cell r="I483" t="str">
            <v>Mount Joy</v>
          </cell>
          <cell r="K483" t="str">
            <v>1004 Cornerstone Dr</v>
          </cell>
          <cell r="L483" t="str">
            <v>PA</v>
          </cell>
          <cell r="M483">
            <v>17552</v>
          </cell>
          <cell r="N483" t="str">
            <v>1004 Cornerstone Dr Mount Joy, PA 17552</v>
          </cell>
        </row>
        <row r="484">
          <cell r="G484">
            <v>341368</v>
          </cell>
          <cell r="H484" t="str">
            <v>COLUMBIA COTTAGE LINGLESTOWN</v>
          </cell>
          <cell r="I484" t="str">
            <v>Harrisburg</v>
          </cell>
          <cell r="K484" t="str">
            <v>1000 Alexandra Ln</v>
          </cell>
          <cell r="L484" t="str">
            <v>PA</v>
          </cell>
          <cell r="M484">
            <v>17110</v>
          </cell>
          <cell r="N484" t="str">
            <v>1000 Alexandra Ln Harrisburg, PA 17110</v>
          </cell>
        </row>
        <row r="485">
          <cell r="G485">
            <v>241695</v>
          </cell>
          <cell r="H485" t="str">
            <v>RUTTERS FARM STORES #7</v>
          </cell>
          <cell r="I485" t="str">
            <v>York</v>
          </cell>
          <cell r="K485" t="str">
            <v>2251 N George St</v>
          </cell>
          <cell r="L485" t="str">
            <v>PA</v>
          </cell>
          <cell r="M485">
            <v>17406</v>
          </cell>
          <cell r="N485" t="str">
            <v>2251 N George St York, PA 17406</v>
          </cell>
        </row>
        <row r="486">
          <cell r="G486">
            <v>418339</v>
          </cell>
          <cell r="H486" t="str">
            <v>Perkiomen Valley Middle School</v>
          </cell>
          <cell r="I486" t="str">
            <v>Collegeville</v>
          </cell>
          <cell r="K486" t="str">
            <v>5 Tammanund Circle</v>
          </cell>
          <cell r="L486" t="str">
            <v>PA</v>
          </cell>
          <cell r="M486">
            <v>19426</v>
          </cell>
          <cell r="N486" t="str">
            <v>5 Tammanund Circle Collegeville, PA 19426</v>
          </cell>
        </row>
        <row r="487">
          <cell r="G487">
            <v>418087</v>
          </cell>
          <cell r="H487" t="str">
            <v>Middle Township High School</v>
          </cell>
          <cell r="I487" t="str">
            <v>Cape May Court House</v>
          </cell>
          <cell r="K487" t="str">
            <v>300 E Atlantic Ave</v>
          </cell>
          <cell r="L487" t="str">
            <v>NJ</v>
          </cell>
          <cell r="M487">
            <v>8210</v>
          </cell>
          <cell r="N487" t="str">
            <v>300 E Atlantic Ave Cape May Court House, NJ 08210</v>
          </cell>
        </row>
        <row r="488">
          <cell r="G488">
            <v>433738</v>
          </cell>
          <cell r="H488" t="str">
            <v>CORNWALL LEBANON SD - WAREHOUS</v>
          </cell>
          <cell r="I488" t="str">
            <v>Lebanon</v>
          </cell>
          <cell r="K488" t="str">
            <v>2021 State Dr</v>
          </cell>
          <cell r="L488" t="str">
            <v>PA</v>
          </cell>
          <cell r="M488">
            <v>17042</v>
          </cell>
          <cell r="N488" t="str">
            <v>2021 State Dr Lebanon, PA 17042</v>
          </cell>
        </row>
        <row r="489">
          <cell r="G489">
            <v>240929</v>
          </cell>
          <cell r="H489" t="str">
            <v>LONGENECKERS HATCHERY INC</v>
          </cell>
          <cell r="I489" t="str">
            <v>ELIZABETHTOWN</v>
          </cell>
          <cell r="K489" t="str">
            <v>1110 S Market St</v>
          </cell>
          <cell r="L489" t="str">
            <v>PA</v>
          </cell>
          <cell r="M489">
            <v>17022</v>
          </cell>
          <cell r="N489" t="str">
            <v>1110 S Market St ELIZABETHTOWN, PA 17022</v>
          </cell>
        </row>
        <row r="490">
          <cell r="G490">
            <v>331730</v>
          </cell>
          <cell r="H490" t="str">
            <v>The Cliffs at Callowhill</v>
          </cell>
          <cell r="I490" t="str">
            <v>Philadelphia</v>
          </cell>
          <cell r="K490" t="str">
            <v>1010 Callowhill St</v>
          </cell>
          <cell r="L490" t="str">
            <v>PA</v>
          </cell>
          <cell r="M490">
            <v>19123</v>
          </cell>
          <cell r="N490" t="str">
            <v>1010 Callowhill St Philadelphia, PA 19123</v>
          </cell>
        </row>
        <row r="491">
          <cell r="G491">
            <v>306450</v>
          </cell>
          <cell r="H491" t="str">
            <v>ROCK LITITZ STUDIO</v>
          </cell>
          <cell r="I491" t="str">
            <v>Lititz</v>
          </cell>
          <cell r="K491" t="str">
            <v>100 Rock Lititz Blvd</v>
          </cell>
          <cell r="L491" t="str">
            <v>PA</v>
          </cell>
          <cell r="M491">
            <v>17543</v>
          </cell>
          <cell r="N491" t="str">
            <v>100 Rock Lititz Blvd Lititz, PA 17543</v>
          </cell>
        </row>
        <row r="492">
          <cell r="G492">
            <v>246241</v>
          </cell>
          <cell r="H492" t="str">
            <v>Scott Honda of West Chester</v>
          </cell>
          <cell r="I492" t="str">
            <v>West Chester</v>
          </cell>
          <cell r="K492" t="str">
            <v>706 Autopark Blvd</v>
          </cell>
          <cell r="L492" t="str">
            <v>PA</v>
          </cell>
          <cell r="M492">
            <v>19382</v>
          </cell>
          <cell r="N492" t="str">
            <v>706 Autopark Blvd West Chester, PA 19382</v>
          </cell>
        </row>
        <row r="493">
          <cell r="G493">
            <v>284279</v>
          </cell>
          <cell r="H493" t="str">
            <v>Stuart Country Day School of</v>
          </cell>
          <cell r="I493" t="str">
            <v>Princeton</v>
          </cell>
          <cell r="K493" t="str">
            <v>1200 Stuart Rd</v>
          </cell>
          <cell r="L493" t="str">
            <v>NJ</v>
          </cell>
          <cell r="M493">
            <v>8540</v>
          </cell>
          <cell r="N493" t="str">
            <v>1200 Stuart Rd Princeton, NJ 08540</v>
          </cell>
        </row>
        <row r="494">
          <cell r="G494">
            <v>423140</v>
          </cell>
          <cell r="H494" t="str">
            <v>BROWNSTOWN ELEMENTARY</v>
          </cell>
          <cell r="I494" t="str">
            <v>Brownstown</v>
          </cell>
          <cell r="K494" t="str">
            <v>51 School Lane Ave</v>
          </cell>
          <cell r="L494" t="str">
            <v>PA</v>
          </cell>
          <cell r="M494">
            <v>17508</v>
          </cell>
          <cell r="N494" t="str">
            <v>51 School Lane Ave Brownstown, PA 17508</v>
          </cell>
        </row>
        <row r="495">
          <cell r="G495">
            <v>428611</v>
          </cell>
          <cell r="H495" t="str">
            <v>CUMRU ELEMENTARY SCHOOL</v>
          </cell>
          <cell r="I495" t="str">
            <v>Reading</v>
          </cell>
          <cell r="K495" t="str">
            <v>601 Philadelphia Ave</v>
          </cell>
          <cell r="L495" t="str">
            <v>PA</v>
          </cell>
          <cell r="M495">
            <v>19607</v>
          </cell>
          <cell r="N495" t="str">
            <v>601 Philadelphia Ave Reading, PA 19607</v>
          </cell>
        </row>
        <row r="496">
          <cell r="G496">
            <v>437513</v>
          </cell>
          <cell r="H496" t="str">
            <v>Bunker Hill Elementary School</v>
          </cell>
          <cell r="I496" t="str">
            <v>MIDDLETOWN</v>
          </cell>
          <cell r="K496" t="str">
            <v>1070 Bunker Hill Rd</v>
          </cell>
          <cell r="L496" t="str">
            <v>DE</v>
          </cell>
          <cell r="M496">
            <v>19709</v>
          </cell>
          <cell r="N496" t="str">
            <v>1070 Bunker Hill Rd MIDDLETOWN, DE 19709</v>
          </cell>
        </row>
        <row r="497">
          <cell r="G497">
            <v>455677</v>
          </cell>
          <cell r="H497" t="str">
            <v>Sandy Run Middle School</v>
          </cell>
          <cell r="I497" t="str">
            <v>DRESHER</v>
          </cell>
          <cell r="K497" t="str">
            <v>520 TWINING RD</v>
          </cell>
          <cell r="L497" t="str">
            <v>PA</v>
          </cell>
          <cell r="M497">
            <v>19025</v>
          </cell>
          <cell r="N497" t="str">
            <v>520 TWINING RD DRESHER, PA 19025</v>
          </cell>
        </row>
        <row r="498">
          <cell r="G498">
            <v>244062</v>
          </cell>
          <cell r="H498" t="str">
            <v>Newtown Athletic &amp; Aquatic Clu</v>
          </cell>
          <cell r="I498" t="str">
            <v>Newtown</v>
          </cell>
          <cell r="K498" t="str">
            <v>120 Pheasant Run</v>
          </cell>
          <cell r="L498" t="str">
            <v>PA</v>
          </cell>
          <cell r="M498">
            <v>18940</v>
          </cell>
          <cell r="N498" t="str">
            <v>120 Pheasant Run Newtown, PA 18940</v>
          </cell>
        </row>
        <row r="499">
          <cell r="G499">
            <v>241660</v>
          </cell>
          <cell r="H499" t="str">
            <v>RUTTERS FARM STORES #1</v>
          </cell>
          <cell r="I499" t="str">
            <v>York</v>
          </cell>
          <cell r="K499" t="str">
            <v>1099 HAINES RD</v>
          </cell>
          <cell r="L499" t="str">
            <v>PA</v>
          </cell>
          <cell r="M499">
            <v>17402</v>
          </cell>
          <cell r="N499" t="str">
            <v>1099 HAINES RD York, PA 17402</v>
          </cell>
        </row>
        <row r="500">
          <cell r="G500">
            <v>465028</v>
          </cell>
          <cell r="H500" t="str">
            <v>Chairville Elementary School</v>
          </cell>
          <cell r="I500" t="str">
            <v>Medford</v>
          </cell>
          <cell r="J500" t="str">
            <v>Southampton Twp</v>
          </cell>
          <cell r="K500" t="str">
            <v>36 Chairville Rd</v>
          </cell>
          <cell r="L500" t="str">
            <v>NJ</v>
          </cell>
          <cell r="M500">
            <v>8055</v>
          </cell>
          <cell r="N500" t="str">
            <v>36 Chairville Rd Medford, NJ 08055</v>
          </cell>
        </row>
        <row r="501">
          <cell r="G501">
            <v>418338</v>
          </cell>
          <cell r="H501" t="str">
            <v>South Elementary School</v>
          </cell>
          <cell r="I501" t="str">
            <v>Trappe</v>
          </cell>
          <cell r="K501" t="str">
            <v>200 E 3rd Ave</v>
          </cell>
          <cell r="L501" t="str">
            <v>PA</v>
          </cell>
          <cell r="M501">
            <v>19426</v>
          </cell>
          <cell r="N501" t="str">
            <v>200 E 3rd Ave Trappe, PA 19426</v>
          </cell>
        </row>
        <row r="502">
          <cell r="G502">
            <v>442154</v>
          </cell>
          <cell r="H502" t="str">
            <v>BLOOMSBURG SCHOOL DISTRICT</v>
          </cell>
          <cell r="I502" t="str">
            <v>Bloomsburg</v>
          </cell>
          <cell r="K502" t="str">
            <v>1100 Railroad St</v>
          </cell>
          <cell r="L502" t="str">
            <v>PA</v>
          </cell>
          <cell r="M502">
            <v>17815</v>
          </cell>
          <cell r="N502" t="str">
            <v>1100 Railroad St Bloomsburg, PA 17815</v>
          </cell>
        </row>
        <row r="503">
          <cell r="G503">
            <v>415711</v>
          </cell>
          <cell r="H503" t="str">
            <v>OPILO TECHNOLOGY CENTER</v>
          </cell>
          <cell r="I503" t="str">
            <v>Spring Grove</v>
          </cell>
          <cell r="K503" t="str">
            <v>1472 Roth Church Rd</v>
          </cell>
          <cell r="L503" t="str">
            <v>PA</v>
          </cell>
          <cell r="M503">
            <v>17362</v>
          </cell>
          <cell r="N503" t="str">
            <v>1472 Roth Church Rd Spring Grove, PA 17362</v>
          </cell>
        </row>
        <row r="504">
          <cell r="G504">
            <v>241665</v>
          </cell>
          <cell r="H504" t="str">
            <v>RUTTERS FARM STORES #2</v>
          </cell>
          <cell r="I504" t="str">
            <v>Shrewsbury</v>
          </cell>
          <cell r="K504" t="str">
            <v>249 N Main St</v>
          </cell>
          <cell r="L504" t="str">
            <v>PA</v>
          </cell>
          <cell r="M504">
            <v>17361</v>
          </cell>
          <cell r="N504" t="str">
            <v>249 N Main St Shrewsbury, PA 17361</v>
          </cell>
        </row>
        <row r="505">
          <cell r="G505">
            <v>445819</v>
          </cell>
          <cell r="H505" t="str">
            <v>MIFFLIN COUNTY JUNIOR HIGH</v>
          </cell>
          <cell r="I505" t="str">
            <v>Lewistown</v>
          </cell>
          <cell r="J505" t="str">
            <v>Lewistown</v>
          </cell>
          <cell r="K505" t="str">
            <v>700 Cedar St</v>
          </cell>
          <cell r="L505" t="str">
            <v>PA</v>
          </cell>
          <cell r="M505">
            <v>17044</v>
          </cell>
          <cell r="N505" t="str">
            <v>700 Cedar St Lewistown, PA 17044</v>
          </cell>
        </row>
        <row r="506">
          <cell r="G506">
            <v>241686</v>
          </cell>
          <cell r="H506" t="str">
            <v>RUTTERS FARM STORES #46</v>
          </cell>
          <cell r="I506" t="str">
            <v>East Berlin</v>
          </cell>
          <cell r="K506" t="str">
            <v>99 Abbottstown St</v>
          </cell>
          <cell r="L506" t="str">
            <v>PA</v>
          </cell>
          <cell r="M506">
            <v>17316</v>
          </cell>
          <cell r="N506" t="str">
            <v>99 Abbottstown St East Berlin, PA 17316</v>
          </cell>
        </row>
        <row r="507">
          <cell r="G507">
            <v>417787</v>
          </cell>
          <cell r="H507" t="str">
            <v>LINCOLN ELEMENTARY</v>
          </cell>
          <cell r="I507" t="str">
            <v>Pottstown</v>
          </cell>
          <cell r="K507" t="str">
            <v>461 N York St</v>
          </cell>
          <cell r="L507" t="str">
            <v>PA</v>
          </cell>
          <cell r="M507">
            <v>19464</v>
          </cell>
          <cell r="N507" t="str">
            <v>461 N York St Pottstown, PA 19464</v>
          </cell>
        </row>
        <row r="508">
          <cell r="G508">
            <v>474325</v>
          </cell>
          <cell r="H508" t="str">
            <v>St Columba Catholic School</v>
          </cell>
          <cell r="I508" t="str">
            <v>Bloomsburg</v>
          </cell>
          <cell r="K508" t="str">
            <v>40 E 3rd St</v>
          </cell>
          <cell r="L508" t="str">
            <v>PA</v>
          </cell>
          <cell r="M508">
            <v>17815</v>
          </cell>
          <cell r="N508" t="str">
            <v>40 E 3rd St Bloomsburg, PA 17815</v>
          </cell>
        </row>
        <row r="509">
          <cell r="G509">
            <v>418301</v>
          </cell>
          <cell r="H509" t="str">
            <v>Penn Valley Elementary School</v>
          </cell>
          <cell r="I509" t="str">
            <v>Levittown</v>
          </cell>
          <cell r="K509" t="str">
            <v>180 Northturn Ln</v>
          </cell>
          <cell r="L509" t="str">
            <v>PA</v>
          </cell>
          <cell r="M509">
            <v>19054</v>
          </cell>
          <cell r="N509" t="str">
            <v>180 Northturn Ln Levittown, PA 19054</v>
          </cell>
        </row>
        <row r="510">
          <cell r="G510">
            <v>451388</v>
          </cell>
          <cell r="H510" t="str">
            <v>Princeton Day School Ice Rink</v>
          </cell>
          <cell r="I510" t="str">
            <v>Princeton</v>
          </cell>
          <cell r="K510" t="str">
            <v>600 Great Rd</v>
          </cell>
          <cell r="L510" t="str">
            <v>NJ</v>
          </cell>
          <cell r="M510">
            <v>8540</v>
          </cell>
          <cell r="N510" t="str">
            <v>600 Great Rd Princeton, NJ 08540</v>
          </cell>
        </row>
        <row r="511">
          <cell r="G511">
            <v>419196</v>
          </cell>
          <cell r="H511" t="str">
            <v>Indian Lane Elementary School</v>
          </cell>
          <cell r="I511" t="str">
            <v>Media</v>
          </cell>
          <cell r="K511" t="str">
            <v>309 S Old Middletown Rd</v>
          </cell>
          <cell r="L511" t="str">
            <v>PA</v>
          </cell>
          <cell r="M511">
            <v>19063</v>
          </cell>
          <cell r="N511" t="str">
            <v>309 S Old Middletown Rd Media, PA 19063</v>
          </cell>
        </row>
        <row r="512">
          <cell r="G512">
            <v>244243</v>
          </cell>
          <cell r="H512" t="str">
            <v>Upper Township School District</v>
          </cell>
          <cell r="I512" t="str">
            <v>Woodbine</v>
          </cell>
          <cell r="K512" t="str">
            <v>525 Perry Rd</v>
          </cell>
          <cell r="L512" t="str">
            <v>NJ</v>
          </cell>
          <cell r="M512">
            <v>8270</v>
          </cell>
          <cell r="N512" t="str">
            <v>525 Perry Rd Woodbine, NJ 08270</v>
          </cell>
        </row>
        <row r="513">
          <cell r="G513">
            <v>463493</v>
          </cell>
          <cell r="H513" t="str">
            <v>Maurice Everett Haines School</v>
          </cell>
          <cell r="I513" t="str">
            <v>Medford</v>
          </cell>
          <cell r="J513" t="str">
            <v>Southampton Twp</v>
          </cell>
          <cell r="K513" t="str">
            <v>162 Stokes Rd</v>
          </cell>
          <cell r="L513" t="str">
            <v>NJ</v>
          </cell>
          <cell r="M513">
            <v>8055</v>
          </cell>
          <cell r="N513" t="str">
            <v>162 Stokes Rd Medford, NJ 08055</v>
          </cell>
        </row>
        <row r="514">
          <cell r="G514">
            <v>471058</v>
          </cell>
          <cell r="H514" t="str">
            <v>MILLERSVILLE - PALMER</v>
          </cell>
          <cell r="I514" t="str">
            <v>Millersville</v>
          </cell>
          <cell r="K514" t="str">
            <v>153 Creek Dr.</v>
          </cell>
          <cell r="L514" t="str">
            <v>PA</v>
          </cell>
          <cell r="M514">
            <v>17551</v>
          </cell>
          <cell r="N514" t="str">
            <v>153 Creek Dr. Millersville, PA 17551</v>
          </cell>
        </row>
        <row r="515">
          <cell r="G515">
            <v>416717</v>
          </cell>
          <cell r="H515" t="str">
            <v>Colonial Middle School</v>
          </cell>
          <cell r="I515" t="str">
            <v>PLYMOUTH MEETING</v>
          </cell>
          <cell r="K515" t="str">
            <v>716 Belvoir Rd</v>
          </cell>
          <cell r="L515" t="str">
            <v>PA</v>
          </cell>
          <cell r="M515">
            <v>19462</v>
          </cell>
          <cell r="N515" t="str">
            <v>716 Belvoir Rd PLYMOUTH MEETING, PA 19462</v>
          </cell>
        </row>
        <row r="516">
          <cell r="G516">
            <v>246572</v>
          </cell>
          <cell r="H516" t="str">
            <v>Wissahickon School District</v>
          </cell>
          <cell r="I516" t="str">
            <v>Ambler</v>
          </cell>
          <cell r="J516" t="str">
            <v>Philly Subrubs - Central</v>
          </cell>
          <cell r="K516" t="str">
            <v>601 Knight Rd</v>
          </cell>
          <cell r="L516" t="str">
            <v>PA</v>
          </cell>
          <cell r="M516">
            <v>19002</v>
          </cell>
          <cell r="N516" t="str">
            <v>601 Knight Rd Ambler, PA 19002</v>
          </cell>
        </row>
        <row r="517">
          <cell r="G517">
            <v>417995</v>
          </cell>
          <cell r="H517" t="str">
            <v>Mary D. Lang Elementary School</v>
          </cell>
          <cell r="I517" t="str">
            <v>Kennett Square</v>
          </cell>
          <cell r="K517" t="str">
            <v>409 Center St</v>
          </cell>
          <cell r="L517" t="str">
            <v>PA</v>
          </cell>
          <cell r="M517">
            <v>19348</v>
          </cell>
          <cell r="N517" t="str">
            <v>409 Center St Kennett Square, PA 19348</v>
          </cell>
        </row>
        <row r="518">
          <cell r="G518">
            <v>241693</v>
          </cell>
          <cell r="H518" t="str">
            <v>RUTTERS FARM STORES #57</v>
          </cell>
          <cell r="I518" t="str">
            <v>York</v>
          </cell>
          <cell r="K518" t="str">
            <v>1450 MOUNT ZION RD</v>
          </cell>
          <cell r="L518" t="str">
            <v>PA</v>
          </cell>
          <cell r="M518">
            <v>17402</v>
          </cell>
          <cell r="N518" t="str">
            <v>1450 MOUNT ZION RD York, PA 17402</v>
          </cell>
        </row>
        <row r="519">
          <cell r="G519">
            <v>470628</v>
          </cell>
          <cell r="H519" t="str">
            <v>Sunik LLC</v>
          </cell>
          <cell r="I519" t="str">
            <v>Wyndmoor</v>
          </cell>
          <cell r="K519" t="str">
            <v>600 E Mermaid Ln</v>
          </cell>
          <cell r="L519" t="str">
            <v>PA</v>
          </cell>
          <cell r="M519">
            <v>19038</v>
          </cell>
          <cell r="N519" t="str">
            <v>600 E Mermaid Ln Wyndmoor, PA 19038</v>
          </cell>
        </row>
        <row r="520">
          <cell r="G520">
            <v>456917</v>
          </cell>
          <cell r="H520" t="str">
            <v>LINCOLN ELEMENTARY</v>
          </cell>
          <cell r="I520" t="str">
            <v>Gettysburg</v>
          </cell>
          <cell r="K520" t="str">
            <v>98 Lefever St</v>
          </cell>
          <cell r="L520" t="str">
            <v>PA</v>
          </cell>
          <cell r="M520">
            <v>17325</v>
          </cell>
          <cell r="N520" t="str">
            <v>98 Lefever St Gettysburg, PA 17325</v>
          </cell>
        </row>
        <row r="521">
          <cell r="G521">
            <v>463491</v>
          </cell>
          <cell r="H521" t="str">
            <v>Milton H Allen School</v>
          </cell>
          <cell r="I521" t="str">
            <v>Medford</v>
          </cell>
          <cell r="J521" t="str">
            <v>Southampton Twp</v>
          </cell>
          <cell r="K521" t="str">
            <v>24 Allen Ave</v>
          </cell>
          <cell r="L521" t="str">
            <v>NJ</v>
          </cell>
          <cell r="M521">
            <v>8055</v>
          </cell>
          <cell r="N521" t="str">
            <v>24 Allen Ave Medford, NJ 08055</v>
          </cell>
        </row>
        <row r="522">
          <cell r="G522">
            <v>305473</v>
          </cell>
          <cell r="H522" t="str">
            <v>Penn Oaks Golf Club</v>
          </cell>
          <cell r="I522" t="str">
            <v>West Chester</v>
          </cell>
          <cell r="K522" t="str">
            <v>150 Penn Oaks Dr</v>
          </cell>
          <cell r="L522" t="str">
            <v>PA</v>
          </cell>
          <cell r="M522">
            <v>19382</v>
          </cell>
          <cell r="N522" t="str">
            <v>150 Penn Oaks Dr West Chester, PA 19382</v>
          </cell>
        </row>
        <row r="523">
          <cell r="G523">
            <v>432455</v>
          </cell>
          <cell r="H523" t="str">
            <v>Tropicana Receiving Dept.</v>
          </cell>
          <cell r="I523" t="str">
            <v>Atlantic City</v>
          </cell>
          <cell r="J523" t="str">
            <v>Atlantic City</v>
          </cell>
          <cell r="K523" t="str">
            <v>Morris Ave &amp; The Boardwalk</v>
          </cell>
          <cell r="L523" t="str">
            <v>NJ</v>
          </cell>
          <cell r="M523">
            <v>8401</v>
          </cell>
          <cell r="N523" t="str">
            <v>Morris Ave &amp; The Boardwalk Atlantic City, NJ 08401</v>
          </cell>
        </row>
        <row r="524">
          <cell r="G524">
            <v>239929</v>
          </cell>
          <cell r="H524" t="str">
            <v>East Lycoming School District</v>
          </cell>
          <cell r="I524" t="str">
            <v>Hughesville</v>
          </cell>
          <cell r="K524" t="str">
            <v>349 Cemetery St</v>
          </cell>
          <cell r="L524" t="str">
            <v>PA</v>
          </cell>
          <cell r="M524">
            <v>17737</v>
          </cell>
          <cell r="N524" t="str">
            <v>349 Cemetery St Hughesville, PA 17737</v>
          </cell>
        </row>
        <row r="525">
          <cell r="G525">
            <v>434259</v>
          </cell>
          <cell r="H525" t="str">
            <v>New Hope-Solebury Middle Schoo</v>
          </cell>
          <cell r="I525" t="str">
            <v>New Hope</v>
          </cell>
          <cell r="K525" t="str">
            <v>182 W Bridge St</v>
          </cell>
          <cell r="L525" t="str">
            <v>PA</v>
          </cell>
          <cell r="M525">
            <v>18938</v>
          </cell>
          <cell r="N525" t="str">
            <v>182 W Bridge St New Hope, PA 18938</v>
          </cell>
        </row>
        <row r="526">
          <cell r="G526">
            <v>431718</v>
          </cell>
          <cell r="H526" t="str">
            <v>Facilities / Operations Bldg.</v>
          </cell>
          <cell r="I526" t="str">
            <v>Atglen</v>
          </cell>
          <cell r="J526" t="str">
            <v>Lancaster - SE</v>
          </cell>
          <cell r="K526" t="str">
            <v>213 Highland Rd</v>
          </cell>
          <cell r="L526" t="str">
            <v>PA</v>
          </cell>
          <cell r="M526">
            <v>19310</v>
          </cell>
          <cell r="N526" t="str">
            <v>213 Highland Rd Atglen, PA 19310</v>
          </cell>
        </row>
        <row r="527">
          <cell r="G527">
            <v>483026</v>
          </cell>
          <cell r="H527" t="str">
            <v>Askar Elementary School</v>
          </cell>
          <cell r="I527" t="str">
            <v>Hughesville</v>
          </cell>
          <cell r="K527" t="str">
            <v>350 S Broad St</v>
          </cell>
          <cell r="L527" t="str">
            <v>PA</v>
          </cell>
          <cell r="M527">
            <v>17737</v>
          </cell>
          <cell r="N527" t="str">
            <v>350 S Broad St Hughesville, PA 17737</v>
          </cell>
        </row>
        <row r="528">
          <cell r="G528">
            <v>239958</v>
          </cell>
          <cell r="H528" t="str">
            <v>ELECTRO SPACE FABRICATORS</v>
          </cell>
          <cell r="I528" t="str">
            <v>Topton</v>
          </cell>
          <cell r="K528" t="str">
            <v>300 W High St</v>
          </cell>
          <cell r="L528" t="str">
            <v>PA</v>
          </cell>
          <cell r="M528">
            <v>19562</v>
          </cell>
          <cell r="N528" t="str">
            <v>300 W High St Topton, PA 19562</v>
          </cell>
        </row>
        <row r="529">
          <cell r="G529">
            <v>239986</v>
          </cell>
          <cell r="H529" t="str">
            <v>EPHRATA AREA REHAB SERV#</v>
          </cell>
          <cell r="I529" t="str">
            <v>Ephrata</v>
          </cell>
          <cell r="K529" t="str">
            <v>300 W Chestnut St</v>
          </cell>
          <cell r="L529" t="str">
            <v>PA</v>
          </cell>
          <cell r="M529">
            <v>17522</v>
          </cell>
          <cell r="N529" t="str">
            <v>300 W Chestnut St Ephrata, PA 17522</v>
          </cell>
        </row>
        <row r="530">
          <cell r="G530">
            <v>449174</v>
          </cell>
          <cell r="H530" t="str">
            <v>Brigantine Board Of Education</v>
          </cell>
          <cell r="I530" t="str">
            <v>Brigantine</v>
          </cell>
          <cell r="K530" t="str">
            <v>301 E Evans Blvd</v>
          </cell>
          <cell r="L530" t="str">
            <v>NJ</v>
          </cell>
          <cell r="M530">
            <v>8203</v>
          </cell>
          <cell r="N530" t="str">
            <v>301 E Evans Blvd Brigantine, NJ 08203</v>
          </cell>
        </row>
        <row r="531">
          <cell r="G531">
            <v>462025</v>
          </cell>
          <cell r="H531" t="str">
            <v>Thomas Fitzwater Elem School</v>
          </cell>
          <cell r="I531" t="str">
            <v>WILLOW GROVE</v>
          </cell>
          <cell r="J531" t="str">
            <v>Philly Suburbs - North</v>
          </cell>
          <cell r="K531" t="str">
            <v>30 School Ln</v>
          </cell>
          <cell r="L531" t="str">
            <v>PA</v>
          </cell>
          <cell r="M531">
            <v>19090</v>
          </cell>
          <cell r="N531" t="str">
            <v>30 School Ln WILLOW GROVE, PA 19090</v>
          </cell>
        </row>
        <row r="532">
          <cell r="G532">
            <v>243243</v>
          </cell>
          <cell r="H532" t="str">
            <v>Cowtown Bawl Inc.</v>
          </cell>
          <cell r="I532" t="str">
            <v>Pilesgrove</v>
          </cell>
          <cell r="K532" t="str">
            <v>780 Route 40</v>
          </cell>
          <cell r="L532" t="str">
            <v>NJ</v>
          </cell>
          <cell r="M532">
            <v>8098</v>
          </cell>
          <cell r="N532" t="str">
            <v>780 Route 40 Pilesgrove, NJ 08098</v>
          </cell>
        </row>
        <row r="533">
          <cell r="G533">
            <v>445820</v>
          </cell>
          <cell r="H533" t="str">
            <v>Mifflin County High School</v>
          </cell>
          <cell r="I533" t="str">
            <v>Lewistown</v>
          </cell>
          <cell r="J533" t="str">
            <v>Lewistown</v>
          </cell>
          <cell r="K533" t="str">
            <v>501 6th St</v>
          </cell>
          <cell r="L533" t="str">
            <v>PA</v>
          </cell>
          <cell r="M533">
            <v>17044</v>
          </cell>
          <cell r="N533" t="str">
            <v>501 6th St Lewistown, PA 17044</v>
          </cell>
        </row>
        <row r="534">
          <cell r="G534">
            <v>465027</v>
          </cell>
          <cell r="H534" t="str">
            <v>Kirby's Mill Elementary School</v>
          </cell>
          <cell r="I534" t="str">
            <v>Medford</v>
          </cell>
          <cell r="J534" t="str">
            <v>Southampton Twp</v>
          </cell>
          <cell r="K534" t="str">
            <v>151 Hartford Rd</v>
          </cell>
          <cell r="L534" t="str">
            <v>NJ</v>
          </cell>
          <cell r="M534">
            <v>8055</v>
          </cell>
          <cell r="N534" t="str">
            <v>151 Hartford Rd Medford, NJ 08055</v>
          </cell>
        </row>
        <row r="535">
          <cell r="G535">
            <v>434903</v>
          </cell>
          <cell r="H535" t="str">
            <v>GREENCASTLE ELEMENTARY SCHOOL</v>
          </cell>
          <cell r="I535" t="str">
            <v>Greencastle</v>
          </cell>
          <cell r="K535" t="str">
            <v>500 Leitersburg St</v>
          </cell>
          <cell r="L535" t="str">
            <v>PA</v>
          </cell>
          <cell r="M535">
            <v>17225</v>
          </cell>
          <cell r="N535" t="str">
            <v>500 Leitersburg St Greencastle, PA 17225</v>
          </cell>
        </row>
        <row r="536">
          <cell r="G536">
            <v>330648</v>
          </cell>
          <cell r="H536" t="str">
            <v>RUTTERS FARM STORES #41</v>
          </cell>
          <cell r="I536" t="str">
            <v>Lebanon</v>
          </cell>
          <cell r="K536" t="str">
            <v>1621 W CUMBERLAND ST</v>
          </cell>
          <cell r="L536" t="str">
            <v>PA</v>
          </cell>
          <cell r="M536">
            <v>17042</v>
          </cell>
          <cell r="N536" t="str">
            <v>1621 W CUMBERLAND ST Lebanon, PA 17042</v>
          </cell>
        </row>
        <row r="537">
          <cell r="G537">
            <v>298872</v>
          </cell>
          <cell r="H537" t="str">
            <v>Peter Becker Community</v>
          </cell>
          <cell r="I537" t="str">
            <v>Harleysville</v>
          </cell>
          <cell r="K537" t="str">
            <v>800 Maple Ave</v>
          </cell>
          <cell r="L537" t="str">
            <v>PA</v>
          </cell>
          <cell r="M537">
            <v>19438</v>
          </cell>
          <cell r="N537" t="str">
            <v>800 Maple Ave Harleysville, PA 19438</v>
          </cell>
        </row>
        <row r="538">
          <cell r="G538">
            <v>467950</v>
          </cell>
          <cell r="H538" t="str">
            <v>Community Health &amp; Dental</v>
          </cell>
          <cell r="I538" t="str">
            <v>Pottstown</v>
          </cell>
          <cell r="K538" t="str">
            <v>351 W Schuylkill Rd</v>
          </cell>
          <cell r="L538" t="str">
            <v>PA</v>
          </cell>
          <cell r="M538">
            <v>19465</v>
          </cell>
          <cell r="N538" t="str">
            <v>351 W Schuylkill Rd Pottstown, PA 19465</v>
          </cell>
        </row>
        <row r="539">
          <cell r="G539">
            <v>433162</v>
          </cell>
          <cell r="H539" t="str">
            <v>Somerdale Park Elementary Scho</v>
          </cell>
          <cell r="I539" t="str">
            <v>Somerdale</v>
          </cell>
          <cell r="J539" t="str">
            <v>Cherry Hill</v>
          </cell>
          <cell r="K539" t="str">
            <v>301 Grace St</v>
          </cell>
          <cell r="L539" t="str">
            <v>NJ</v>
          </cell>
          <cell r="M539">
            <v>8083</v>
          </cell>
          <cell r="N539" t="str">
            <v>301 Grace St Somerdale, NJ 08083</v>
          </cell>
        </row>
        <row r="540">
          <cell r="G540">
            <v>332619</v>
          </cell>
          <cell r="H540" t="str">
            <v>UMC at Pitman</v>
          </cell>
          <cell r="I540" t="str">
            <v>Pitman</v>
          </cell>
          <cell r="K540" t="str">
            <v>535 N Oak Ave</v>
          </cell>
          <cell r="L540" t="str">
            <v>NJ</v>
          </cell>
          <cell r="M540">
            <v>8071</v>
          </cell>
          <cell r="N540" t="str">
            <v>535 N Oak Ave Pitman, NJ 08071</v>
          </cell>
        </row>
        <row r="541">
          <cell r="G541">
            <v>449774</v>
          </cell>
          <cell r="H541" t="str">
            <v>REIDENBAUGH ELEMENTARY SCHOOL</v>
          </cell>
          <cell r="I541" t="str">
            <v>Lititz</v>
          </cell>
          <cell r="K541" t="str">
            <v>1001 Buckwalter Rd</v>
          </cell>
          <cell r="L541" t="str">
            <v>PA</v>
          </cell>
          <cell r="M541">
            <v>17543</v>
          </cell>
          <cell r="N541" t="str">
            <v>1001 Buckwalter Rd Lititz, PA 17543</v>
          </cell>
        </row>
        <row r="542">
          <cell r="G542">
            <v>417171</v>
          </cell>
          <cell r="H542" t="str">
            <v>EVERGREEN ELEMENTARY SCHOOL</v>
          </cell>
          <cell r="I542" t="str">
            <v>Collegeville</v>
          </cell>
          <cell r="K542" t="str">
            <v>98 Kagey Rd</v>
          </cell>
          <cell r="L542" t="str">
            <v>PA</v>
          </cell>
          <cell r="M542">
            <v>19426</v>
          </cell>
          <cell r="N542" t="str">
            <v>98 Kagey Rd Collegeville, PA 19426</v>
          </cell>
        </row>
        <row r="543">
          <cell r="G543">
            <v>247490</v>
          </cell>
          <cell r="H543" t="str">
            <v>RUTTERS FARM STORE #63</v>
          </cell>
          <cell r="I543" t="str">
            <v>Waynesboro</v>
          </cell>
          <cell r="K543" t="str">
            <v>141 S POTOMAC ST</v>
          </cell>
          <cell r="L543" t="str">
            <v>PA</v>
          </cell>
          <cell r="M543">
            <v>17268</v>
          </cell>
          <cell r="N543" t="str">
            <v>141 S POTOMAC ST Waynesboro, PA 17268</v>
          </cell>
        </row>
        <row r="544">
          <cell r="G544">
            <v>420012</v>
          </cell>
          <cell r="H544" t="str">
            <v>Clearview Regional Middle Scho</v>
          </cell>
          <cell r="I544" t="str">
            <v>Mullica Hill</v>
          </cell>
          <cell r="K544" t="str">
            <v>595 Jefferson Rd</v>
          </cell>
          <cell r="L544" t="str">
            <v>NJ</v>
          </cell>
          <cell r="M544">
            <v>8062</v>
          </cell>
          <cell r="N544" t="str">
            <v>595 Jefferson Rd Mullica Hill, NJ 08062</v>
          </cell>
        </row>
        <row r="545">
          <cell r="G545">
            <v>312233</v>
          </cell>
          <cell r="H545" t="str">
            <v>Fred Beans Volkswagen</v>
          </cell>
          <cell r="I545" t="str">
            <v>Doylestown</v>
          </cell>
          <cell r="J545" t="str">
            <v>Philly Suburbs - North</v>
          </cell>
          <cell r="K545" t="str">
            <v>830 N Easton Rd</v>
          </cell>
          <cell r="L545" t="str">
            <v>PA</v>
          </cell>
          <cell r="M545">
            <v>18902</v>
          </cell>
          <cell r="N545" t="str">
            <v>830 N Easton Rd Doylestown, PA 18902</v>
          </cell>
        </row>
        <row r="546">
          <cell r="G546">
            <v>241667</v>
          </cell>
          <cell r="H546" t="str">
            <v>RUTTERS FARM STORES #22</v>
          </cell>
          <cell r="I546" t="str">
            <v>Dover</v>
          </cell>
          <cell r="K546" t="str">
            <v>35 E Canal St</v>
          </cell>
          <cell r="L546" t="str">
            <v>PA</v>
          </cell>
          <cell r="M546">
            <v>17315</v>
          </cell>
          <cell r="N546" t="str">
            <v>35 E Canal St Dover, PA 17315</v>
          </cell>
        </row>
        <row r="547">
          <cell r="G547">
            <v>470135</v>
          </cell>
          <cell r="H547" t="str">
            <v>MILLERSVILLE - PUCILLO GYM</v>
          </cell>
          <cell r="I547" t="str">
            <v>Millersville</v>
          </cell>
          <cell r="K547" t="str">
            <v>105 Pucillo Dr</v>
          </cell>
          <cell r="L547" t="str">
            <v>PA</v>
          </cell>
          <cell r="M547">
            <v>17551</v>
          </cell>
          <cell r="N547" t="str">
            <v>105 Pucillo Dr Millersville, PA 17551</v>
          </cell>
        </row>
        <row r="548">
          <cell r="G548">
            <v>242119</v>
          </cell>
          <cell r="H548" t="str">
            <v>THE WORSHIP CENTER#</v>
          </cell>
          <cell r="I548" t="str">
            <v>Lancaster</v>
          </cell>
          <cell r="K548" t="str">
            <v>2384 New Holland Pike</v>
          </cell>
          <cell r="L548" t="str">
            <v>PA</v>
          </cell>
          <cell r="M548">
            <v>17601</v>
          </cell>
          <cell r="N548" t="str">
            <v>2384 New Holland Pike Lancaster, PA 17601</v>
          </cell>
        </row>
        <row r="549">
          <cell r="G549">
            <v>245667</v>
          </cell>
          <cell r="H549" t="str">
            <v>TruMark Financial</v>
          </cell>
          <cell r="I549" t="str">
            <v>Fort Washington</v>
          </cell>
          <cell r="K549" t="str">
            <v>335 Commerce Dr</v>
          </cell>
          <cell r="L549" t="str">
            <v>PA</v>
          </cell>
          <cell r="M549">
            <v>19034</v>
          </cell>
          <cell r="N549" t="str">
            <v>335 Commerce Dr Fort Washington, PA 19034</v>
          </cell>
        </row>
        <row r="550">
          <cell r="G550">
            <v>423136</v>
          </cell>
          <cell r="H550" t="str">
            <v>LEOLA ELEMENTARY</v>
          </cell>
          <cell r="I550" t="str">
            <v>Leola</v>
          </cell>
          <cell r="K550" t="str">
            <v>11 School Dr</v>
          </cell>
          <cell r="L550" t="str">
            <v>PA</v>
          </cell>
          <cell r="M550">
            <v>17540</v>
          </cell>
          <cell r="N550" t="str">
            <v>11 School Dr Leola, PA 17540</v>
          </cell>
        </row>
        <row r="551">
          <cell r="G551">
            <v>240725</v>
          </cell>
          <cell r="H551" t="str">
            <v>Lancaster County Motors Inc.</v>
          </cell>
          <cell r="I551" t="str">
            <v>East Petersburg</v>
          </cell>
          <cell r="K551" t="str">
            <v>5260 Main St</v>
          </cell>
          <cell r="L551" t="str">
            <v>PA</v>
          </cell>
          <cell r="M551">
            <v>17520</v>
          </cell>
          <cell r="N551" t="str">
            <v>5260 Main St East Petersburg, PA 17520</v>
          </cell>
        </row>
        <row r="552">
          <cell r="G552">
            <v>308805</v>
          </cell>
          <cell r="H552" t="str">
            <v>HIGH POINT BAPTIST CHAPEL</v>
          </cell>
          <cell r="I552" t="str">
            <v>Birdsboro</v>
          </cell>
          <cell r="K552" t="str">
            <v>200 Chapel Rd</v>
          </cell>
          <cell r="L552" t="str">
            <v>PA</v>
          </cell>
          <cell r="M552">
            <v>19508</v>
          </cell>
          <cell r="N552" t="str">
            <v>200 Chapel Rd Birdsboro, PA 19508</v>
          </cell>
        </row>
        <row r="553">
          <cell r="G553">
            <v>299938</v>
          </cell>
          <cell r="H553" t="str">
            <v>Middletown Public School Distr</v>
          </cell>
          <cell r="I553" t="str">
            <v>MIDDLETOWN</v>
          </cell>
          <cell r="K553" t="str">
            <v>63 Tindall Rd</v>
          </cell>
          <cell r="L553" t="str">
            <v>NJ</v>
          </cell>
          <cell r="M553">
            <v>7748</v>
          </cell>
          <cell r="N553" t="str">
            <v>63 Tindall Rd MIDDLETOWN, NJ 07748</v>
          </cell>
        </row>
        <row r="554">
          <cell r="G554">
            <v>481122</v>
          </cell>
          <cell r="H554" t="str">
            <v>Copper Hill ELementary School</v>
          </cell>
          <cell r="I554" t="str">
            <v>Ringoes</v>
          </cell>
          <cell r="K554" t="str">
            <v>100 Everitts Rd</v>
          </cell>
          <cell r="L554" t="str">
            <v>NJ</v>
          </cell>
          <cell r="M554">
            <v>8551</v>
          </cell>
          <cell r="N554" t="str">
            <v>100 Everitts Rd Ringoes, NJ 08551</v>
          </cell>
        </row>
        <row r="555">
          <cell r="G555">
            <v>270587</v>
          </cell>
          <cell r="H555" t="str">
            <v>RUTTERS FARM STORES #3</v>
          </cell>
          <cell r="I555" t="str">
            <v>York</v>
          </cell>
          <cell r="K555" t="str">
            <v>2490 CAPE HORN RD</v>
          </cell>
          <cell r="L555" t="str">
            <v>PA</v>
          </cell>
          <cell r="M555">
            <v>17402</v>
          </cell>
          <cell r="N555" t="str">
            <v>2490 CAPE HORN RD York, PA 17402</v>
          </cell>
        </row>
        <row r="556">
          <cell r="G556">
            <v>254929</v>
          </cell>
          <cell r="H556" t="str">
            <v>Closets by Design - Custom Sto</v>
          </cell>
          <cell r="I556" t="str">
            <v>Malvern</v>
          </cell>
          <cell r="K556" t="str">
            <v>60 Three Tun Rd Ste 1</v>
          </cell>
          <cell r="L556" t="str">
            <v>PA</v>
          </cell>
          <cell r="M556">
            <v>19355</v>
          </cell>
          <cell r="N556" t="str">
            <v>60 Three Tun Rd Ste 1 Malvern, PA 19355</v>
          </cell>
        </row>
        <row r="557">
          <cell r="G557">
            <v>306764</v>
          </cell>
          <cell r="H557" t="str">
            <v>MARGARET E MOUL HOME</v>
          </cell>
          <cell r="I557" t="str">
            <v>York</v>
          </cell>
          <cell r="K557" t="str">
            <v>2050 Barley Rd</v>
          </cell>
          <cell r="L557" t="str">
            <v>PA</v>
          </cell>
          <cell r="M557">
            <v>17408</v>
          </cell>
          <cell r="N557" t="str">
            <v>2050 Barley Rd York, PA 17408</v>
          </cell>
        </row>
        <row r="558">
          <cell r="G558">
            <v>418438</v>
          </cell>
          <cell r="H558" t="str">
            <v>Quarry Hill Elementary School</v>
          </cell>
          <cell r="I558" t="str">
            <v>Yardley</v>
          </cell>
          <cell r="K558" t="str">
            <v>1625 Quarry Rd</v>
          </cell>
          <cell r="L558" t="str">
            <v>PA</v>
          </cell>
          <cell r="M558">
            <v>19067</v>
          </cell>
          <cell r="N558" t="str">
            <v>1625 Quarry Rd Yardley, PA 19067</v>
          </cell>
        </row>
        <row r="559">
          <cell r="G559">
            <v>417065</v>
          </cell>
          <cell r="H559" t="str">
            <v>Dennis Township Elementary Sch</v>
          </cell>
          <cell r="I559" t="str">
            <v>Dennisville</v>
          </cell>
          <cell r="K559" t="str">
            <v>165 Academy Road</v>
          </cell>
          <cell r="L559" t="str">
            <v>NJ</v>
          </cell>
          <cell r="M559">
            <v>8214</v>
          </cell>
          <cell r="N559" t="str">
            <v>165 Academy Road Dennisville, NJ 08214</v>
          </cell>
        </row>
        <row r="560">
          <cell r="G560">
            <v>240713</v>
          </cell>
          <cell r="H560" t="str">
            <v>LANC BIBLE COLLEGE*</v>
          </cell>
          <cell r="I560" t="str">
            <v>Lancaster</v>
          </cell>
          <cell r="K560" t="str">
            <v>901 Eden Rd</v>
          </cell>
          <cell r="L560" t="str">
            <v>PA</v>
          </cell>
          <cell r="M560">
            <v>17601</v>
          </cell>
          <cell r="N560" t="str">
            <v>901 Eden Rd Lancaster, PA 17601</v>
          </cell>
        </row>
        <row r="561">
          <cell r="G561">
            <v>453081</v>
          </cell>
          <cell r="H561" t="str">
            <v>FAIRVIEW ELEMENTARY SCHOOL</v>
          </cell>
          <cell r="I561" t="str">
            <v>Waynesboro</v>
          </cell>
          <cell r="K561" t="str">
            <v>220 Fairview Ave</v>
          </cell>
          <cell r="L561" t="str">
            <v>PA</v>
          </cell>
          <cell r="M561">
            <v>17268</v>
          </cell>
          <cell r="N561" t="str">
            <v>220 Fairview Ave Waynesboro, PA 17268</v>
          </cell>
        </row>
        <row r="562">
          <cell r="G562">
            <v>244268</v>
          </cell>
          <cell r="H562" t="str">
            <v>North Wildwood BOE Margaret Ma</v>
          </cell>
          <cell r="I562" t="str">
            <v>North Wildwood</v>
          </cell>
          <cell r="K562" t="str">
            <v>1201 Atlantic Ave</v>
          </cell>
          <cell r="L562" t="str">
            <v>NJ</v>
          </cell>
          <cell r="M562">
            <v>8260</v>
          </cell>
          <cell r="N562" t="str">
            <v>1201 Atlantic Ave North Wildwood, NJ 08260</v>
          </cell>
        </row>
        <row r="563">
          <cell r="G563">
            <v>280843</v>
          </cell>
          <cell r="H563" t="str">
            <v>MARTINS BIKE SHOP INC</v>
          </cell>
          <cell r="I563" t="str">
            <v>Ephrata</v>
          </cell>
          <cell r="K563" t="str">
            <v>1891 Division Hwy</v>
          </cell>
          <cell r="L563" t="str">
            <v>PA</v>
          </cell>
          <cell r="M563">
            <v>17522</v>
          </cell>
          <cell r="N563" t="str">
            <v>1891 Division Hwy Ephrata, PA 17522</v>
          </cell>
        </row>
        <row r="564">
          <cell r="G564">
            <v>245599</v>
          </cell>
          <cell r="H564" t="str">
            <v>Fred Beans Cadillac</v>
          </cell>
          <cell r="I564" t="str">
            <v>Doylestown</v>
          </cell>
          <cell r="J564" t="str">
            <v>Philly Suburbs - North</v>
          </cell>
          <cell r="K564" t="str">
            <v>841 N Easton Rd</v>
          </cell>
          <cell r="L564" t="str">
            <v>PA</v>
          </cell>
          <cell r="M564">
            <v>18902</v>
          </cell>
          <cell r="N564" t="str">
            <v>841 N Easton Rd Doylestown, PA 18902</v>
          </cell>
        </row>
        <row r="565">
          <cell r="G565">
            <v>245918</v>
          </cell>
          <cell r="H565" t="str">
            <v>Covenant Fellowship Church</v>
          </cell>
          <cell r="I565" t="str">
            <v>Glen Mills</v>
          </cell>
          <cell r="K565" t="str">
            <v>1 Fellowship Rd</v>
          </cell>
          <cell r="L565" t="str">
            <v>PA</v>
          </cell>
          <cell r="M565">
            <v>19342</v>
          </cell>
          <cell r="N565" t="str">
            <v>1 Fellowship Rd Glen Mills, PA 19342</v>
          </cell>
        </row>
        <row r="566">
          <cell r="G566">
            <v>470560</v>
          </cell>
          <cell r="H566" t="str">
            <v>Dover Air Force Base Hospital</v>
          </cell>
          <cell r="I566" t="str">
            <v>Dover</v>
          </cell>
          <cell r="K566" t="str">
            <v>300 Tuskegee Blvd Apt Ste300</v>
          </cell>
          <cell r="L566" t="str">
            <v>DE</v>
          </cell>
          <cell r="M566">
            <v>19902</v>
          </cell>
          <cell r="N566" t="str">
            <v>300 Tuskegee Blvd Apt Ste300 Dover, DE 19902</v>
          </cell>
        </row>
        <row r="567">
          <cell r="G567">
            <v>445960</v>
          </cell>
          <cell r="H567" t="str">
            <v>Radnor Fire Company</v>
          </cell>
          <cell r="I567" t="str">
            <v>Wayne</v>
          </cell>
          <cell r="K567" t="str">
            <v>121 S Wayne Ave</v>
          </cell>
          <cell r="L567" t="str">
            <v>PA</v>
          </cell>
          <cell r="M567">
            <v>19087</v>
          </cell>
          <cell r="N567" t="str">
            <v>121 S Wayne Ave Wayne, PA 19087</v>
          </cell>
        </row>
        <row r="568">
          <cell r="G568">
            <v>294691</v>
          </cell>
          <cell r="H568" t="str">
            <v>CAMP CURTIN YMCA#</v>
          </cell>
          <cell r="I568" t="str">
            <v>Harrisburg</v>
          </cell>
          <cell r="K568" t="str">
            <v>2135 N 6th St</v>
          </cell>
          <cell r="L568" t="str">
            <v>PA</v>
          </cell>
          <cell r="M568">
            <v>17110</v>
          </cell>
          <cell r="N568" t="str">
            <v>2135 N 6th St Harrisburg, PA 17110</v>
          </cell>
        </row>
        <row r="569">
          <cell r="G569">
            <v>241692</v>
          </cell>
          <cell r="H569" t="str">
            <v>RUTTERS FARM STORES #54</v>
          </cell>
          <cell r="I569" t="str">
            <v>York</v>
          </cell>
          <cell r="K569" t="str">
            <v>5305 N SUSQUEHANNA TRL</v>
          </cell>
          <cell r="L569" t="str">
            <v>PA</v>
          </cell>
          <cell r="M569">
            <v>17406</v>
          </cell>
          <cell r="N569" t="str">
            <v>5305 N SUSQUEHANNA TRL York, PA 17406</v>
          </cell>
        </row>
        <row r="570">
          <cell r="G570">
            <v>243650</v>
          </cell>
          <cell r="H570" t="str">
            <v>The Hun School of Princeton</v>
          </cell>
          <cell r="I570" t="str">
            <v>Princeton</v>
          </cell>
          <cell r="K570" t="str">
            <v>176 Edgerstoune Rd</v>
          </cell>
          <cell r="L570" t="str">
            <v>NJ</v>
          </cell>
          <cell r="M570">
            <v>8540</v>
          </cell>
          <cell r="N570" t="str">
            <v>176 Edgerstoune Rd Princeton, NJ 08540</v>
          </cell>
        </row>
        <row r="571">
          <cell r="G571">
            <v>246720</v>
          </cell>
          <cell r="H571" t="str">
            <v>SnapCab by Bostock</v>
          </cell>
          <cell r="I571" t="str">
            <v>Warrington</v>
          </cell>
          <cell r="K571" t="str">
            <v>175 Titus Ave Ste 200</v>
          </cell>
          <cell r="L571" t="str">
            <v>PA</v>
          </cell>
          <cell r="M571">
            <v>18976</v>
          </cell>
          <cell r="N571" t="str">
            <v>175 Titus Ave Ste 200 Warrington, PA 18976</v>
          </cell>
        </row>
        <row r="572">
          <cell r="G572">
            <v>341799</v>
          </cell>
          <cell r="H572" t="str">
            <v>RK CHEVROLET INC</v>
          </cell>
          <cell r="I572" t="str">
            <v>Vineland</v>
          </cell>
          <cell r="K572" t="str">
            <v>502 N Delsea Dr</v>
          </cell>
          <cell r="L572" t="str">
            <v>NJ</v>
          </cell>
          <cell r="M572">
            <v>8360</v>
          </cell>
          <cell r="N572" t="str">
            <v>502 N Delsea Dr Vineland, NJ 08360</v>
          </cell>
        </row>
        <row r="573">
          <cell r="G573">
            <v>432627</v>
          </cell>
          <cell r="H573" t="str">
            <v>YORK LEARNING CENTER IU #12</v>
          </cell>
          <cell r="I573" t="str">
            <v>York</v>
          </cell>
          <cell r="K573" t="str">
            <v>300 E 7TH AVE</v>
          </cell>
          <cell r="L573" t="str">
            <v>PA</v>
          </cell>
          <cell r="M573">
            <v>17404</v>
          </cell>
          <cell r="N573" t="str">
            <v>300 E 7TH AVE York, PA 17404</v>
          </cell>
        </row>
        <row r="574">
          <cell r="G574">
            <v>415671</v>
          </cell>
          <cell r="H574" t="str">
            <v>READING SENIOR HIGH SCHOOL</v>
          </cell>
          <cell r="I574" t="str">
            <v>Reading</v>
          </cell>
          <cell r="K574" t="str">
            <v>801 N 13th St</v>
          </cell>
          <cell r="L574" t="str">
            <v>PA</v>
          </cell>
          <cell r="M574">
            <v>19604</v>
          </cell>
          <cell r="N574" t="str">
            <v>801 N 13th St Reading, PA 19604</v>
          </cell>
        </row>
        <row r="575">
          <cell r="G575">
            <v>483976</v>
          </cell>
          <cell r="H575" t="str">
            <v>BERMUDIAN SPRINGS SCHOOL DIST</v>
          </cell>
          <cell r="I575" t="str">
            <v>York Springs</v>
          </cell>
          <cell r="K575" t="str">
            <v>7335 Carlisle Pike</v>
          </cell>
          <cell r="L575" t="str">
            <v>PA</v>
          </cell>
          <cell r="M575">
            <v>17372</v>
          </cell>
          <cell r="N575" t="str">
            <v>7335 Carlisle Pike York Springs, PA 17372</v>
          </cell>
        </row>
        <row r="576">
          <cell r="G576">
            <v>245302</v>
          </cell>
          <cell r="H576" t="str">
            <v>Boathouse Sports Inc.</v>
          </cell>
          <cell r="I576" t="str">
            <v>Philadelphia</v>
          </cell>
          <cell r="K576" t="str">
            <v>425 E Hunting Park Ave</v>
          </cell>
          <cell r="L576" t="str">
            <v>PA</v>
          </cell>
          <cell r="M576">
            <v>19124</v>
          </cell>
          <cell r="N576" t="str">
            <v>425 E Hunting Park Ave Philadelphia, PA 19124</v>
          </cell>
        </row>
        <row r="577">
          <cell r="G577">
            <v>483666</v>
          </cell>
          <cell r="H577" t="str">
            <v>Genesis of Cherry Hill</v>
          </cell>
          <cell r="I577" t="str">
            <v>Evesham</v>
          </cell>
          <cell r="J577" t="str">
            <v>Cherry Hill</v>
          </cell>
          <cell r="K577" t="str">
            <v>451 Route 73 S</v>
          </cell>
          <cell r="L577" t="str">
            <v>NJ</v>
          </cell>
          <cell r="M577">
            <v>8053</v>
          </cell>
          <cell r="N577" t="str">
            <v>451 Route 73 S Evesham, NJ 08053</v>
          </cell>
        </row>
        <row r="578">
          <cell r="G578">
            <v>441315</v>
          </cell>
          <cell r="H578" t="str">
            <v>Sandburg Complex</v>
          </cell>
          <cell r="I578" t="str">
            <v>Levittown</v>
          </cell>
          <cell r="K578" t="str">
            <v>30 Harmony Rd</v>
          </cell>
          <cell r="L578" t="str">
            <v>PA</v>
          </cell>
          <cell r="M578">
            <v>19056</v>
          </cell>
          <cell r="N578" t="str">
            <v>30 Harmony Rd Levittown, PA 19056</v>
          </cell>
        </row>
        <row r="579">
          <cell r="G579">
            <v>468494</v>
          </cell>
          <cell r="H579" t="str">
            <v>FRANKLIN LEARNING CENTER</v>
          </cell>
          <cell r="I579" t="str">
            <v>Chambersburg</v>
          </cell>
          <cell r="K579" t="str">
            <v>2397 Loop Rd</v>
          </cell>
          <cell r="L579" t="str">
            <v>PA</v>
          </cell>
          <cell r="M579">
            <v>17202</v>
          </cell>
          <cell r="N579" t="str">
            <v>2397 Loop Rd Chambersburg, PA 17202</v>
          </cell>
        </row>
        <row r="580">
          <cell r="G580">
            <v>480889</v>
          </cell>
          <cell r="H580" t="str">
            <v>Bishop Schad Reg School</v>
          </cell>
          <cell r="I580" t="str">
            <v>Vineland</v>
          </cell>
          <cell r="K580" t="str">
            <v>922 E Landis Ave</v>
          </cell>
          <cell r="L580" t="str">
            <v>NJ</v>
          </cell>
          <cell r="M580">
            <v>8360</v>
          </cell>
          <cell r="N580" t="str">
            <v>922 E Landis Ave Vineland, NJ 08360</v>
          </cell>
        </row>
        <row r="581">
          <cell r="G581">
            <v>449754</v>
          </cell>
          <cell r="H581" t="str">
            <v>BRECHT ELEMENTARY SCHOOL</v>
          </cell>
          <cell r="I581" t="str">
            <v>Lancaster</v>
          </cell>
          <cell r="K581" t="str">
            <v>1250 Lititz Pike</v>
          </cell>
          <cell r="L581" t="str">
            <v>PA</v>
          </cell>
          <cell r="M581">
            <v>17601</v>
          </cell>
          <cell r="N581" t="str">
            <v>1250 Lititz Pike Lancaster, PA 17601</v>
          </cell>
        </row>
        <row r="582">
          <cell r="G582">
            <v>446715</v>
          </cell>
          <cell r="H582" t="str">
            <v>Maintenance Bldg</v>
          </cell>
          <cell r="I582" t="str">
            <v>Perkasie</v>
          </cell>
          <cell r="K582" t="str">
            <v>1303 N 5th St</v>
          </cell>
          <cell r="L582" t="str">
            <v>PA</v>
          </cell>
          <cell r="M582">
            <v>18944</v>
          </cell>
          <cell r="N582" t="str">
            <v>1303 N 5th St Perkasie, PA 18944</v>
          </cell>
        </row>
        <row r="583">
          <cell r="G583">
            <v>461275</v>
          </cell>
          <cell r="H583" t="str">
            <v>Hillendale Elementary School</v>
          </cell>
          <cell r="I583" t="str">
            <v>Chadds Ford</v>
          </cell>
          <cell r="K583" t="str">
            <v>1850 Hillendale Rd</v>
          </cell>
          <cell r="L583" t="str">
            <v>PA</v>
          </cell>
          <cell r="M583">
            <v>19317</v>
          </cell>
          <cell r="N583" t="str">
            <v>1850 Hillendale Rd Chadds Ford, PA 19317</v>
          </cell>
        </row>
        <row r="584">
          <cell r="G584">
            <v>424869</v>
          </cell>
          <cell r="H584" t="str">
            <v>Bordentown Regional High Schoo</v>
          </cell>
          <cell r="I584" t="str">
            <v>Bordentown</v>
          </cell>
          <cell r="J584" t="str">
            <v>Trenton - South</v>
          </cell>
          <cell r="K584" t="str">
            <v>318 Ward Ave</v>
          </cell>
          <cell r="L584" t="str">
            <v>NJ</v>
          </cell>
          <cell r="M584">
            <v>8505</v>
          </cell>
          <cell r="N584" t="str">
            <v>318 Ward Ave Bordentown, NJ 08505</v>
          </cell>
        </row>
        <row r="585">
          <cell r="G585">
            <v>241684</v>
          </cell>
          <cell r="H585" t="str">
            <v>RUTTERS FARM STORES #43</v>
          </cell>
          <cell r="I585" t="str">
            <v>York</v>
          </cell>
          <cell r="K585" t="str">
            <v>1590 KENNETH RD</v>
          </cell>
          <cell r="L585" t="str">
            <v>PA</v>
          </cell>
          <cell r="M585">
            <v>17408</v>
          </cell>
          <cell r="N585" t="str">
            <v>1590 KENNETH RD York, PA 17408</v>
          </cell>
        </row>
        <row r="586">
          <cell r="G586">
            <v>437013</v>
          </cell>
          <cell r="H586" t="str">
            <v>MAINTENANCE DEPARTMENT</v>
          </cell>
          <cell r="I586" t="str">
            <v>Bayville</v>
          </cell>
          <cell r="J586" t="str">
            <v>Jersey Shore - North</v>
          </cell>
          <cell r="K586" t="str">
            <v>10 Emory Ave</v>
          </cell>
          <cell r="L586" t="str">
            <v>NJ</v>
          </cell>
          <cell r="M586">
            <v>8721</v>
          </cell>
          <cell r="N586" t="str">
            <v>10 Emory Ave Bayville, NJ 08721</v>
          </cell>
        </row>
        <row r="587">
          <cell r="G587">
            <v>465067</v>
          </cell>
          <cell r="H587" t="str">
            <v>Taunton Forge</v>
          </cell>
          <cell r="I587" t="str">
            <v>Medford</v>
          </cell>
          <cell r="J587" t="str">
            <v>Southampton Twp</v>
          </cell>
          <cell r="K587" t="str">
            <v>32 Evergreen Trl</v>
          </cell>
          <cell r="L587" t="str">
            <v>NJ</v>
          </cell>
          <cell r="M587">
            <v>8055</v>
          </cell>
          <cell r="N587" t="str">
            <v>32 Evergreen Trl Medford, NJ 08055</v>
          </cell>
        </row>
        <row r="588">
          <cell r="G588">
            <v>241871</v>
          </cell>
          <cell r="H588" t="str">
            <v>SOUTHERN YORK COUNTY SCHOOL DI</v>
          </cell>
          <cell r="I588" t="str">
            <v>Glen Rock</v>
          </cell>
          <cell r="K588" t="str">
            <v>3280 Fissels Church Rd</v>
          </cell>
          <cell r="L588" t="str">
            <v>PA</v>
          </cell>
          <cell r="M588">
            <v>17327</v>
          </cell>
          <cell r="N588" t="str">
            <v>3280 Fissels Church Rd Glen Rock, PA 17327</v>
          </cell>
        </row>
        <row r="589">
          <cell r="G589">
            <v>303136</v>
          </cell>
          <cell r="H589" t="str">
            <v>RUTTERS FARM STORES #29</v>
          </cell>
          <cell r="I589" t="str">
            <v>Mechanicsburg</v>
          </cell>
          <cell r="K589" t="str">
            <v>714 W MAIN ST</v>
          </cell>
          <cell r="L589" t="str">
            <v>PA</v>
          </cell>
          <cell r="M589">
            <v>17055</v>
          </cell>
          <cell r="N589" t="str">
            <v>714 W MAIN ST Mechanicsburg, PA 17055</v>
          </cell>
        </row>
        <row r="590">
          <cell r="G590">
            <v>450163</v>
          </cell>
          <cell r="H590" t="str">
            <v>Knowledge A to Z Charter Schoo</v>
          </cell>
          <cell r="I590" t="str">
            <v>Camden</v>
          </cell>
          <cell r="J590" t="str">
            <v>Camden</v>
          </cell>
          <cell r="K590" t="str">
            <v>1725 Park Blvd</v>
          </cell>
          <cell r="L590" t="str">
            <v>NJ</v>
          </cell>
          <cell r="M590">
            <v>8103</v>
          </cell>
          <cell r="N590" t="str">
            <v>1725 Park Blvd Camden, NJ 08103</v>
          </cell>
        </row>
        <row r="591">
          <cell r="G591">
            <v>473401</v>
          </cell>
          <cell r="H591" t="str">
            <v>DONEGAL CLEANING SVC MC</v>
          </cell>
          <cell r="I591" t="str">
            <v>York</v>
          </cell>
          <cell r="K591" t="str">
            <v>4970 Yorkana Rd</v>
          </cell>
          <cell r="L591" t="str">
            <v>PA</v>
          </cell>
          <cell r="M591">
            <v>17406</v>
          </cell>
          <cell r="N591" t="str">
            <v>4970 Yorkana Rd York, PA 17406</v>
          </cell>
        </row>
        <row r="592">
          <cell r="G592">
            <v>483474</v>
          </cell>
          <cell r="H592" t="str">
            <v>East Stroudsburg HS South</v>
          </cell>
          <cell r="I592" t="str">
            <v>East Stroudsburg</v>
          </cell>
          <cell r="K592" t="str">
            <v>279 N Courtland St</v>
          </cell>
          <cell r="L592" t="str">
            <v>PA</v>
          </cell>
          <cell r="M592">
            <v>18301</v>
          </cell>
          <cell r="N592" t="str">
            <v>279 N Courtland St East Stroudsburg, PA 18301</v>
          </cell>
        </row>
        <row r="593">
          <cell r="G593">
            <v>470564</v>
          </cell>
          <cell r="H593" t="str">
            <v>COCALICO MIDDLE SCHOOL</v>
          </cell>
          <cell r="I593" t="str">
            <v>Denver</v>
          </cell>
          <cell r="K593" t="str">
            <v>650 S 6th St</v>
          </cell>
          <cell r="L593" t="str">
            <v>PA</v>
          </cell>
          <cell r="M593">
            <v>17517</v>
          </cell>
          <cell r="N593" t="str">
            <v>650 S 6th St Denver, PA 17517</v>
          </cell>
        </row>
        <row r="594">
          <cell r="G594">
            <v>264939</v>
          </cell>
          <cell r="H594" t="str">
            <v>THE LOOMIS COMPANY</v>
          </cell>
          <cell r="I594" t="str">
            <v>Wyomissing</v>
          </cell>
          <cell r="K594" t="str">
            <v>850 N Park Rd</v>
          </cell>
          <cell r="L594" t="str">
            <v>PA</v>
          </cell>
          <cell r="M594">
            <v>19610</v>
          </cell>
          <cell r="N594" t="str">
            <v>850 N Park Rd Wyomissing, PA 19610</v>
          </cell>
        </row>
        <row r="595">
          <cell r="G595">
            <v>241674</v>
          </cell>
          <cell r="H595" t="str">
            <v>RUTTERS FARM STORES #30</v>
          </cell>
          <cell r="I595" t="str">
            <v>NEW FREEDOM</v>
          </cell>
          <cell r="K595" t="str">
            <v>2 S Broad St</v>
          </cell>
          <cell r="L595" t="str">
            <v>PA</v>
          </cell>
          <cell r="M595">
            <v>17349</v>
          </cell>
          <cell r="N595" t="str">
            <v>2 S Broad St NEW FREEDOM, PA 17349</v>
          </cell>
        </row>
        <row r="596">
          <cell r="G596">
            <v>470303</v>
          </cell>
          <cell r="H596" t="str">
            <v>RED MILL ELEMENTARY</v>
          </cell>
          <cell r="I596" t="str">
            <v>Etters</v>
          </cell>
          <cell r="K596" t="str">
            <v>700 Red Mill Rd</v>
          </cell>
          <cell r="L596" t="str">
            <v>PA</v>
          </cell>
          <cell r="M596">
            <v>17319</v>
          </cell>
          <cell r="N596" t="str">
            <v>700 Red Mill Rd Etters, PA 17319</v>
          </cell>
        </row>
        <row r="597">
          <cell r="G597">
            <v>272878</v>
          </cell>
          <cell r="H597" t="str">
            <v>UMC The Shores</v>
          </cell>
          <cell r="I597" t="str">
            <v>Ocean City</v>
          </cell>
          <cell r="K597" t="str">
            <v>2201 Bay Ave</v>
          </cell>
          <cell r="L597" t="str">
            <v>NJ</v>
          </cell>
          <cell r="M597">
            <v>8226</v>
          </cell>
          <cell r="N597" t="str">
            <v>2201 Bay Ave Ocean City, NJ 08226</v>
          </cell>
        </row>
        <row r="598">
          <cell r="G598">
            <v>323792</v>
          </cell>
          <cell r="H598" t="str">
            <v>Golden Paws Pet Resort &amp; Spa</v>
          </cell>
          <cell r="I598" t="str">
            <v>Robbinsville</v>
          </cell>
          <cell r="K598" t="str">
            <v>8 Sharon Rd</v>
          </cell>
          <cell r="L598" t="str">
            <v>NJ</v>
          </cell>
          <cell r="M598">
            <v>8691</v>
          </cell>
          <cell r="N598" t="str">
            <v>8 Sharon Rd Robbinsville, NJ 08691</v>
          </cell>
        </row>
        <row r="599">
          <cell r="G599">
            <v>450387</v>
          </cell>
          <cell r="H599" t="str">
            <v>Print Shop</v>
          </cell>
          <cell r="I599" t="str">
            <v>Langhorne</v>
          </cell>
          <cell r="K599" t="str">
            <v>9 Queen Anne Ct</v>
          </cell>
          <cell r="L599" t="str">
            <v>PA</v>
          </cell>
          <cell r="M599">
            <v>19047</v>
          </cell>
          <cell r="N599" t="str">
            <v>9 Queen Anne Ct Langhorne, PA 19047</v>
          </cell>
        </row>
        <row r="600">
          <cell r="G600">
            <v>418908</v>
          </cell>
          <cell r="H600" t="str">
            <v>Upper Township Primary School</v>
          </cell>
          <cell r="I600" t="str">
            <v>Marmora</v>
          </cell>
          <cell r="K600" t="str">
            <v>130 N Old Tuckahoe Rd</v>
          </cell>
          <cell r="L600" t="str">
            <v>NJ</v>
          </cell>
          <cell r="M600">
            <v>8223</v>
          </cell>
          <cell r="N600" t="str">
            <v>130 N Old Tuckahoe Rd Marmora, NJ 08223</v>
          </cell>
        </row>
        <row r="601">
          <cell r="G601">
            <v>418663</v>
          </cell>
          <cell r="H601" t="str">
            <v>Silver Lake Elementary School</v>
          </cell>
          <cell r="I601" t="str">
            <v>MIDDLETOWN</v>
          </cell>
          <cell r="K601" t="str">
            <v>200 E Cochran St</v>
          </cell>
          <cell r="L601" t="str">
            <v>DE</v>
          </cell>
          <cell r="M601">
            <v>19709</v>
          </cell>
          <cell r="N601" t="str">
            <v>200 E Cochran St MIDDLETOWN, DE 19709</v>
          </cell>
        </row>
        <row r="602">
          <cell r="G602">
            <v>415511</v>
          </cell>
          <cell r="H602" t="str">
            <v>HEMPFIELD SCHOOL DIST - MAINT</v>
          </cell>
          <cell r="I602" t="str">
            <v>Landisville</v>
          </cell>
          <cell r="K602" t="str">
            <v>350 Mumma Dr</v>
          </cell>
          <cell r="L602" t="str">
            <v>PA</v>
          </cell>
          <cell r="M602">
            <v>17538</v>
          </cell>
          <cell r="N602" t="str">
            <v>350 Mumma Dr Landisville, PA 17538</v>
          </cell>
        </row>
        <row r="603">
          <cell r="G603">
            <v>434667</v>
          </cell>
          <cell r="H603" t="str">
            <v>Skippack Elementary</v>
          </cell>
          <cell r="I603" t="str">
            <v>Collegeville</v>
          </cell>
          <cell r="K603" t="str">
            <v>4081 Heckler Rd</v>
          </cell>
          <cell r="L603" t="str">
            <v>PA</v>
          </cell>
          <cell r="M603">
            <v>19426</v>
          </cell>
          <cell r="N603" t="str">
            <v>4081 Heckler Rd Collegeville, PA 19426</v>
          </cell>
        </row>
        <row r="604">
          <cell r="G604">
            <v>303872</v>
          </cell>
          <cell r="H604" t="str">
            <v>HICKORY HOUSE NURSING HOME#</v>
          </cell>
          <cell r="I604" t="str">
            <v>Honey Brook</v>
          </cell>
          <cell r="K604" t="str">
            <v>3120 Horseshoe Pike</v>
          </cell>
          <cell r="L604" t="str">
            <v>PA</v>
          </cell>
          <cell r="M604">
            <v>19344</v>
          </cell>
          <cell r="N604" t="str">
            <v>3120 Horseshoe Pike Honey Brook, PA 19344</v>
          </cell>
        </row>
        <row r="605">
          <cell r="G605">
            <v>461409</v>
          </cell>
          <cell r="H605" t="str">
            <v>HIGH POINT BAPTIST CAMP</v>
          </cell>
          <cell r="I605" t="str">
            <v>Birdsboro</v>
          </cell>
          <cell r="K605" t="str">
            <v>200 Chapel Rd</v>
          </cell>
          <cell r="L605" t="str">
            <v>PA</v>
          </cell>
          <cell r="M605">
            <v>19508</v>
          </cell>
          <cell r="N605" t="str">
            <v>200 Chapel Rd Birdsboro, PA 19508</v>
          </cell>
        </row>
        <row r="606">
          <cell r="G606">
            <v>481120</v>
          </cell>
          <cell r="H606" t="str">
            <v>J P Chase Middle School</v>
          </cell>
          <cell r="I606" t="str">
            <v>Flemington</v>
          </cell>
          <cell r="K606" t="str">
            <v>301 Case Blvd</v>
          </cell>
          <cell r="L606" t="str">
            <v>NJ</v>
          </cell>
          <cell r="M606">
            <v>8822</v>
          </cell>
          <cell r="N606" t="str">
            <v>301 Case Blvd Flemington, NJ 08822</v>
          </cell>
        </row>
        <row r="607">
          <cell r="G607">
            <v>472846</v>
          </cell>
          <cell r="H607" t="str">
            <v>Chief Shikellamy Elem School</v>
          </cell>
          <cell r="I607" t="str">
            <v>Sunbury</v>
          </cell>
          <cell r="K607" t="str">
            <v>338 Memorial Dr</v>
          </cell>
          <cell r="L607" t="str">
            <v>PA</v>
          </cell>
          <cell r="M607">
            <v>17801</v>
          </cell>
          <cell r="N607" t="str">
            <v>338 Memorial Dr Sunbury, PA 17801</v>
          </cell>
        </row>
        <row r="608">
          <cell r="G608">
            <v>479015</v>
          </cell>
          <cell r="H608" t="str">
            <v>Facilities Garage</v>
          </cell>
          <cell r="I608" t="str">
            <v>Gettysburg</v>
          </cell>
          <cell r="K608" t="str">
            <v>260 Constitution Ave</v>
          </cell>
          <cell r="L608" t="str">
            <v>PA</v>
          </cell>
          <cell r="M608">
            <v>17325</v>
          </cell>
          <cell r="N608" t="str">
            <v>260 Constitution Ave Gettysburg, PA 17325</v>
          </cell>
        </row>
        <row r="609">
          <cell r="G609">
            <v>323699</v>
          </cell>
          <cell r="H609" t="str">
            <v>Maple Farm/Garden Spot</v>
          </cell>
          <cell r="I609" t="str">
            <v>AKRON</v>
          </cell>
          <cell r="J609" t="str">
            <v>Lancaster - NE</v>
          </cell>
          <cell r="K609" t="str">
            <v>604 Oak St</v>
          </cell>
          <cell r="L609" t="str">
            <v>PA</v>
          </cell>
          <cell r="M609">
            <v>17501</v>
          </cell>
          <cell r="N609" t="str">
            <v>604 Oak St AKRON, PA 17501</v>
          </cell>
        </row>
        <row r="610">
          <cell r="G610">
            <v>297728</v>
          </cell>
          <cell r="H610" t="str">
            <v>Bible Baptist Church</v>
          </cell>
          <cell r="I610" t="str">
            <v>West Chester</v>
          </cell>
          <cell r="K610" t="str">
            <v>1237 Paoli Pike</v>
          </cell>
          <cell r="L610" t="str">
            <v>PA</v>
          </cell>
          <cell r="M610">
            <v>19380</v>
          </cell>
          <cell r="N610" t="str">
            <v>1237 Paoli Pike West Chester, PA 19380</v>
          </cell>
        </row>
        <row r="611">
          <cell r="G611">
            <v>244261</v>
          </cell>
          <cell r="H611" t="str">
            <v>Port Republic School District</v>
          </cell>
          <cell r="I611" t="str">
            <v>Port Republic</v>
          </cell>
          <cell r="K611" t="str">
            <v>137 Pomona Ave</v>
          </cell>
          <cell r="L611" t="str">
            <v>NJ</v>
          </cell>
          <cell r="M611">
            <v>8241</v>
          </cell>
          <cell r="N611" t="str">
            <v>137 Pomona Ave Port Republic, NJ 08241</v>
          </cell>
        </row>
        <row r="612">
          <cell r="G612">
            <v>240093</v>
          </cell>
          <cell r="H612" t="str">
            <v>FIRST UNITED METHODIST CHURCH#</v>
          </cell>
          <cell r="I612" t="str">
            <v>Lancaster</v>
          </cell>
          <cell r="K612" t="str">
            <v>29 E Walnut St</v>
          </cell>
          <cell r="L612" t="str">
            <v>PA</v>
          </cell>
          <cell r="M612">
            <v>17602</v>
          </cell>
          <cell r="N612" t="str">
            <v>29 E Walnut St Lancaster, PA 17602</v>
          </cell>
        </row>
        <row r="613">
          <cell r="G613">
            <v>418385</v>
          </cell>
          <cell r="H613" t="str">
            <v>Plymouth Elementary School</v>
          </cell>
          <cell r="I613" t="str">
            <v>PLYMOUTH MEETING</v>
          </cell>
          <cell r="K613" t="str">
            <v>542 Plymouth Rd</v>
          </cell>
          <cell r="L613" t="str">
            <v>PA</v>
          </cell>
          <cell r="M613">
            <v>19462</v>
          </cell>
          <cell r="N613" t="str">
            <v>542 Plymouth Rd PLYMOUTH MEETING, PA 19462</v>
          </cell>
        </row>
        <row r="614">
          <cell r="G614">
            <v>418084</v>
          </cell>
          <cell r="H614" t="str">
            <v>Middle Township Elementary #2</v>
          </cell>
          <cell r="I614" t="str">
            <v>Cape May Court House</v>
          </cell>
          <cell r="K614" t="str">
            <v>101 W Pacific Ave</v>
          </cell>
          <cell r="L614" t="str">
            <v>NJ</v>
          </cell>
          <cell r="M614">
            <v>8210</v>
          </cell>
          <cell r="N614" t="str">
            <v>101 W Pacific Ave Cape May Court House, NJ 08210</v>
          </cell>
        </row>
        <row r="615">
          <cell r="G615">
            <v>417488</v>
          </cell>
          <cell r="H615" t="str">
            <v>9 - 10 Grade Center</v>
          </cell>
          <cell r="I615" t="str">
            <v>Coatesville</v>
          </cell>
          <cell r="K615" t="str">
            <v>1425 E Lincoln Hwy</v>
          </cell>
          <cell r="L615" t="str">
            <v>PA</v>
          </cell>
          <cell r="M615">
            <v>19320</v>
          </cell>
          <cell r="N615" t="str">
            <v>1425 E Lincoln Hwy Coatesville, PA 19320</v>
          </cell>
        </row>
        <row r="616">
          <cell r="G616">
            <v>475103</v>
          </cell>
          <cell r="H616" t="str">
            <v>Atilis Gym EHT</v>
          </cell>
          <cell r="I616" t="str">
            <v>Galloway</v>
          </cell>
          <cell r="K616" t="str">
            <v>323 S Pitney Rd</v>
          </cell>
          <cell r="L616" t="str">
            <v>NJ</v>
          </cell>
          <cell r="M616">
            <v>8205</v>
          </cell>
          <cell r="N616" t="str">
            <v>323 S Pitney Rd Galloway, NJ 08205</v>
          </cell>
        </row>
        <row r="617">
          <cell r="G617">
            <v>415864</v>
          </cell>
          <cell r="H617" t="str">
            <v>WILLOW VALLEY MANOR NORTH FLR</v>
          </cell>
          <cell r="I617" t="str">
            <v>Willow Street</v>
          </cell>
          <cell r="K617" t="str">
            <v>71 Locust Ln</v>
          </cell>
          <cell r="L617" t="str">
            <v>PA</v>
          </cell>
          <cell r="M617">
            <v>17584</v>
          </cell>
          <cell r="N617" t="str">
            <v>71 Locust Ln Willow Street, PA 17584</v>
          </cell>
        </row>
        <row r="618">
          <cell r="G618">
            <v>241666</v>
          </cell>
          <cell r="H618" t="str">
            <v>RUTTERS FARM STORES #21</v>
          </cell>
          <cell r="I618" t="str">
            <v>Manchester</v>
          </cell>
          <cell r="K618" t="str">
            <v>5 S Main St</v>
          </cell>
          <cell r="L618" t="str">
            <v>PA</v>
          </cell>
          <cell r="M618">
            <v>17345</v>
          </cell>
          <cell r="N618" t="str">
            <v>5 S Main St Manchester, PA 17345</v>
          </cell>
        </row>
        <row r="619">
          <cell r="G619">
            <v>465969</v>
          </cell>
          <cell r="H619" t="str">
            <v>CARON MED TREATMENT CENTERS</v>
          </cell>
          <cell r="I619" t="str">
            <v>Wernersville</v>
          </cell>
          <cell r="K619" t="str">
            <v>243 N Galen Hall Rd</v>
          </cell>
          <cell r="L619" t="str">
            <v>PA</v>
          </cell>
          <cell r="M619">
            <v>19565</v>
          </cell>
          <cell r="N619" t="str">
            <v>243 N Galen Hall Rd Wernersville, PA 19565</v>
          </cell>
        </row>
        <row r="620">
          <cell r="G620">
            <v>482500</v>
          </cell>
          <cell r="H620" t="str">
            <v>RK Kia</v>
          </cell>
          <cell r="I620" t="str">
            <v>Vineland</v>
          </cell>
          <cell r="K620" t="str">
            <v>612 N Delsea Dr</v>
          </cell>
          <cell r="L620" t="str">
            <v>NJ</v>
          </cell>
          <cell r="M620">
            <v>8360</v>
          </cell>
          <cell r="N620" t="str">
            <v>612 N Delsea Dr Vineland, NJ 08360</v>
          </cell>
        </row>
        <row r="621">
          <cell r="G621">
            <v>473512</v>
          </cell>
          <cell r="H621" t="str">
            <v>Selinsgrove Area School Distri</v>
          </cell>
          <cell r="I621" t="str">
            <v>Selinsgrove</v>
          </cell>
          <cell r="K621" t="str">
            <v>500 N Broad St</v>
          </cell>
          <cell r="L621" t="str">
            <v>PA</v>
          </cell>
          <cell r="M621">
            <v>17870</v>
          </cell>
          <cell r="N621" t="str">
            <v>500 N Broad St Selinsgrove, PA 17870</v>
          </cell>
        </row>
        <row r="622">
          <cell r="G622">
            <v>429484</v>
          </cell>
          <cell r="H622" t="str">
            <v>William Penn High School</v>
          </cell>
          <cell r="I622" t="str">
            <v>York</v>
          </cell>
          <cell r="K622" t="str">
            <v>101 W College Ave</v>
          </cell>
          <cell r="L622" t="str">
            <v>PA</v>
          </cell>
          <cell r="M622">
            <v>17401</v>
          </cell>
          <cell r="N622" t="str">
            <v>101 W College Ave York, PA 17401</v>
          </cell>
        </row>
        <row r="623">
          <cell r="G623">
            <v>458204</v>
          </cell>
          <cell r="H623" t="str">
            <v>Medford Township Public School</v>
          </cell>
          <cell r="I623" t="str">
            <v>Medford</v>
          </cell>
          <cell r="J623" t="str">
            <v>Southampton Twp</v>
          </cell>
          <cell r="K623" t="str">
            <v>28 Branin Rd</v>
          </cell>
          <cell r="L623" t="str">
            <v>NJ</v>
          </cell>
          <cell r="M623">
            <v>8055</v>
          </cell>
          <cell r="N623" t="str">
            <v>28 Branin Rd Medford, NJ 08055</v>
          </cell>
        </row>
        <row r="624">
          <cell r="G624">
            <v>464200</v>
          </cell>
          <cell r="H624" t="str">
            <v>CENTRAL DAUPHIN HIGH SCHOOL</v>
          </cell>
          <cell r="I624" t="str">
            <v>Harrisburg</v>
          </cell>
          <cell r="K624" t="str">
            <v>437 Piketown Rd</v>
          </cell>
          <cell r="L624" t="str">
            <v>PA</v>
          </cell>
          <cell r="M624">
            <v>17112</v>
          </cell>
          <cell r="N624" t="str">
            <v>437 Piketown Rd Harrisburg, PA 17112</v>
          </cell>
        </row>
        <row r="625">
          <cell r="G625">
            <v>241661</v>
          </cell>
          <cell r="H625" t="str">
            <v>RUTTERS FARM STORES #12</v>
          </cell>
          <cell r="I625" t="str">
            <v>York</v>
          </cell>
          <cell r="K625" t="str">
            <v>1425 SEVEN VALLEYS RD</v>
          </cell>
          <cell r="L625" t="str">
            <v>PA</v>
          </cell>
          <cell r="M625">
            <v>17407</v>
          </cell>
          <cell r="N625" t="str">
            <v>1425 SEVEN VALLEYS RD York, PA 17407</v>
          </cell>
        </row>
        <row r="626">
          <cell r="G626">
            <v>240464</v>
          </cell>
          <cell r="H626" t="str">
            <v>HY LINE NORTH AMERICAN LLC</v>
          </cell>
          <cell r="I626" t="str">
            <v>ELIZABETHTOWN</v>
          </cell>
          <cell r="K626" t="str">
            <v>79 Industrial Rd</v>
          </cell>
          <cell r="L626" t="str">
            <v>PA</v>
          </cell>
          <cell r="M626">
            <v>17022</v>
          </cell>
          <cell r="N626" t="str">
            <v>79 Industrial Rd ELIZABETHTOWN, PA 17022</v>
          </cell>
        </row>
        <row r="627">
          <cell r="G627">
            <v>241690</v>
          </cell>
          <cell r="H627" t="str">
            <v>RUTTERS FARM STORES #50</v>
          </cell>
          <cell r="I627" t="str">
            <v>Spring Grove</v>
          </cell>
          <cell r="K627" t="str">
            <v>420 N Main St</v>
          </cell>
          <cell r="L627" t="str">
            <v>PA</v>
          </cell>
          <cell r="M627">
            <v>17362</v>
          </cell>
          <cell r="N627" t="str">
            <v>420 N Main St Spring Grove, PA 17362</v>
          </cell>
        </row>
        <row r="628">
          <cell r="G628">
            <v>418456</v>
          </cell>
          <cell r="H628" t="str">
            <v>Redding Intermediate School</v>
          </cell>
          <cell r="I628" t="str">
            <v>MIDDLETOWN</v>
          </cell>
          <cell r="K628" t="str">
            <v>201 New St</v>
          </cell>
          <cell r="L628" t="str">
            <v>DE</v>
          </cell>
          <cell r="M628">
            <v>19709</v>
          </cell>
          <cell r="N628" t="str">
            <v>201 New St MIDDLETOWN, DE 19709</v>
          </cell>
        </row>
        <row r="629">
          <cell r="G629">
            <v>241701</v>
          </cell>
          <cell r="H629" t="str">
            <v>RUTTERS FARM STORES #9</v>
          </cell>
          <cell r="I629" t="str">
            <v>Red Lion</v>
          </cell>
          <cell r="K629" t="str">
            <v>791 Delta Rd</v>
          </cell>
          <cell r="L629" t="str">
            <v>PA</v>
          </cell>
          <cell r="M629">
            <v>17356</v>
          </cell>
          <cell r="N629" t="str">
            <v>791 Delta Rd Red Lion, PA 17356</v>
          </cell>
        </row>
        <row r="630">
          <cell r="G630">
            <v>464202</v>
          </cell>
          <cell r="H630" t="str">
            <v>CENTRAL DAUPHIN MIDDLE SCHOOL</v>
          </cell>
          <cell r="I630" t="str">
            <v>Harrisburg</v>
          </cell>
          <cell r="K630" t="str">
            <v>4600 Locust Ln</v>
          </cell>
          <cell r="L630" t="str">
            <v>PA</v>
          </cell>
          <cell r="M630">
            <v>17109</v>
          </cell>
          <cell r="N630" t="str">
            <v>4600 Locust Ln Harrisburg, PA 17109</v>
          </cell>
        </row>
        <row r="631">
          <cell r="G631">
            <v>241023</v>
          </cell>
          <cell r="H631" t="str">
            <v>MANOR CHURCH</v>
          </cell>
          <cell r="I631" t="str">
            <v>Lancaster</v>
          </cell>
          <cell r="K631" t="str">
            <v>530 Central Manor Rd</v>
          </cell>
          <cell r="L631" t="str">
            <v>PA</v>
          </cell>
          <cell r="M631">
            <v>17603</v>
          </cell>
          <cell r="N631" t="str">
            <v>530 Central Manor Rd Lancaster, PA 17603</v>
          </cell>
        </row>
        <row r="632">
          <cell r="G632">
            <v>460390</v>
          </cell>
          <cell r="H632" t="str">
            <v>CAN BERKS CORPORATION OF AMERI</v>
          </cell>
          <cell r="I632" t="str">
            <v>Reading</v>
          </cell>
          <cell r="K632" t="str">
            <v>3721 Pottsville Pike</v>
          </cell>
          <cell r="L632" t="str">
            <v>PA</v>
          </cell>
          <cell r="M632">
            <v>19605</v>
          </cell>
          <cell r="N632" t="str">
            <v>3721 Pottsville Pike Reading, PA 19605</v>
          </cell>
        </row>
        <row r="633">
          <cell r="G633">
            <v>441330</v>
          </cell>
          <cell r="H633" t="str">
            <v>BLOOMSBURG MEMORIAL</v>
          </cell>
          <cell r="I633" t="str">
            <v>Bloomsburg</v>
          </cell>
          <cell r="K633" t="str">
            <v>500 Market St</v>
          </cell>
          <cell r="L633" t="str">
            <v>PA</v>
          </cell>
          <cell r="M633">
            <v>17815</v>
          </cell>
          <cell r="N633" t="str">
            <v>500 Market St Bloomsburg, PA 17815</v>
          </cell>
        </row>
        <row r="634">
          <cell r="G634">
            <v>417398</v>
          </cell>
          <cell r="H634" t="str">
            <v>Great Valley Middle School</v>
          </cell>
          <cell r="I634" t="str">
            <v>Malvern</v>
          </cell>
          <cell r="K634" t="str">
            <v>255 Phoenixville Pike</v>
          </cell>
          <cell r="L634" t="str">
            <v>PA</v>
          </cell>
          <cell r="M634">
            <v>19355</v>
          </cell>
          <cell r="N634" t="str">
            <v>255 Phoenixville Pike Malvern, PA 19355</v>
          </cell>
        </row>
        <row r="635">
          <cell r="G635">
            <v>418325</v>
          </cell>
          <cell r="H635" t="str">
            <v>Oxford Valley Elementary Schoo</v>
          </cell>
          <cell r="I635" t="str">
            <v>Fairless Hills</v>
          </cell>
          <cell r="K635" t="str">
            <v>430 Trenton Rd</v>
          </cell>
          <cell r="L635" t="str">
            <v>PA</v>
          </cell>
          <cell r="M635">
            <v>19030</v>
          </cell>
          <cell r="N635" t="str">
            <v>430 Trenton Rd Fairless Hills, PA 19030</v>
          </cell>
        </row>
        <row r="636">
          <cell r="G636">
            <v>457975</v>
          </cell>
          <cell r="H636" t="str">
            <v>Indian Mill Elementary School</v>
          </cell>
          <cell r="I636" t="str">
            <v>Shamong</v>
          </cell>
          <cell r="J636" t="str">
            <v>Southampton Twp</v>
          </cell>
          <cell r="K636" t="str">
            <v>112 Indian Mills Rd</v>
          </cell>
          <cell r="L636" t="str">
            <v>NJ</v>
          </cell>
          <cell r="M636">
            <v>8088</v>
          </cell>
          <cell r="N636" t="str">
            <v>112 Indian Mills Rd Shamong, NJ 08088</v>
          </cell>
        </row>
        <row r="637">
          <cell r="G637">
            <v>344724</v>
          </cell>
          <cell r="H637" t="str">
            <v>MIDDLECREEK MENNONITE FELLOWSH</v>
          </cell>
          <cell r="I637" t="str">
            <v>Reinholds</v>
          </cell>
          <cell r="K637" t="str">
            <v>478 Black Horse Rd</v>
          </cell>
          <cell r="L637" t="str">
            <v>PA</v>
          </cell>
          <cell r="M637">
            <v>17569</v>
          </cell>
          <cell r="N637" t="str">
            <v>478 Black Horse Rd Reinholds, PA 17569</v>
          </cell>
        </row>
        <row r="638">
          <cell r="G638">
            <v>334433</v>
          </cell>
          <cell r="H638" t="str">
            <v>Holy Name Of Jesus Parish &amp; Sc</v>
          </cell>
          <cell r="I638" t="str">
            <v>Harrisburg</v>
          </cell>
          <cell r="K638" t="str">
            <v>6150 Allentown Blvd</v>
          </cell>
          <cell r="L638" t="str">
            <v>PA</v>
          </cell>
          <cell r="M638">
            <v>17112</v>
          </cell>
          <cell r="N638" t="str">
            <v>6150 Allentown Blvd Harrisburg, PA 17112</v>
          </cell>
        </row>
        <row r="639">
          <cell r="G639">
            <v>313100</v>
          </cell>
          <cell r="H639" t="str">
            <v>First Church of Our Lord Jesus</v>
          </cell>
          <cell r="I639" t="str">
            <v>Philadelphia</v>
          </cell>
          <cell r="K639" t="str">
            <v>5105 N 5TH ST</v>
          </cell>
          <cell r="L639" t="str">
            <v>PA</v>
          </cell>
          <cell r="M639">
            <v>19120</v>
          </cell>
          <cell r="N639" t="str">
            <v>5105 N 5TH ST Philadelphia, PA 19120</v>
          </cell>
        </row>
        <row r="640">
          <cell r="G640">
            <v>318492</v>
          </cell>
          <cell r="H640" t="str">
            <v>PHYTOGENX INC</v>
          </cell>
          <cell r="I640" t="str">
            <v>Morgantown</v>
          </cell>
          <cell r="K640" t="str">
            <v>35 Thousand Oaks Blvd</v>
          </cell>
          <cell r="L640" t="str">
            <v>PA</v>
          </cell>
          <cell r="M640">
            <v>19543</v>
          </cell>
          <cell r="N640" t="str">
            <v>35 Thousand Oaks Blvd Morgantown, PA 19543</v>
          </cell>
        </row>
        <row r="641">
          <cell r="G641">
            <v>241912</v>
          </cell>
          <cell r="H641" t="str">
            <v>ST JOHN NEUMANN CHURCH</v>
          </cell>
          <cell r="I641" t="str">
            <v>Lancaster</v>
          </cell>
          <cell r="K641" t="str">
            <v>601 E Delp Rd</v>
          </cell>
          <cell r="L641" t="str">
            <v>PA</v>
          </cell>
          <cell r="M641">
            <v>17601</v>
          </cell>
          <cell r="N641" t="str">
            <v>601 E Delp Rd Lancaster, PA 17601</v>
          </cell>
        </row>
        <row r="642">
          <cell r="G642">
            <v>457337</v>
          </cell>
          <cell r="H642" t="str">
            <v>Zarephath Christian Church</v>
          </cell>
          <cell r="I642" t="str">
            <v>Somerset</v>
          </cell>
          <cell r="K642" t="str">
            <v>591 Weston Canal Rd</v>
          </cell>
          <cell r="L642" t="str">
            <v>NJ</v>
          </cell>
          <cell r="M642">
            <v>8873</v>
          </cell>
          <cell r="N642" t="str">
            <v>591 Weston Canal Rd Somerset, NJ 08873</v>
          </cell>
        </row>
        <row r="643">
          <cell r="G643">
            <v>481073</v>
          </cell>
          <cell r="H643" t="str">
            <v>Fishing Creek Elementary</v>
          </cell>
          <cell r="I643" t="str">
            <v>Lewisberry</v>
          </cell>
          <cell r="K643" t="str">
            <v>510 Fishing Creek Rd</v>
          </cell>
          <cell r="L643" t="str">
            <v>PA</v>
          </cell>
          <cell r="M643">
            <v>17339</v>
          </cell>
          <cell r="N643" t="str">
            <v>510 Fishing Creek Rd Lewisberry, PA 17339</v>
          </cell>
        </row>
        <row r="644">
          <cell r="G644">
            <v>240449</v>
          </cell>
          <cell r="H644" t="str">
            <v>CC - SIGNATURE ONE</v>
          </cell>
          <cell r="I644" t="str">
            <v>Lititz</v>
          </cell>
          <cell r="K644" t="str">
            <v>146 Koser Rd</v>
          </cell>
          <cell r="L644" t="str">
            <v>PA</v>
          </cell>
          <cell r="M644">
            <v>17543</v>
          </cell>
          <cell r="N644" t="str">
            <v>146 Koser Rd Lititz, PA 17543</v>
          </cell>
        </row>
        <row r="645">
          <cell r="G645">
            <v>244256</v>
          </cell>
          <cell r="H645" t="str">
            <v>Hamilton Township Board of Ed</v>
          </cell>
          <cell r="I645" t="str">
            <v>Mays Landing</v>
          </cell>
          <cell r="K645" t="str">
            <v>1876 Dr Dennis Foreman Dr</v>
          </cell>
          <cell r="L645" t="str">
            <v>NJ</v>
          </cell>
          <cell r="M645">
            <v>8330</v>
          </cell>
          <cell r="N645" t="str">
            <v>1876 Dr Dennis Foreman Dr Mays Landing, NJ 08330</v>
          </cell>
        </row>
        <row r="646">
          <cell r="G646">
            <v>481121</v>
          </cell>
          <cell r="H646" t="str">
            <v>Francis A Desmares Elementary</v>
          </cell>
          <cell r="I646" t="str">
            <v>Flemington</v>
          </cell>
          <cell r="K646" t="str">
            <v>16 Old Clinton Rd</v>
          </cell>
          <cell r="L646" t="str">
            <v>NJ</v>
          </cell>
          <cell r="M646">
            <v>8822</v>
          </cell>
          <cell r="N646" t="str">
            <v>16 Old Clinton Rd Flemington, NJ 08822</v>
          </cell>
        </row>
        <row r="647">
          <cell r="G647">
            <v>416930</v>
          </cell>
          <cell r="H647" t="str">
            <v>RTMSD Maintenance &amp; Operations</v>
          </cell>
          <cell r="I647" t="str">
            <v>Media</v>
          </cell>
          <cell r="K647" t="str">
            <v>134 Barren Rd</v>
          </cell>
          <cell r="L647" t="str">
            <v>PA</v>
          </cell>
          <cell r="M647">
            <v>19063</v>
          </cell>
          <cell r="N647" t="str">
            <v>134 Barren Rd Media, PA 19063</v>
          </cell>
        </row>
        <row r="648">
          <cell r="G648">
            <v>324955</v>
          </cell>
          <cell r="H648" t="str">
            <v>Suburban Testing Labs Inc.#</v>
          </cell>
          <cell r="I648" t="str">
            <v>Reading</v>
          </cell>
          <cell r="K648" t="str">
            <v>1037F Macarthur Rd</v>
          </cell>
          <cell r="L648" t="str">
            <v>PA</v>
          </cell>
          <cell r="M648">
            <v>19605</v>
          </cell>
          <cell r="N648" t="str">
            <v>1037F Macarthur Rd Reading, PA 19605</v>
          </cell>
        </row>
        <row r="649">
          <cell r="G649">
            <v>419109</v>
          </cell>
          <cell r="H649" t="str">
            <v>Upper County Early Learning Ce</v>
          </cell>
          <cell r="I649" t="str">
            <v>Telford</v>
          </cell>
          <cell r="K649" t="str">
            <v>4030 Bethlehem Pike</v>
          </cell>
          <cell r="L649" t="str">
            <v>PA</v>
          </cell>
          <cell r="M649">
            <v>18969</v>
          </cell>
          <cell r="N649" t="str">
            <v>4030 Bethlehem Pike Telford, PA 18969</v>
          </cell>
        </row>
        <row r="650">
          <cell r="G650">
            <v>483221</v>
          </cell>
          <cell r="H650" t="str">
            <v>Emilie United Methodist Church</v>
          </cell>
          <cell r="I650" t="str">
            <v>Levittown</v>
          </cell>
          <cell r="K650" t="str">
            <v>7300 New Falls Rd</v>
          </cell>
          <cell r="L650" t="str">
            <v>PA</v>
          </cell>
          <cell r="M650">
            <v>19055</v>
          </cell>
          <cell r="N650" t="str">
            <v>7300 New Falls Rd Levittown, PA 19055</v>
          </cell>
        </row>
        <row r="651">
          <cell r="G651">
            <v>418173</v>
          </cell>
          <cell r="H651" t="str">
            <v>New Castle School</v>
          </cell>
          <cell r="I651" t="str">
            <v>New Castle</v>
          </cell>
          <cell r="K651" t="str">
            <v>903 Delaware St</v>
          </cell>
          <cell r="L651" t="str">
            <v>DE</v>
          </cell>
          <cell r="M651">
            <v>19720</v>
          </cell>
          <cell r="N651" t="str">
            <v>903 Delaware St New Castle, DE 19720</v>
          </cell>
        </row>
        <row r="652">
          <cell r="G652">
            <v>417382</v>
          </cell>
          <cell r="H652" t="str">
            <v>Howell High School</v>
          </cell>
          <cell r="I652" t="str">
            <v>Farmingdale</v>
          </cell>
          <cell r="J652" t="str">
            <v>Trenton - East Shore</v>
          </cell>
          <cell r="K652" t="str">
            <v>405 Squankum Yellowbrook Rd</v>
          </cell>
          <cell r="L652" t="str">
            <v>NJ</v>
          </cell>
          <cell r="M652">
            <v>7727</v>
          </cell>
          <cell r="N652" t="str">
            <v>405 Squankum Yellowbrook Rd Farmingdale, NJ 07727</v>
          </cell>
        </row>
        <row r="653">
          <cell r="G653">
            <v>241778</v>
          </cell>
          <cell r="H653" t="str">
            <v>SHALOM CHRISTIAN ACADEMY</v>
          </cell>
          <cell r="I653" t="str">
            <v>Chambersburg</v>
          </cell>
          <cell r="K653" t="str">
            <v>126 Social Island Rd</v>
          </cell>
          <cell r="L653" t="str">
            <v>PA</v>
          </cell>
          <cell r="M653">
            <v>17202</v>
          </cell>
          <cell r="N653" t="str">
            <v>126 Social Island Rd Chambersburg, PA 17202</v>
          </cell>
        </row>
        <row r="654">
          <cell r="G654">
            <v>415796</v>
          </cell>
          <cell r="H654" t="str">
            <v>WEAVER MARKETS INC</v>
          </cell>
          <cell r="I654" t="str">
            <v>Denver</v>
          </cell>
          <cell r="K654" t="str">
            <v>2610 Reading ROAD</v>
          </cell>
          <cell r="L654" t="str">
            <v>PA</v>
          </cell>
          <cell r="M654">
            <v>17517</v>
          </cell>
          <cell r="N654" t="str">
            <v>2610 Reading ROAD Denver, PA 17517</v>
          </cell>
        </row>
        <row r="655">
          <cell r="G655">
            <v>242406</v>
          </cell>
          <cell r="H655" t="str">
            <v>WILLOW STREET FIRE CO</v>
          </cell>
          <cell r="I655" t="str">
            <v>Willow Street</v>
          </cell>
          <cell r="K655" t="str">
            <v>2901 Willow Street Pike N</v>
          </cell>
          <cell r="L655" t="str">
            <v>PA</v>
          </cell>
          <cell r="M655">
            <v>17584</v>
          </cell>
          <cell r="N655" t="str">
            <v>2901 Willow Street Pike N Willow Street, PA 17584</v>
          </cell>
        </row>
        <row r="656">
          <cell r="G656">
            <v>240705</v>
          </cell>
          <cell r="H656" t="str">
            <v>LAMPETER STRASBURG SCHOOL</v>
          </cell>
          <cell r="I656" t="str">
            <v>Lancaster</v>
          </cell>
          <cell r="K656" t="str">
            <v>1600 Book Rd</v>
          </cell>
          <cell r="L656" t="str">
            <v>PA</v>
          </cell>
          <cell r="M656">
            <v>17602</v>
          </cell>
          <cell r="N656" t="str">
            <v>1600 Book Rd Lancaster, PA 17602</v>
          </cell>
        </row>
        <row r="657">
          <cell r="G657">
            <v>482194</v>
          </cell>
          <cell r="H657" t="str">
            <v>Henry Company</v>
          </cell>
          <cell r="I657" t="str">
            <v>Kimberton</v>
          </cell>
          <cell r="K657" t="str">
            <v>336 Cold Stream Rd</v>
          </cell>
          <cell r="L657" t="str">
            <v>PA</v>
          </cell>
          <cell r="M657">
            <v>19442</v>
          </cell>
          <cell r="N657" t="str">
            <v>336 Cold Stream Rd Kimberton, PA 19442</v>
          </cell>
        </row>
        <row r="658">
          <cell r="G658">
            <v>241676</v>
          </cell>
          <cell r="H658" t="str">
            <v>RUTTERS FARM STORES #33</v>
          </cell>
          <cell r="I658" t="str">
            <v>Hanover</v>
          </cell>
          <cell r="K658" t="str">
            <v>661 Broadway</v>
          </cell>
          <cell r="L658" t="str">
            <v>PA</v>
          </cell>
          <cell r="M658">
            <v>17331</v>
          </cell>
          <cell r="N658" t="str">
            <v>661 Broadway Hanover, PA 17331</v>
          </cell>
        </row>
        <row r="659">
          <cell r="G659">
            <v>244752</v>
          </cell>
          <cell r="H659" t="str">
            <v>Journal Register Company</v>
          </cell>
          <cell r="I659" t="str">
            <v>EXTON</v>
          </cell>
          <cell r="K659" t="str">
            <v>390 Eagleview Blvd</v>
          </cell>
          <cell r="L659" t="str">
            <v>PA</v>
          </cell>
          <cell r="M659">
            <v>19341</v>
          </cell>
          <cell r="N659" t="str">
            <v>390 Eagleview Blvd EXTON, PA 19341</v>
          </cell>
        </row>
        <row r="660">
          <cell r="G660">
            <v>274439</v>
          </cell>
          <cell r="H660" t="str">
            <v>Church of the Saviour</v>
          </cell>
          <cell r="I660" t="str">
            <v>Wayne</v>
          </cell>
          <cell r="K660" t="str">
            <v>651 N Wayne Ave</v>
          </cell>
          <cell r="L660" t="str">
            <v>PA</v>
          </cell>
          <cell r="M660">
            <v>19087</v>
          </cell>
          <cell r="N660" t="str">
            <v>651 N Wayne Ave Wayne, PA 19087</v>
          </cell>
        </row>
        <row r="661">
          <cell r="G661">
            <v>251656</v>
          </cell>
          <cell r="H661" t="str">
            <v>Montgomery School</v>
          </cell>
          <cell r="I661" t="str">
            <v>Chester Springs</v>
          </cell>
          <cell r="K661" t="str">
            <v>1141 Kimberton Rd</v>
          </cell>
          <cell r="L661" t="str">
            <v>PA</v>
          </cell>
          <cell r="M661">
            <v>19425</v>
          </cell>
          <cell r="N661" t="str">
            <v>1141 Kimberton Rd Chester Springs, PA 19425</v>
          </cell>
        </row>
        <row r="662">
          <cell r="G662">
            <v>470563</v>
          </cell>
          <cell r="H662" t="str">
            <v>DENVER ELEMENTARY</v>
          </cell>
          <cell r="I662" t="str">
            <v>Denver</v>
          </cell>
          <cell r="K662" t="str">
            <v>700 S 4th St</v>
          </cell>
          <cell r="L662" t="str">
            <v>PA</v>
          </cell>
          <cell r="M662">
            <v>17517</v>
          </cell>
          <cell r="N662" t="str">
            <v>700 S 4th St Denver, PA 17517</v>
          </cell>
        </row>
        <row r="663">
          <cell r="G663">
            <v>462115</v>
          </cell>
          <cell r="H663" t="str">
            <v>Magnolia Public School</v>
          </cell>
          <cell r="I663" t="str">
            <v>Magnolia</v>
          </cell>
          <cell r="J663" t="str">
            <v>Cherry Hill</v>
          </cell>
          <cell r="K663" t="str">
            <v>420 N Warwick Rd</v>
          </cell>
          <cell r="L663" t="str">
            <v>NJ</v>
          </cell>
          <cell r="M663">
            <v>8049</v>
          </cell>
          <cell r="N663" t="str">
            <v>420 N Warwick Rd Magnolia, NJ 08049</v>
          </cell>
        </row>
        <row r="664">
          <cell r="G664">
            <v>423432</v>
          </cell>
          <cell r="H664" t="str">
            <v>Maple Glen Elementary School</v>
          </cell>
          <cell r="I664" t="str">
            <v>Maple Glen</v>
          </cell>
          <cell r="K664" t="str">
            <v>1581 Fort Washington Ave</v>
          </cell>
          <cell r="L664" t="str">
            <v>PA</v>
          </cell>
          <cell r="M664">
            <v>19002</v>
          </cell>
          <cell r="N664" t="str">
            <v>1581 Fort Washington Ave Maple Glen, PA 19002</v>
          </cell>
        </row>
        <row r="665">
          <cell r="G665">
            <v>315848</v>
          </cell>
          <cell r="H665" t="str">
            <v>Ann's Choice</v>
          </cell>
          <cell r="I665" t="str">
            <v>Warminster</v>
          </cell>
          <cell r="J665" t="str">
            <v>Philly Suburbs - North</v>
          </cell>
          <cell r="K665" t="str">
            <v>10000 Anns Choice Way</v>
          </cell>
          <cell r="L665" t="str">
            <v>PA</v>
          </cell>
          <cell r="M665">
            <v>18974</v>
          </cell>
          <cell r="N665" t="str">
            <v>10000 Anns Choice Way Warminster, PA 18974</v>
          </cell>
        </row>
        <row r="666">
          <cell r="G666">
            <v>418323</v>
          </cell>
          <cell r="H666" t="str">
            <v>Fallsington Elementary School</v>
          </cell>
          <cell r="I666" t="str">
            <v>Fallsington</v>
          </cell>
          <cell r="K666" t="str">
            <v>134 Yardley Ave</v>
          </cell>
          <cell r="L666" t="str">
            <v>PA</v>
          </cell>
          <cell r="M666">
            <v>19054</v>
          </cell>
          <cell r="N666" t="str">
            <v>134 Yardley Ave Fallsington, PA 19054</v>
          </cell>
        </row>
        <row r="667">
          <cell r="G667">
            <v>445822</v>
          </cell>
          <cell r="H667" t="str">
            <v>LEWISTOWN INTERMEDIATE SCHOOL</v>
          </cell>
          <cell r="I667" t="str">
            <v>Lewistown</v>
          </cell>
          <cell r="J667" t="str">
            <v>Lewistown</v>
          </cell>
          <cell r="K667" t="str">
            <v>212 Green Ave</v>
          </cell>
          <cell r="L667" t="str">
            <v>PA</v>
          </cell>
          <cell r="M667">
            <v>17044</v>
          </cell>
          <cell r="N667" t="str">
            <v>212 Green Ave Lewistown, PA 17044</v>
          </cell>
        </row>
        <row r="668">
          <cell r="G668">
            <v>240462</v>
          </cell>
          <cell r="H668" t="str">
            <v>HVAC DISTRIBUTORS INC#</v>
          </cell>
          <cell r="I668" t="str">
            <v>Mount Joy</v>
          </cell>
          <cell r="K668" t="str">
            <v>2 Old Market St</v>
          </cell>
          <cell r="L668" t="str">
            <v>PA</v>
          </cell>
          <cell r="M668">
            <v>17552</v>
          </cell>
          <cell r="N668" t="str">
            <v>2 Old Market St Mount Joy, PA 17552</v>
          </cell>
        </row>
        <row r="669">
          <cell r="G669">
            <v>285568</v>
          </cell>
          <cell r="H669" t="str">
            <v>Meadowood Corporation</v>
          </cell>
          <cell r="I669" t="str">
            <v>Worcester</v>
          </cell>
          <cell r="K669" t="str">
            <v>3205 Skippack Pike</v>
          </cell>
          <cell r="L669" t="str">
            <v>PA</v>
          </cell>
          <cell r="M669">
            <v>19490</v>
          </cell>
          <cell r="N669" t="str">
            <v>3205 Skippack Pike Worcester, PA 19490</v>
          </cell>
        </row>
        <row r="670">
          <cell r="G670">
            <v>418701</v>
          </cell>
          <cell r="H670" t="str">
            <v>Spring-Ford Inter Flex Bldg#2</v>
          </cell>
          <cell r="I670" t="str">
            <v>Royersford</v>
          </cell>
          <cell r="K670" t="str">
            <v>833 S Lewis Rd</v>
          </cell>
          <cell r="L670" t="str">
            <v>PA</v>
          </cell>
          <cell r="M670">
            <v>19468</v>
          </cell>
          <cell r="N670" t="str">
            <v>833 S Lewis Rd Royersford, PA 19468</v>
          </cell>
        </row>
        <row r="671">
          <cell r="G671">
            <v>469990</v>
          </cell>
          <cell r="H671" t="str">
            <v>MILLERSVILLE - GORDINIER HALL</v>
          </cell>
          <cell r="I671" t="str">
            <v>Millersville</v>
          </cell>
          <cell r="K671" t="str">
            <v>30 S George St</v>
          </cell>
          <cell r="L671" t="str">
            <v>PA</v>
          </cell>
          <cell r="M671">
            <v>17551</v>
          </cell>
          <cell r="N671" t="str">
            <v>30 S George St Millersville, PA 17551</v>
          </cell>
        </row>
        <row r="672">
          <cell r="G672">
            <v>417417</v>
          </cell>
          <cell r="H672" t="str">
            <v>Gunning Bedford Middle School</v>
          </cell>
          <cell r="I672" t="str">
            <v>New Castle</v>
          </cell>
          <cell r="K672" t="str">
            <v>801 Cox Neck Rd</v>
          </cell>
          <cell r="L672" t="str">
            <v>DE</v>
          </cell>
          <cell r="M672">
            <v>19720</v>
          </cell>
          <cell r="N672" t="str">
            <v>801 Cox Neck Rd New Castle, DE 19720</v>
          </cell>
        </row>
        <row r="673">
          <cell r="G673">
            <v>471881</v>
          </cell>
          <cell r="H673" t="str">
            <v>Millersville - McComsey Hall</v>
          </cell>
          <cell r="I673" t="str">
            <v>Millersville</v>
          </cell>
          <cell r="K673" t="str">
            <v>43 W Frederick St</v>
          </cell>
          <cell r="L673" t="str">
            <v>PA</v>
          </cell>
          <cell r="M673">
            <v>17551</v>
          </cell>
          <cell r="N673" t="str">
            <v>43 W Frederick St Millersville, PA 17551</v>
          </cell>
        </row>
        <row r="674">
          <cell r="G674">
            <v>417963</v>
          </cell>
          <cell r="H674" t="str">
            <v>Manor Elementary School</v>
          </cell>
          <cell r="I674" t="str">
            <v>Levittown</v>
          </cell>
          <cell r="K674" t="str">
            <v>401 Penn Valley Rd</v>
          </cell>
          <cell r="L674" t="str">
            <v>PA</v>
          </cell>
          <cell r="M674">
            <v>19054</v>
          </cell>
          <cell r="N674" t="str">
            <v>401 Penn Valley Rd Levittown, PA 19054</v>
          </cell>
        </row>
        <row r="675">
          <cell r="G675">
            <v>471877</v>
          </cell>
          <cell r="H675" t="str">
            <v>Millersville -McNairy Library</v>
          </cell>
          <cell r="I675" t="str">
            <v>Millersville</v>
          </cell>
          <cell r="K675" t="str">
            <v>9 North George Street</v>
          </cell>
          <cell r="L675" t="str">
            <v>PA</v>
          </cell>
          <cell r="M675">
            <v>17551</v>
          </cell>
          <cell r="N675" t="str">
            <v>9 North George Street Millersville, PA 17551</v>
          </cell>
        </row>
        <row r="676">
          <cell r="G676">
            <v>459978</v>
          </cell>
          <cell r="H676" t="str">
            <v>Work Space Property Trust L.P</v>
          </cell>
          <cell r="I676" t="str">
            <v>Horsham</v>
          </cell>
          <cell r="K676" t="str">
            <v>5 Walnut Grove Dr</v>
          </cell>
          <cell r="L676" t="str">
            <v>PA</v>
          </cell>
          <cell r="M676">
            <v>19044</v>
          </cell>
          <cell r="N676" t="str">
            <v>5 Walnut Grove Dr Horsham, PA 19044</v>
          </cell>
        </row>
        <row r="677">
          <cell r="G677">
            <v>454430</v>
          </cell>
          <cell r="H677" t="str">
            <v>OLEY VALLEY MIDDLE SCHOOL</v>
          </cell>
          <cell r="I677" t="str">
            <v>Oley</v>
          </cell>
          <cell r="K677" t="str">
            <v>3247 Friedensburg Rd</v>
          </cell>
          <cell r="L677" t="str">
            <v>PA</v>
          </cell>
          <cell r="M677">
            <v>19547</v>
          </cell>
          <cell r="N677" t="str">
            <v>3247 Friedensburg Rd Oley, PA 19547</v>
          </cell>
        </row>
        <row r="678">
          <cell r="G678">
            <v>241973</v>
          </cell>
          <cell r="H678" t="str">
            <v>STEPHENSON EQUIPMENT#</v>
          </cell>
          <cell r="I678" t="str">
            <v>Harrisburg</v>
          </cell>
          <cell r="K678" t="str">
            <v>7201 Paxton St</v>
          </cell>
          <cell r="L678" t="str">
            <v>PA</v>
          </cell>
          <cell r="M678">
            <v>17111</v>
          </cell>
          <cell r="N678" t="str">
            <v>7201 Paxton St Harrisburg, PA 17111</v>
          </cell>
        </row>
        <row r="679">
          <cell r="G679">
            <v>481123</v>
          </cell>
          <cell r="H679" t="str">
            <v>Barley Sheaf Elementary School</v>
          </cell>
          <cell r="I679" t="str">
            <v>Flemington</v>
          </cell>
          <cell r="K679" t="str">
            <v>80 Barley Sheaf Rd</v>
          </cell>
          <cell r="L679" t="str">
            <v>NJ</v>
          </cell>
          <cell r="M679">
            <v>8822</v>
          </cell>
          <cell r="N679" t="str">
            <v>80 Barley Sheaf Rd Flemington, NJ 08822</v>
          </cell>
        </row>
        <row r="680">
          <cell r="G680">
            <v>417957</v>
          </cell>
          <cell r="H680" t="str">
            <v>Makefield Elementary School</v>
          </cell>
          <cell r="I680" t="str">
            <v>Yardley</v>
          </cell>
          <cell r="K680" t="str">
            <v>1939 Makefield Rd</v>
          </cell>
          <cell r="L680" t="str">
            <v>PA</v>
          </cell>
          <cell r="M680">
            <v>19067</v>
          </cell>
          <cell r="N680" t="str">
            <v>1939 Makefield Rd Yardley, PA 19067</v>
          </cell>
        </row>
        <row r="681">
          <cell r="G681">
            <v>255873</v>
          </cell>
          <cell r="H681" t="str">
            <v>SELECT BUILDING SERVICES</v>
          </cell>
          <cell r="I681" t="str">
            <v>Lancaster</v>
          </cell>
          <cell r="K681" t="str">
            <v>202 W JAMES ST</v>
          </cell>
          <cell r="L681" t="str">
            <v>PA</v>
          </cell>
          <cell r="M681">
            <v>17603</v>
          </cell>
          <cell r="N681" t="str">
            <v>202 W JAMES ST Lancaster, PA 17603</v>
          </cell>
        </row>
        <row r="682">
          <cell r="G682">
            <v>464203</v>
          </cell>
          <cell r="H682" t="str">
            <v>LINGLESTOWN MIDDLE SCHOOL</v>
          </cell>
          <cell r="I682" t="str">
            <v>Harrisburg</v>
          </cell>
          <cell r="K682" t="str">
            <v>1200 N Mountain Rd</v>
          </cell>
          <cell r="L682" t="str">
            <v>PA</v>
          </cell>
          <cell r="M682">
            <v>17112</v>
          </cell>
          <cell r="N682" t="str">
            <v>1200 N Mountain Rd Harrisburg, PA 17112</v>
          </cell>
        </row>
        <row r="683">
          <cell r="G683">
            <v>417566</v>
          </cell>
          <cell r="H683" t="str">
            <v>Jack Devine c/o Radnor School</v>
          </cell>
          <cell r="I683" t="str">
            <v>Marlton</v>
          </cell>
          <cell r="J683" t="str">
            <v>Cherry Hill</v>
          </cell>
          <cell r="K683" t="str">
            <v>29 Old Republic Ln</v>
          </cell>
          <cell r="L683" t="str">
            <v>NJ</v>
          </cell>
          <cell r="M683">
            <v>8053</v>
          </cell>
          <cell r="N683" t="str">
            <v>29 Old Republic Ln Marlton, NJ 08053</v>
          </cell>
        </row>
        <row r="684">
          <cell r="G684">
            <v>240154</v>
          </cell>
          <cell r="H684" t="str">
            <v>BBS GROCERY OUTLET#</v>
          </cell>
          <cell r="I684" t="str">
            <v>Quarryville</v>
          </cell>
          <cell r="K684" t="str">
            <v>581 Camargo Rd</v>
          </cell>
          <cell r="L684" t="str">
            <v>PA</v>
          </cell>
          <cell r="M684">
            <v>17566</v>
          </cell>
          <cell r="N684" t="str">
            <v>581 Camargo Rd Quarryville, PA 17566</v>
          </cell>
        </row>
        <row r="685">
          <cell r="G685">
            <v>241677</v>
          </cell>
          <cell r="H685" t="str">
            <v>RUTTERS FARM STORES #35</v>
          </cell>
          <cell r="I685" t="str">
            <v>Etters</v>
          </cell>
          <cell r="K685" t="str">
            <v>1090 OLD TRAIL RD</v>
          </cell>
          <cell r="L685" t="str">
            <v>PA</v>
          </cell>
          <cell r="M685">
            <v>17319</v>
          </cell>
          <cell r="N685" t="str">
            <v>1090 OLD TRAIL RD Etters, PA 17319</v>
          </cell>
        </row>
        <row r="686">
          <cell r="G686">
            <v>415766</v>
          </cell>
          <cell r="H686" t="str">
            <v>THE WOMEN &amp; BABIES HOSPITAL</v>
          </cell>
          <cell r="I686" t="str">
            <v>Lancaster</v>
          </cell>
          <cell r="K686" t="str">
            <v>690 Good Dr</v>
          </cell>
          <cell r="L686" t="str">
            <v>PA</v>
          </cell>
          <cell r="M686">
            <v>17601</v>
          </cell>
          <cell r="N686" t="str">
            <v>690 Good Dr Lancaster, PA 17601</v>
          </cell>
        </row>
        <row r="687">
          <cell r="G687">
            <v>299033</v>
          </cell>
          <cell r="H687" t="str">
            <v>Kendall Electric</v>
          </cell>
          <cell r="I687" t="str">
            <v>CONSHOHOCKEN</v>
          </cell>
          <cell r="K687" t="str">
            <v>15 Colwell Ln</v>
          </cell>
          <cell r="L687" t="str">
            <v>PA</v>
          </cell>
          <cell r="M687">
            <v>19428</v>
          </cell>
          <cell r="N687" t="str">
            <v>15 Colwell Ln CONSHOHOCKEN, PA 19428</v>
          </cell>
        </row>
        <row r="688">
          <cell r="G688">
            <v>424469</v>
          </cell>
          <cell r="H688" t="str">
            <v>West Manheim Elementary School</v>
          </cell>
          <cell r="I688" t="str">
            <v>Hanover</v>
          </cell>
          <cell r="K688" t="str">
            <v>2000 Baltimore Pike</v>
          </cell>
          <cell r="L688" t="str">
            <v>PA</v>
          </cell>
          <cell r="M688">
            <v>17331</v>
          </cell>
          <cell r="N688" t="str">
            <v>2000 Baltimore Pike Hanover, PA 17331</v>
          </cell>
        </row>
        <row r="689">
          <cell r="G689">
            <v>467451</v>
          </cell>
          <cell r="H689" t="str">
            <v>Sellersville Elementary</v>
          </cell>
          <cell r="I689" t="str">
            <v>Sellersville</v>
          </cell>
          <cell r="K689" t="str">
            <v>122 W Ridge Ave</v>
          </cell>
          <cell r="L689" t="str">
            <v>PA</v>
          </cell>
          <cell r="M689">
            <v>18960</v>
          </cell>
          <cell r="N689" t="str">
            <v>122 W Ridge Ave Sellersville, PA 18960</v>
          </cell>
        </row>
        <row r="690">
          <cell r="G690">
            <v>304821</v>
          </cell>
          <cell r="H690" t="str">
            <v>Horsham Athletic Club LLC</v>
          </cell>
          <cell r="I690" t="str">
            <v>Horsham</v>
          </cell>
          <cell r="J690" t="str">
            <v>Philly Suburbs - North</v>
          </cell>
          <cell r="K690" t="str">
            <v>400 Horsham Rd</v>
          </cell>
          <cell r="L690" t="str">
            <v>PA</v>
          </cell>
          <cell r="M690">
            <v>19044</v>
          </cell>
          <cell r="N690" t="str">
            <v>400 Horsham Rd Horsham, PA 19044</v>
          </cell>
        </row>
        <row r="691">
          <cell r="G691">
            <v>323329</v>
          </cell>
          <cell r="H691" t="str">
            <v>CHRIST COMMUNITY CHURCH</v>
          </cell>
          <cell r="I691" t="str">
            <v>West Chester</v>
          </cell>
          <cell r="K691" t="str">
            <v>1190 Phoenixville Pike</v>
          </cell>
          <cell r="L691" t="str">
            <v>PA</v>
          </cell>
          <cell r="M691">
            <v>19380</v>
          </cell>
          <cell r="N691" t="str">
            <v>1190 Phoenixville Pike West Chester, PA 19380</v>
          </cell>
        </row>
        <row r="692">
          <cell r="G692">
            <v>244248</v>
          </cell>
          <cell r="H692" t="str">
            <v>The Easthill Grp dba The Eastw</v>
          </cell>
          <cell r="I692" t="str">
            <v>Pottstown</v>
          </cell>
          <cell r="K692" t="str">
            <v>263 Shoemaker Rd</v>
          </cell>
          <cell r="L692" t="str">
            <v>PA</v>
          </cell>
          <cell r="M692">
            <v>19464</v>
          </cell>
          <cell r="N692" t="str">
            <v>263 Shoemaker Rd Pottstown, PA 19464</v>
          </cell>
        </row>
        <row r="693">
          <cell r="G693">
            <v>471010</v>
          </cell>
          <cell r="H693" t="str">
            <v>KUTZTOWN ELEMENTARY</v>
          </cell>
          <cell r="I693" t="str">
            <v>Kutztown</v>
          </cell>
          <cell r="K693" t="str">
            <v>40 Normal Ave</v>
          </cell>
          <cell r="L693" t="str">
            <v>PA</v>
          </cell>
          <cell r="M693">
            <v>19530</v>
          </cell>
          <cell r="N693" t="str">
            <v>40 Normal Ave Kutztown, PA 19530</v>
          </cell>
        </row>
        <row r="694">
          <cell r="G694">
            <v>269078</v>
          </cell>
          <cell r="H694" t="str">
            <v>Tyler Professional Services</v>
          </cell>
          <cell r="I694" t="str">
            <v>Royersford</v>
          </cell>
          <cell r="K694" t="str">
            <v>174 Jordan Ct</v>
          </cell>
          <cell r="L694" t="str">
            <v>PA</v>
          </cell>
          <cell r="M694">
            <v>19468</v>
          </cell>
          <cell r="N694" t="str">
            <v>174 Jordan Ct Royersford, PA 19468</v>
          </cell>
        </row>
        <row r="695">
          <cell r="G695">
            <v>460766</v>
          </cell>
          <cell r="H695" t="str">
            <v>TruMark Financial</v>
          </cell>
          <cell r="I695" t="str">
            <v>Fort Washington</v>
          </cell>
          <cell r="K695" t="str">
            <v>335 Commerce Dr</v>
          </cell>
          <cell r="L695" t="str">
            <v>PA</v>
          </cell>
          <cell r="M695">
            <v>19034</v>
          </cell>
          <cell r="N695" t="str">
            <v>335 Commerce Dr Fort Washington, PA 19034</v>
          </cell>
        </row>
        <row r="696">
          <cell r="G696">
            <v>246395</v>
          </cell>
          <cell r="H696" t="str">
            <v>Tinius Olsen Testing Machine C</v>
          </cell>
          <cell r="I696" t="str">
            <v>Horsham</v>
          </cell>
          <cell r="J696" t="str">
            <v>Philly Suburbs - North</v>
          </cell>
          <cell r="K696" t="str">
            <v>1065 Easton Rd</v>
          </cell>
          <cell r="L696" t="str">
            <v>PA</v>
          </cell>
          <cell r="M696">
            <v>19044</v>
          </cell>
          <cell r="N696" t="str">
            <v>1065 Easton Rd Horsham, PA 19044</v>
          </cell>
        </row>
        <row r="697">
          <cell r="G697">
            <v>345026</v>
          </cell>
          <cell r="H697" t="str">
            <v>ONE &amp; TWO INDEPENDENCE PLACE</v>
          </cell>
          <cell r="I697" t="str">
            <v>Philadelphia</v>
          </cell>
          <cell r="K697" t="str">
            <v>241 S 6th St</v>
          </cell>
          <cell r="L697" t="str">
            <v>PA</v>
          </cell>
          <cell r="M697">
            <v>19106</v>
          </cell>
          <cell r="N697" t="str">
            <v>241 S 6th St Philadelphia, PA 19106</v>
          </cell>
        </row>
        <row r="698">
          <cell r="G698">
            <v>241839</v>
          </cell>
          <cell r="H698" t="str">
            <v>SMOKER &amp; COMPANY#</v>
          </cell>
          <cell r="I698" t="str">
            <v>Leola</v>
          </cell>
          <cell r="K698" t="str">
            <v>49 E Main St</v>
          </cell>
          <cell r="L698" t="str">
            <v>PA</v>
          </cell>
          <cell r="M698">
            <v>17540</v>
          </cell>
          <cell r="N698" t="str">
            <v>49 E Main St Leola, PA 17540</v>
          </cell>
        </row>
        <row r="699">
          <cell r="G699">
            <v>482719</v>
          </cell>
          <cell r="H699" t="str">
            <v>Queen of Angels Reg Cath Schoo</v>
          </cell>
          <cell r="I699" t="str">
            <v>WILLOW GROVE</v>
          </cell>
          <cell r="J699" t="str">
            <v>Philly Suburbs - North</v>
          </cell>
          <cell r="K699" t="str">
            <v>401 EASTON RD</v>
          </cell>
          <cell r="L699" t="str">
            <v>PA</v>
          </cell>
          <cell r="M699">
            <v>19090</v>
          </cell>
          <cell r="N699" t="str">
            <v>401 EASTON RD WILLOW GROVE, PA 19090</v>
          </cell>
        </row>
        <row r="700">
          <cell r="G700">
            <v>240847</v>
          </cell>
          <cell r="H700" t="str">
            <v>LEBANON VALLEY EXPO</v>
          </cell>
          <cell r="I700" t="str">
            <v>Lebanon</v>
          </cell>
          <cell r="K700" t="str">
            <v>80 Rocherty Rd</v>
          </cell>
          <cell r="L700" t="str">
            <v>PA</v>
          </cell>
          <cell r="M700">
            <v>17042</v>
          </cell>
          <cell r="N700" t="str">
            <v>80 Rocherty Rd Lebanon, PA 17042</v>
          </cell>
        </row>
        <row r="701">
          <cell r="G701">
            <v>464208</v>
          </cell>
          <cell r="H701" t="str">
            <v>MIDDLE PAXTON ELEMENTARY SCHOO</v>
          </cell>
          <cell r="I701" t="str">
            <v>Dauphin</v>
          </cell>
          <cell r="K701" t="str">
            <v>931 Peters Mountain Rd</v>
          </cell>
          <cell r="L701" t="str">
            <v>PA</v>
          </cell>
          <cell r="M701">
            <v>17018</v>
          </cell>
          <cell r="N701" t="str">
            <v>931 Peters Mountain Rd Dauphin, PA 17018</v>
          </cell>
        </row>
        <row r="702">
          <cell r="G702">
            <v>343008</v>
          </cell>
          <cell r="H702" t="str">
            <v>Stratford Friends School</v>
          </cell>
          <cell r="I702" t="str">
            <v>Newtown Square</v>
          </cell>
          <cell r="K702" t="str">
            <v>2 Bishop Hollow Rd</v>
          </cell>
          <cell r="L702" t="str">
            <v>PA</v>
          </cell>
          <cell r="M702">
            <v>19073</v>
          </cell>
          <cell r="N702" t="str">
            <v>2 Bishop Hollow Rd Newtown Square, PA 19073</v>
          </cell>
        </row>
        <row r="703">
          <cell r="G703">
            <v>310741</v>
          </cell>
          <cell r="H703" t="str">
            <v>RED CABOOSE MOTEL#</v>
          </cell>
          <cell r="I703" t="str">
            <v>Ronks</v>
          </cell>
          <cell r="K703" t="str">
            <v>312 Paradise Ln</v>
          </cell>
          <cell r="L703" t="str">
            <v>PA</v>
          </cell>
          <cell r="M703">
            <v>17572</v>
          </cell>
          <cell r="N703" t="str">
            <v>312 Paradise Ln Ronks, PA 17572</v>
          </cell>
        </row>
        <row r="704">
          <cell r="G704">
            <v>295270</v>
          </cell>
          <cell r="H704" t="str">
            <v>Dreamline</v>
          </cell>
          <cell r="I704" t="str">
            <v>Warminster</v>
          </cell>
          <cell r="J704" t="str">
            <v>Philly Suburbs - North</v>
          </cell>
          <cell r="K704" t="str">
            <v>75 Hawk Rd</v>
          </cell>
          <cell r="L704" t="str">
            <v>PA</v>
          </cell>
          <cell r="M704">
            <v>18974</v>
          </cell>
          <cell r="N704" t="str">
            <v>75 Hawk Rd Warminster, PA 18974</v>
          </cell>
        </row>
        <row r="705">
          <cell r="G705">
            <v>240798</v>
          </cell>
          <cell r="H705" t="str">
            <v>LANCASTER LEBANON IU 13</v>
          </cell>
          <cell r="I705" t="str">
            <v>Lancaster</v>
          </cell>
          <cell r="K705" t="str">
            <v>1020 New Holland Ave</v>
          </cell>
          <cell r="L705" t="str">
            <v>PA</v>
          </cell>
          <cell r="M705">
            <v>17601</v>
          </cell>
          <cell r="N705" t="str">
            <v>1020 New Holland Ave Lancaster, PA 17601</v>
          </cell>
        </row>
        <row r="706">
          <cell r="G706">
            <v>418972</v>
          </cell>
          <cell r="H706" t="str">
            <v>WALT DISNEY ELEMENTARY SCHOOL</v>
          </cell>
          <cell r="I706" t="str">
            <v>Levittown</v>
          </cell>
          <cell r="K706" t="str">
            <v>200 Lakeside Dr</v>
          </cell>
          <cell r="L706" t="str">
            <v>PA</v>
          </cell>
          <cell r="M706">
            <v>19054</v>
          </cell>
          <cell r="N706" t="str">
            <v>200 Lakeside Dr Levittown, PA 19054</v>
          </cell>
        </row>
        <row r="707">
          <cell r="G707">
            <v>241652</v>
          </cell>
          <cell r="H707" t="str">
            <v>RUTTERS FARM STORE #10</v>
          </cell>
          <cell r="I707" t="str">
            <v>York</v>
          </cell>
          <cell r="K707" t="str">
            <v>2115 BANNISTER ST</v>
          </cell>
          <cell r="L707" t="str">
            <v>PA</v>
          </cell>
          <cell r="M707">
            <v>17404</v>
          </cell>
          <cell r="N707" t="str">
            <v>2115 BANNISTER ST York, PA 17404</v>
          </cell>
        </row>
        <row r="708">
          <cell r="G708">
            <v>318760</v>
          </cell>
          <cell r="H708" t="str">
            <v>Chandler Hall</v>
          </cell>
          <cell r="I708" t="str">
            <v>Newtown</v>
          </cell>
          <cell r="K708" t="str">
            <v>99 BARCLAY ST</v>
          </cell>
          <cell r="L708" t="str">
            <v>PA</v>
          </cell>
          <cell r="M708">
            <v>18940</v>
          </cell>
          <cell r="N708" t="str">
            <v>99 BARCLAY ST Newtown, PA 18940</v>
          </cell>
        </row>
        <row r="709">
          <cell r="G709">
            <v>436840</v>
          </cell>
          <cell r="H709" t="str">
            <v>Lansdale Hospital</v>
          </cell>
          <cell r="I709" t="str">
            <v>Lansdale</v>
          </cell>
          <cell r="K709" t="str">
            <v>100 Medical Campus Dr</v>
          </cell>
          <cell r="L709" t="str">
            <v>PA</v>
          </cell>
          <cell r="M709">
            <v>19446</v>
          </cell>
          <cell r="N709" t="str">
            <v>100 Medical Campus Dr Lansdale, PA 19446</v>
          </cell>
        </row>
        <row r="710">
          <cell r="G710">
            <v>240826</v>
          </cell>
          <cell r="H710" t="str">
            <v>LAWN EQUIPMENT PARTS CO</v>
          </cell>
          <cell r="I710" t="str">
            <v>Marietta</v>
          </cell>
          <cell r="K710" t="str">
            <v>1475 River Rd</v>
          </cell>
          <cell r="L710" t="str">
            <v>PA</v>
          </cell>
          <cell r="M710">
            <v>17547</v>
          </cell>
          <cell r="N710" t="str">
            <v>1475 River Rd Marietta, PA 17547</v>
          </cell>
        </row>
        <row r="711">
          <cell r="G711">
            <v>452760</v>
          </cell>
          <cell r="H711" t="str">
            <v>HOGAN LEARNING ACADEMY</v>
          </cell>
          <cell r="I711" t="str">
            <v>Fleetwood</v>
          </cell>
          <cell r="K711" t="str">
            <v>73 Lyons Rd</v>
          </cell>
          <cell r="L711" t="str">
            <v>PA</v>
          </cell>
          <cell r="M711">
            <v>19522</v>
          </cell>
          <cell r="N711" t="str">
            <v>73 Lyons Rd Fleetwood, PA 19522</v>
          </cell>
        </row>
        <row r="712">
          <cell r="G712">
            <v>243143</v>
          </cell>
          <cell r="H712" t="str">
            <v>Cherry Hill Fire Department</v>
          </cell>
          <cell r="I712" t="str">
            <v>Cherry Hill</v>
          </cell>
          <cell r="J712" t="str">
            <v>Cherry Hill</v>
          </cell>
          <cell r="K712" t="str">
            <v>1100 Marlkress Rd</v>
          </cell>
          <cell r="L712" t="str">
            <v>NJ</v>
          </cell>
          <cell r="M712">
            <v>8003</v>
          </cell>
          <cell r="N712" t="str">
            <v>1100 Marlkress Rd Cherry Hill, NJ 08003</v>
          </cell>
        </row>
        <row r="713">
          <cell r="G713">
            <v>297316</v>
          </cell>
          <cell r="H713" t="str">
            <v>CALVARY CHURCH</v>
          </cell>
          <cell r="I713" t="str">
            <v>Souderton</v>
          </cell>
          <cell r="K713" t="str">
            <v>820 Route 113</v>
          </cell>
          <cell r="L713" t="str">
            <v>PA</v>
          </cell>
          <cell r="M713">
            <v>18964</v>
          </cell>
          <cell r="N713" t="str">
            <v>820 Route 113 Souderton, PA 18964</v>
          </cell>
        </row>
        <row r="714">
          <cell r="G714">
            <v>243051</v>
          </cell>
          <cell r="H714" t="str">
            <v>Bucks County Community College</v>
          </cell>
          <cell r="I714" t="str">
            <v>Newtown</v>
          </cell>
          <cell r="K714" t="str">
            <v>275 Swamp Rd</v>
          </cell>
          <cell r="L714" t="str">
            <v>PA</v>
          </cell>
          <cell r="M714">
            <v>18940</v>
          </cell>
          <cell r="N714" t="str">
            <v>275 Swamp Rd Newtown, PA 18940</v>
          </cell>
        </row>
        <row r="715">
          <cell r="G715">
            <v>295895</v>
          </cell>
          <cell r="H715" t="str">
            <v>AMERICAS AUTO AUCTION</v>
          </cell>
          <cell r="I715" t="str">
            <v>East Petersburg</v>
          </cell>
          <cell r="K715" t="str">
            <v>1040 Commercial Ave</v>
          </cell>
          <cell r="L715" t="str">
            <v>PA</v>
          </cell>
          <cell r="M715">
            <v>17520</v>
          </cell>
          <cell r="N715" t="str">
            <v>1040 Commercial Ave East Petersburg, PA 17520</v>
          </cell>
        </row>
        <row r="716">
          <cell r="G716">
            <v>293135</v>
          </cell>
          <cell r="H716" t="str">
            <v>Hardcourts Flooring Contractin</v>
          </cell>
          <cell r="I716" t="str">
            <v>Jamison</v>
          </cell>
          <cell r="K716" t="str">
            <v>107 Eagle Ct</v>
          </cell>
          <cell r="L716" t="str">
            <v>PA</v>
          </cell>
          <cell r="M716">
            <v>18929</v>
          </cell>
          <cell r="N716" t="str">
            <v>107 Eagle Ct Jamison, PA 18929</v>
          </cell>
        </row>
        <row r="717">
          <cell r="G717">
            <v>244451</v>
          </cell>
          <cell r="H717" t="str">
            <v>Absecon Public Schools</v>
          </cell>
          <cell r="I717" t="str">
            <v>Absecon</v>
          </cell>
          <cell r="J717" t="str">
            <v>Atlantic City</v>
          </cell>
          <cell r="K717" t="str">
            <v>800 Ireland Ave</v>
          </cell>
          <cell r="L717" t="str">
            <v>NJ</v>
          </cell>
          <cell r="M717">
            <v>8201</v>
          </cell>
          <cell r="N717" t="str">
            <v>800 Ireland Ave Absecon, NJ 08201</v>
          </cell>
        </row>
        <row r="718">
          <cell r="G718">
            <v>284104</v>
          </cell>
          <cell r="H718" t="str">
            <v>Multi Flow Industries L.P.</v>
          </cell>
          <cell r="I718" t="str">
            <v>Huntingdon Valley</v>
          </cell>
          <cell r="J718" t="str">
            <v>Philly Suburbs - North</v>
          </cell>
          <cell r="K718" t="str">
            <v>1434 County Line Rd</v>
          </cell>
          <cell r="L718" t="str">
            <v>PA</v>
          </cell>
          <cell r="M718">
            <v>19006</v>
          </cell>
          <cell r="N718" t="str">
            <v>1434 County Line Rd Huntingdon Valley, PA 19006</v>
          </cell>
        </row>
        <row r="719">
          <cell r="G719">
            <v>246526</v>
          </cell>
          <cell r="H719" t="str">
            <v>WESTMINSTER PRESBYTERIAN CHURC</v>
          </cell>
          <cell r="I719" t="str">
            <v>West Chester</v>
          </cell>
          <cell r="K719" t="str">
            <v>10 W Pleasant Grove Rd</v>
          </cell>
          <cell r="L719" t="str">
            <v>PA</v>
          </cell>
          <cell r="M719">
            <v>19382</v>
          </cell>
          <cell r="N719" t="str">
            <v>10 W Pleasant Grove Rd West Chester, PA 19382</v>
          </cell>
        </row>
        <row r="720">
          <cell r="G720">
            <v>321198</v>
          </cell>
          <cell r="H720" t="str">
            <v>Paramount SR Living at Maytown</v>
          </cell>
          <cell r="I720" t="str">
            <v>Maytown</v>
          </cell>
          <cell r="K720" t="str">
            <v>2760 Maytown Rd</v>
          </cell>
          <cell r="L720" t="str">
            <v>PA</v>
          </cell>
          <cell r="M720">
            <v>17550</v>
          </cell>
          <cell r="N720" t="str">
            <v>2760 Maytown Rd Maytown, PA 17550</v>
          </cell>
        </row>
        <row r="721">
          <cell r="G721">
            <v>243766</v>
          </cell>
          <cell r="H721" t="str">
            <v>Willert Manufacturing Co LLC</v>
          </cell>
          <cell r="I721" t="str">
            <v>Douglassville</v>
          </cell>
          <cell r="K721" t="str">
            <v>447 Old Swede Rd</v>
          </cell>
          <cell r="L721" t="str">
            <v>PA</v>
          </cell>
          <cell r="M721">
            <v>19518</v>
          </cell>
          <cell r="N721" t="str">
            <v>447 Old Swede Rd Douglassville, PA 19518</v>
          </cell>
        </row>
        <row r="722">
          <cell r="G722">
            <v>441976</v>
          </cell>
          <cell r="H722" t="str">
            <v>MIFFLIN COUNTY SCHOOL DISTRICT</v>
          </cell>
          <cell r="I722" t="str">
            <v>Lewistown</v>
          </cell>
          <cell r="J722" t="str">
            <v>Lewistown</v>
          </cell>
          <cell r="K722" t="str">
            <v>103 Green Ave</v>
          </cell>
          <cell r="L722" t="str">
            <v>PA</v>
          </cell>
          <cell r="M722">
            <v>17044</v>
          </cell>
          <cell r="N722" t="str">
            <v>103 Green Ave Lewistown, PA 17044</v>
          </cell>
        </row>
        <row r="723">
          <cell r="G723">
            <v>468567</v>
          </cell>
          <cell r="H723" t="str">
            <v>Abington Junior High School</v>
          </cell>
          <cell r="I723" t="str">
            <v>Abington</v>
          </cell>
          <cell r="J723" t="str">
            <v>Philly Suburbs - Lower</v>
          </cell>
          <cell r="K723" t="str">
            <v>900 Highland Ave</v>
          </cell>
          <cell r="L723" t="str">
            <v>PA</v>
          </cell>
          <cell r="M723">
            <v>19001</v>
          </cell>
          <cell r="N723" t="str">
            <v>900 Highland Ave Abington, PA 19001</v>
          </cell>
        </row>
        <row r="724">
          <cell r="G724">
            <v>464204</v>
          </cell>
          <cell r="H724" t="str">
            <v>SWATARA MIDDLE SCHOOL</v>
          </cell>
          <cell r="I724" t="str">
            <v>Steelton</v>
          </cell>
          <cell r="K724" t="str">
            <v>1101 Highland St</v>
          </cell>
          <cell r="L724" t="str">
            <v>PA</v>
          </cell>
          <cell r="M724">
            <v>17113</v>
          </cell>
          <cell r="N724" t="str">
            <v>1101 Highland St Steelton, PA 17113</v>
          </cell>
        </row>
        <row r="725">
          <cell r="G725">
            <v>321216</v>
          </cell>
          <cell r="H725" t="str">
            <v>The Bottom Line</v>
          </cell>
          <cell r="I725" t="str">
            <v>Allentown</v>
          </cell>
          <cell r="J725" t="str">
            <v>Allentown</v>
          </cell>
          <cell r="K725" t="str">
            <v>7220 Windsor Dr</v>
          </cell>
          <cell r="L725" t="str">
            <v>PA</v>
          </cell>
          <cell r="M725">
            <v>18106</v>
          </cell>
          <cell r="N725" t="str">
            <v>7220 Windsor Dr Allentown, PA 18106</v>
          </cell>
        </row>
        <row r="726">
          <cell r="G726">
            <v>415868</v>
          </cell>
          <cell r="H726" t="str">
            <v>WILSON HIGH SCHOOL</v>
          </cell>
          <cell r="I726" t="str">
            <v>West Lawn</v>
          </cell>
          <cell r="K726" t="str">
            <v>2601 Grandview Blvd</v>
          </cell>
          <cell r="L726" t="str">
            <v>PA</v>
          </cell>
          <cell r="M726">
            <v>19609</v>
          </cell>
          <cell r="N726" t="str">
            <v>2601 Grandview Blvd West Lawn, PA 19609</v>
          </cell>
        </row>
        <row r="727">
          <cell r="G727">
            <v>417970</v>
          </cell>
          <cell r="H727" t="str">
            <v>Maple Point Middle School</v>
          </cell>
          <cell r="I727" t="str">
            <v>Langhorne</v>
          </cell>
          <cell r="K727" t="str">
            <v>2250 Langhorne Yardley Rd</v>
          </cell>
          <cell r="L727" t="str">
            <v>PA</v>
          </cell>
          <cell r="M727">
            <v>19047</v>
          </cell>
          <cell r="N727" t="str">
            <v>2250 Langhorne Yardley Rd Langhorne, PA 19047</v>
          </cell>
        </row>
        <row r="728">
          <cell r="G728">
            <v>470951</v>
          </cell>
          <cell r="H728" t="str">
            <v>Frederick Living</v>
          </cell>
          <cell r="I728" t="str">
            <v>Zieglerville</v>
          </cell>
          <cell r="K728" t="str">
            <v>2849 Big Rd</v>
          </cell>
          <cell r="L728" t="str">
            <v>PA</v>
          </cell>
          <cell r="M728">
            <v>19492</v>
          </cell>
          <cell r="N728" t="str">
            <v>2849 Big Rd Zieglerville, PA 19492</v>
          </cell>
        </row>
        <row r="729">
          <cell r="G729">
            <v>418478</v>
          </cell>
          <cell r="H729" t="str">
            <v>Pottstown N. End Early Learnin</v>
          </cell>
          <cell r="I729" t="str">
            <v>Pottstown</v>
          </cell>
          <cell r="K729" t="str">
            <v>940 N Franklin St</v>
          </cell>
          <cell r="L729" t="str">
            <v>PA</v>
          </cell>
          <cell r="M729">
            <v>19464</v>
          </cell>
          <cell r="N729" t="str">
            <v>940 N Franklin St Pottstown, PA 19464</v>
          </cell>
        </row>
        <row r="730">
          <cell r="G730">
            <v>481103</v>
          </cell>
          <cell r="H730" t="str">
            <v>Robert Hunter Elementary</v>
          </cell>
          <cell r="I730" t="str">
            <v>Flemington</v>
          </cell>
          <cell r="K730" t="str">
            <v>8 Dayton Rd</v>
          </cell>
          <cell r="L730" t="str">
            <v>NJ</v>
          </cell>
          <cell r="M730">
            <v>8822</v>
          </cell>
          <cell r="N730" t="str">
            <v>8 Dayton Rd Flemington, NJ 08822</v>
          </cell>
        </row>
        <row r="731">
          <cell r="G731">
            <v>481877</v>
          </cell>
          <cell r="H731" t="str">
            <v>Donegal-DHS Food Service</v>
          </cell>
          <cell r="I731" t="str">
            <v>Mount Joy</v>
          </cell>
          <cell r="K731" t="str">
            <v>1025 Koser Rd</v>
          </cell>
          <cell r="L731" t="str">
            <v>PA</v>
          </cell>
          <cell r="M731">
            <v>17552</v>
          </cell>
          <cell r="N731" t="str">
            <v>1025 Koser Rd Mount Joy, PA 17552</v>
          </cell>
        </row>
        <row r="732">
          <cell r="G732">
            <v>240050</v>
          </cell>
          <cell r="H732" t="str">
            <v>FARM &amp; HOME CENTER#</v>
          </cell>
          <cell r="I732" t="str">
            <v>Lancaster</v>
          </cell>
          <cell r="K732" t="str">
            <v>1383 Arcadia Rd</v>
          </cell>
          <cell r="L732" t="str">
            <v>PA</v>
          </cell>
          <cell r="M732">
            <v>17601</v>
          </cell>
          <cell r="N732" t="str">
            <v>1383 Arcadia Rd Lancaster, PA 17601</v>
          </cell>
        </row>
        <row r="733">
          <cell r="G733">
            <v>464463</v>
          </cell>
          <cell r="H733" t="str">
            <v>ENGINEERED MATERIALS SOLUTIONS</v>
          </cell>
          <cell r="I733" t="str">
            <v>Hamburg</v>
          </cell>
          <cell r="K733" t="str">
            <v>600 Valley Rd</v>
          </cell>
          <cell r="L733" t="str">
            <v>PA</v>
          </cell>
          <cell r="M733">
            <v>19526</v>
          </cell>
          <cell r="N733" t="str">
            <v>600 Valley Rd Hamburg, PA 19526</v>
          </cell>
        </row>
        <row r="734">
          <cell r="G734">
            <v>470561</v>
          </cell>
          <cell r="H734" t="str">
            <v>ADAMSTOWN ELEMENTARY</v>
          </cell>
          <cell r="I734" t="str">
            <v>Adamstown</v>
          </cell>
          <cell r="J734" t="str">
            <v>Reading - SW</v>
          </cell>
          <cell r="K734" t="str">
            <v>256 W Main St</v>
          </cell>
          <cell r="L734" t="str">
            <v>PA</v>
          </cell>
          <cell r="M734">
            <v>19501</v>
          </cell>
          <cell r="N734" t="str">
            <v>256 W Main St Adamstown, PA 19501</v>
          </cell>
        </row>
        <row r="735">
          <cell r="G735">
            <v>320926</v>
          </cell>
          <cell r="H735" t="str">
            <v>Fox &amp; Roach Berkshire Hathaway</v>
          </cell>
          <cell r="I735" t="str">
            <v>Devon</v>
          </cell>
          <cell r="K735" t="str">
            <v>431 W Lancaster Ave</v>
          </cell>
          <cell r="L735" t="str">
            <v>PA</v>
          </cell>
          <cell r="M735">
            <v>19333</v>
          </cell>
          <cell r="N735" t="str">
            <v>431 W Lancaster Ave Devon, PA 19333</v>
          </cell>
        </row>
        <row r="736">
          <cell r="G736">
            <v>475017</v>
          </cell>
          <cell r="H736" t="str">
            <v>CHAMBERSBURG HOSPITAL</v>
          </cell>
          <cell r="I736" t="str">
            <v>Chambersburg</v>
          </cell>
          <cell r="K736" t="str">
            <v>112 N 7th ST - DOCK 2</v>
          </cell>
          <cell r="L736" t="str">
            <v>PA</v>
          </cell>
          <cell r="M736">
            <v>17201</v>
          </cell>
          <cell r="N736" t="str">
            <v>112 N 7th ST - DOCK 2 Chambersburg, PA 17201</v>
          </cell>
        </row>
        <row r="737">
          <cell r="G737">
            <v>442560</v>
          </cell>
          <cell r="H737" t="str">
            <v>Newtown Commons West Complex</v>
          </cell>
          <cell r="I737" t="str">
            <v>Newtown</v>
          </cell>
          <cell r="K737" t="str">
            <v>642 Newtown Yardley Rd</v>
          </cell>
          <cell r="L737" t="str">
            <v>PA</v>
          </cell>
          <cell r="M737">
            <v>18940</v>
          </cell>
          <cell r="N737" t="str">
            <v>642 Newtown Yardley Rd Newtown, PA 18940</v>
          </cell>
        </row>
        <row r="738">
          <cell r="G738">
            <v>472455</v>
          </cell>
          <cell r="H738" t="str">
            <v>FRED BEANS FORD OF BOYERTOWN</v>
          </cell>
          <cell r="I738" t="str">
            <v>Bechtelsville</v>
          </cell>
          <cell r="J738" t="str">
            <v>Perkiomenville</v>
          </cell>
          <cell r="K738" t="str">
            <v>525 N Route 100</v>
          </cell>
          <cell r="L738" t="str">
            <v>PA</v>
          </cell>
          <cell r="M738">
            <v>19505</v>
          </cell>
          <cell r="N738" t="str">
            <v>525 N Route 100 Bechtelsville, PA 19505</v>
          </cell>
        </row>
        <row r="739">
          <cell r="G739">
            <v>467002</v>
          </cell>
          <cell r="H739" t="str">
            <v>VALLEY VIEW ELEMENTARY</v>
          </cell>
          <cell r="I739" t="str">
            <v>York</v>
          </cell>
          <cell r="K739" t="str">
            <v>850 Southern Rd</v>
          </cell>
          <cell r="L739" t="str">
            <v>PA</v>
          </cell>
          <cell r="M739">
            <v>17403</v>
          </cell>
          <cell r="N739" t="str">
            <v>850 Southern Rd York, PA 17403</v>
          </cell>
        </row>
        <row r="740">
          <cell r="G740">
            <v>418262</v>
          </cell>
          <cell r="H740" t="str">
            <v>Warehouse - Palisades S.D.</v>
          </cell>
          <cell r="I740" t="str">
            <v>Kintnersville</v>
          </cell>
          <cell r="K740" t="str">
            <v>20 School Dr</v>
          </cell>
          <cell r="L740" t="str">
            <v>PA</v>
          </cell>
          <cell r="M740">
            <v>18930</v>
          </cell>
          <cell r="N740" t="str">
            <v>20 School Dr Kintnersville, PA 18930</v>
          </cell>
        </row>
        <row r="741">
          <cell r="G741">
            <v>467025</v>
          </cell>
          <cell r="H741" t="str">
            <v>YORK SUBURBAN HIGH SCHOOL</v>
          </cell>
          <cell r="I741" t="str">
            <v>York</v>
          </cell>
          <cell r="K741" t="str">
            <v>1800 Hollywood Dr</v>
          </cell>
          <cell r="L741" t="str">
            <v>PA</v>
          </cell>
          <cell r="M741">
            <v>17403</v>
          </cell>
          <cell r="N741" t="str">
            <v>1800 Hollywood Dr York, PA 17403</v>
          </cell>
        </row>
        <row r="742">
          <cell r="G742">
            <v>241675</v>
          </cell>
          <cell r="H742" t="str">
            <v>RUTTERS FARM STORES #32</v>
          </cell>
          <cell r="I742" t="str">
            <v>DALLASTOWN</v>
          </cell>
          <cell r="K742" t="str">
            <v>463 W Main St</v>
          </cell>
          <cell r="L742" t="str">
            <v>PA</v>
          </cell>
          <cell r="M742">
            <v>17313</v>
          </cell>
          <cell r="N742" t="str">
            <v>463 W Main St DALLASTOWN, PA 17313</v>
          </cell>
        </row>
        <row r="743">
          <cell r="G743">
            <v>419197</v>
          </cell>
          <cell r="H743" t="str">
            <v>Media Elementary School</v>
          </cell>
          <cell r="I743" t="str">
            <v>Media</v>
          </cell>
          <cell r="K743" t="str">
            <v>120 E Front St</v>
          </cell>
          <cell r="L743" t="str">
            <v>PA</v>
          </cell>
          <cell r="M743">
            <v>19063</v>
          </cell>
          <cell r="N743" t="str">
            <v>120 E Front St Media, PA 19063</v>
          </cell>
        </row>
        <row r="744">
          <cell r="G744">
            <v>437096</v>
          </cell>
          <cell r="H744" t="str">
            <v>Interstate - Renaissance Bldg.</v>
          </cell>
          <cell r="I744" t="str">
            <v>Wilmington</v>
          </cell>
          <cell r="K744" t="str">
            <v>405 N King St</v>
          </cell>
          <cell r="L744" t="str">
            <v>DE</v>
          </cell>
          <cell r="M744">
            <v>19801</v>
          </cell>
          <cell r="N744" t="str">
            <v>405 N King St Wilmington, DE 19801</v>
          </cell>
        </row>
        <row r="745">
          <cell r="G745">
            <v>241967</v>
          </cell>
          <cell r="H745" t="str">
            <v>FULTON STEAMBOAT INN</v>
          </cell>
          <cell r="I745" t="str">
            <v>Lancaster</v>
          </cell>
          <cell r="K745" t="str">
            <v>1 Hartman Bridge Rd</v>
          </cell>
          <cell r="L745" t="str">
            <v>PA</v>
          </cell>
          <cell r="M745">
            <v>17602</v>
          </cell>
          <cell r="N745" t="str">
            <v>1 Hartman Bridge Rd Lancaster, PA 17602</v>
          </cell>
        </row>
        <row r="746">
          <cell r="G746">
            <v>313232</v>
          </cell>
          <cell r="H746" t="str">
            <v>MEDICAL DEVICE &amp; IMPLANTS LLC#</v>
          </cell>
          <cell r="I746" t="str">
            <v>Lancaster</v>
          </cell>
          <cell r="K746" t="str">
            <v>1824 Colonial Village Ln</v>
          </cell>
          <cell r="L746" t="str">
            <v>PA</v>
          </cell>
          <cell r="M746">
            <v>17601</v>
          </cell>
          <cell r="N746" t="str">
            <v>1824 Colonial Village Ln Lancaster, PA 17601</v>
          </cell>
        </row>
        <row r="747">
          <cell r="G747">
            <v>343427</v>
          </cell>
          <cell r="H747" t="str">
            <v>Union League Liberty Hill</v>
          </cell>
          <cell r="I747" t="str">
            <v>Lafayette Hill</v>
          </cell>
          <cell r="K747" t="str">
            <v>800 Ridge Pike</v>
          </cell>
          <cell r="L747" t="str">
            <v>PA</v>
          </cell>
          <cell r="M747">
            <v>19444</v>
          </cell>
          <cell r="N747" t="str">
            <v>800 Ridge Pike Lafayette Hill, PA 19444</v>
          </cell>
        </row>
        <row r="748">
          <cell r="G748">
            <v>284678</v>
          </cell>
          <cell r="H748" t="str">
            <v>Holy Family Regional Catholic</v>
          </cell>
          <cell r="I748" t="str">
            <v>Levittown</v>
          </cell>
          <cell r="K748" t="str">
            <v>2477 Trenton Rd</v>
          </cell>
          <cell r="L748" t="str">
            <v>PA</v>
          </cell>
          <cell r="M748">
            <v>19056</v>
          </cell>
          <cell r="N748" t="str">
            <v>2477 Trenton Rd Levittown, PA 19056</v>
          </cell>
        </row>
        <row r="749">
          <cell r="G749">
            <v>482955</v>
          </cell>
          <cell r="H749" t="str">
            <v>CONEWAGO ELEMENTARY SCHOOL</v>
          </cell>
          <cell r="I749" t="str">
            <v>ELIZABETHTOWN</v>
          </cell>
          <cell r="K749" t="str">
            <v>2809 Hershey Rd</v>
          </cell>
          <cell r="L749" t="str">
            <v>PA</v>
          </cell>
          <cell r="M749">
            <v>17022</v>
          </cell>
          <cell r="N749" t="str">
            <v>2809 Hershey Rd ELIZABETHTOWN, PA 17022</v>
          </cell>
        </row>
        <row r="750">
          <cell r="G750">
            <v>469599</v>
          </cell>
          <cell r="H750" t="str">
            <v>TWIN VALLEY HIGH SCHOOL</v>
          </cell>
          <cell r="I750" t="str">
            <v>Elverson</v>
          </cell>
          <cell r="K750" t="str">
            <v>4897 N Twin Valley Rd</v>
          </cell>
          <cell r="L750" t="str">
            <v>PA</v>
          </cell>
          <cell r="M750">
            <v>19520</v>
          </cell>
          <cell r="N750" t="str">
            <v>4897 N Twin Valley Rd Elverson, PA 19520</v>
          </cell>
        </row>
        <row r="751">
          <cell r="G751">
            <v>241867</v>
          </cell>
          <cell r="H751" t="str">
            <v>SOUTHERN FULTON SCHOOL DISTRIC</v>
          </cell>
          <cell r="I751" t="str">
            <v>Warfordsburg</v>
          </cell>
          <cell r="K751" t="str">
            <v>13083 Buck Valley Rd</v>
          </cell>
          <cell r="L751" t="str">
            <v>PA</v>
          </cell>
          <cell r="M751">
            <v>17267</v>
          </cell>
          <cell r="N751" t="str">
            <v>13083 Buck Valley Rd Warfordsburg, PA 17267</v>
          </cell>
        </row>
        <row r="752">
          <cell r="G752">
            <v>448238</v>
          </cell>
          <cell r="H752" t="str">
            <v>LINCOLN CHRISTIAN HOME</v>
          </cell>
          <cell r="I752" t="str">
            <v>Ephrata</v>
          </cell>
          <cell r="K752" t="str">
            <v>1307 Apple St</v>
          </cell>
          <cell r="L752" t="str">
            <v>PA</v>
          </cell>
          <cell r="M752">
            <v>17522</v>
          </cell>
          <cell r="N752" t="str">
            <v>1307 Apple St Ephrata, PA 17522</v>
          </cell>
        </row>
        <row r="753">
          <cell r="G753">
            <v>479887</v>
          </cell>
          <cell r="H753" t="str">
            <v>Rossmoyne Elementary</v>
          </cell>
          <cell r="I753" t="str">
            <v>Mechanicsburg</v>
          </cell>
          <cell r="K753" t="str">
            <v>1225 Rossmoyne Rd</v>
          </cell>
          <cell r="L753" t="str">
            <v>PA</v>
          </cell>
          <cell r="M753">
            <v>17055</v>
          </cell>
          <cell r="N753" t="str">
            <v>1225 Rossmoyne Rd Mechanicsburg, PA 17055</v>
          </cell>
        </row>
        <row r="754">
          <cell r="G754">
            <v>416942</v>
          </cell>
          <cell r="H754" t="str">
            <v>Administration Building</v>
          </cell>
          <cell r="I754" t="str">
            <v>Odessa</v>
          </cell>
          <cell r="K754" t="str">
            <v>118 S 6th St</v>
          </cell>
          <cell r="L754" t="str">
            <v>DE</v>
          </cell>
          <cell r="M754">
            <v>19730</v>
          </cell>
          <cell r="N754" t="str">
            <v>118 S 6th St Odessa, DE 19730</v>
          </cell>
        </row>
        <row r="755">
          <cell r="G755">
            <v>439626</v>
          </cell>
          <cell r="H755" t="str">
            <v>VA MEDICAL CENTER WHSE REAR BL</v>
          </cell>
          <cell r="I755" t="str">
            <v>Lebanon</v>
          </cell>
          <cell r="K755" t="str">
            <v>1700 S Lincoln Ave</v>
          </cell>
          <cell r="L755" t="str">
            <v>PA</v>
          </cell>
          <cell r="M755">
            <v>17042</v>
          </cell>
          <cell r="N755" t="str">
            <v>1700 S Lincoln Ave Lebanon, PA 17042</v>
          </cell>
        </row>
        <row r="756">
          <cell r="G756">
            <v>483277</v>
          </cell>
          <cell r="H756" t="str">
            <v>The Chambers Group</v>
          </cell>
          <cell r="I756" t="str">
            <v>Malvern</v>
          </cell>
          <cell r="K756" t="str">
            <v>147 Pennsylvania Ave</v>
          </cell>
          <cell r="L756" t="str">
            <v>PA</v>
          </cell>
          <cell r="M756">
            <v>19355</v>
          </cell>
          <cell r="N756" t="str">
            <v>147 Pennsylvania Ave Malvern, PA 19355</v>
          </cell>
        </row>
        <row r="757">
          <cell r="G757">
            <v>241682</v>
          </cell>
          <cell r="H757" t="str">
            <v>RUTTERS FARM STORES #40</v>
          </cell>
          <cell r="I757" t="str">
            <v>Marietta</v>
          </cell>
          <cell r="K757" t="str">
            <v>1155 RIVER RD</v>
          </cell>
          <cell r="L757" t="str">
            <v>PA</v>
          </cell>
          <cell r="M757">
            <v>17547</v>
          </cell>
          <cell r="N757" t="str">
            <v>1155 RIVER RD Marietta, PA 17547</v>
          </cell>
        </row>
        <row r="758">
          <cell r="G758">
            <v>306637</v>
          </cell>
          <cell r="H758" t="str">
            <v>Biospectra Inc</v>
          </cell>
          <cell r="I758" t="str">
            <v>Bangor</v>
          </cell>
          <cell r="J758" t="str">
            <v>Poconos - South</v>
          </cell>
          <cell r="K758" t="str">
            <v>100 Majestic Way</v>
          </cell>
          <cell r="L758" t="str">
            <v>PA</v>
          </cell>
          <cell r="M758">
            <v>18013</v>
          </cell>
          <cell r="N758" t="str">
            <v>100 Majestic Way Bangor, PA 18013</v>
          </cell>
        </row>
        <row r="759">
          <cell r="G759">
            <v>447868</v>
          </cell>
          <cell r="H759" t="str">
            <v>JAMES BUCHANAN HIGH SCHOOL</v>
          </cell>
          <cell r="I759" t="str">
            <v>Mercersburg</v>
          </cell>
          <cell r="K759" t="str">
            <v>4773 Fort Loudon Rd</v>
          </cell>
          <cell r="L759" t="str">
            <v>PA</v>
          </cell>
          <cell r="M759">
            <v>17236</v>
          </cell>
          <cell r="N759" t="str">
            <v>4773 Fort Loudon Rd Mercersburg, PA 17236</v>
          </cell>
        </row>
        <row r="760">
          <cell r="G760">
            <v>345635</v>
          </cell>
          <cell r="H760" t="str">
            <v>BANGOR AREA SCHOOL DISTRICT</v>
          </cell>
          <cell r="I760" t="str">
            <v>Bangor</v>
          </cell>
          <cell r="J760" t="str">
            <v>Poconos - South</v>
          </cell>
          <cell r="K760" t="str">
            <v>123 Five Points Richmond Rd</v>
          </cell>
          <cell r="L760" t="str">
            <v>PA</v>
          </cell>
          <cell r="M760">
            <v>18013</v>
          </cell>
          <cell r="N760" t="str">
            <v>123 Five Points Richmond Rd Bangor, PA 18013</v>
          </cell>
        </row>
        <row r="761">
          <cell r="G761">
            <v>482816</v>
          </cell>
          <cell r="H761" t="str">
            <v>Bridgeton Christian School</v>
          </cell>
          <cell r="I761" t="str">
            <v>Bridgeton</v>
          </cell>
          <cell r="K761" t="str">
            <v>27 Central Ave</v>
          </cell>
          <cell r="L761" t="str">
            <v>NJ</v>
          </cell>
          <cell r="M761">
            <v>8302</v>
          </cell>
          <cell r="N761" t="str">
            <v>27 Central Ave Bridgeton, NJ 08302</v>
          </cell>
        </row>
        <row r="762">
          <cell r="G762">
            <v>445817</v>
          </cell>
          <cell r="H762" t="str">
            <v>East Derry Elementary School</v>
          </cell>
          <cell r="I762" t="str">
            <v>Lewistown</v>
          </cell>
          <cell r="J762" t="str">
            <v>Lewistown</v>
          </cell>
          <cell r="K762" t="str">
            <v>2316 Back Maitland Rd</v>
          </cell>
          <cell r="L762" t="str">
            <v>PA</v>
          </cell>
          <cell r="M762">
            <v>17044</v>
          </cell>
          <cell r="N762" t="str">
            <v>2316 Back Maitland Rd Lewistown, PA 17044</v>
          </cell>
        </row>
        <row r="763">
          <cell r="G763">
            <v>418324</v>
          </cell>
          <cell r="H763" t="str">
            <v>Village Park Elementary School</v>
          </cell>
          <cell r="I763" t="str">
            <v>Fairless Hills</v>
          </cell>
          <cell r="K763" t="str">
            <v>75 Unity Dr</v>
          </cell>
          <cell r="L763" t="str">
            <v>PA</v>
          </cell>
          <cell r="M763">
            <v>19030</v>
          </cell>
          <cell r="N763" t="str">
            <v>75 Unity Dr Fairless Hills, PA 19030</v>
          </cell>
        </row>
        <row r="764">
          <cell r="G764">
            <v>331272</v>
          </cell>
          <cell r="H764" t="str">
            <v>CC - The Grayson School</v>
          </cell>
          <cell r="I764" t="str">
            <v>Wayne</v>
          </cell>
          <cell r="K764" t="str">
            <v>211 W Matsonford Rd</v>
          </cell>
          <cell r="L764" t="str">
            <v>PA</v>
          </cell>
          <cell r="M764">
            <v>19087</v>
          </cell>
          <cell r="N764" t="str">
            <v>211 W Matsonford Rd Wayne, PA 19087</v>
          </cell>
        </row>
        <row r="765">
          <cell r="G765">
            <v>240906</v>
          </cell>
          <cell r="H765" t="str">
            <v>LITITZ SPRINGS PARK***</v>
          </cell>
          <cell r="I765" t="str">
            <v>Lititz</v>
          </cell>
          <cell r="K765" t="str">
            <v>18 N Broad St</v>
          </cell>
          <cell r="L765" t="str">
            <v>PA</v>
          </cell>
          <cell r="M765">
            <v>17543</v>
          </cell>
          <cell r="N765" t="str">
            <v>18 N Broad St Lititz, PA 17543</v>
          </cell>
        </row>
        <row r="766">
          <cell r="G766">
            <v>437873</v>
          </cell>
          <cell r="H766" t="str">
            <v>Berkeley Township Elementary S</v>
          </cell>
          <cell r="I766" t="str">
            <v>Bayville</v>
          </cell>
          <cell r="J766" t="str">
            <v>Jersey Shore - North</v>
          </cell>
          <cell r="K766" t="str">
            <v>10 Emory Ave</v>
          </cell>
          <cell r="L766" t="str">
            <v>NJ</v>
          </cell>
          <cell r="M766">
            <v>8721</v>
          </cell>
          <cell r="N766" t="str">
            <v>10 Emory Ave Bayville, NJ 08721</v>
          </cell>
        </row>
        <row r="767">
          <cell r="G767">
            <v>242720</v>
          </cell>
          <cell r="H767" t="str">
            <v>DAYBREAK CHURCH#</v>
          </cell>
          <cell r="I767" t="str">
            <v>Mechanicsburg</v>
          </cell>
          <cell r="K767" t="str">
            <v>321 Gettysburg Pike</v>
          </cell>
          <cell r="L767" t="str">
            <v>PA</v>
          </cell>
          <cell r="M767">
            <v>17055</v>
          </cell>
          <cell r="N767" t="str">
            <v>321 Gettysburg Pike Mechanicsburg, PA 17055</v>
          </cell>
        </row>
        <row r="768">
          <cell r="G768">
            <v>439956</v>
          </cell>
          <cell r="H768" t="str">
            <v>St Joseph Catholic School</v>
          </cell>
          <cell r="I768" t="str">
            <v>Downingtown</v>
          </cell>
          <cell r="K768" t="str">
            <v>340 Manor Ave</v>
          </cell>
          <cell r="L768" t="str">
            <v>PA</v>
          </cell>
          <cell r="M768">
            <v>19335</v>
          </cell>
          <cell r="N768" t="str">
            <v>340 Manor Ave Downingtown, PA 19335</v>
          </cell>
        </row>
        <row r="769">
          <cell r="G769">
            <v>465798</v>
          </cell>
          <cell r="H769" t="str">
            <v>SHIKELLAMY SCHOOL - WHSE/MAINT</v>
          </cell>
          <cell r="I769" t="str">
            <v>Sunbury</v>
          </cell>
          <cell r="K769" t="str">
            <v>600 Walnut St</v>
          </cell>
          <cell r="L769" t="str">
            <v>PA</v>
          </cell>
          <cell r="M769">
            <v>17801</v>
          </cell>
          <cell r="N769" t="str">
            <v>600 Walnut St Sunbury, PA 17801</v>
          </cell>
        </row>
        <row r="770">
          <cell r="G770">
            <v>281710</v>
          </cell>
          <cell r="H770" t="str">
            <v>Cranbury Township School Distr</v>
          </cell>
          <cell r="I770" t="str">
            <v>Cranbury</v>
          </cell>
          <cell r="K770" t="str">
            <v>23 N Main St</v>
          </cell>
          <cell r="L770" t="str">
            <v>NJ</v>
          </cell>
          <cell r="M770">
            <v>8512</v>
          </cell>
          <cell r="N770" t="str">
            <v>23 N Main St Cranbury, NJ 08512</v>
          </cell>
        </row>
        <row r="771">
          <cell r="G771">
            <v>300554</v>
          </cell>
          <cell r="H771" t="str">
            <v>Stone Hill Church of Princeton</v>
          </cell>
          <cell r="I771" t="str">
            <v>Princeton</v>
          </cell>
          <cell r="K771" t="str">
            <v>1025 Bunn Dr</v>
          </cell>
          <cell r="L771" t="str">
            <v>NJ</v>
          </cell>
          <cell r="M771">
            <v>8540</v>
          </cell>
          <cell r="N771" t="str">
            <v>1025 Bunn Dr Princeton, NJ 08540</v>
          </cell>
        </row>
        <row r="772">
          <cell r="G772">
            <v>318188</v>
          </cell>
          <cell r="H772" t="str">
            <v>MIFFLIN CTY ACADEMY SCIENCE &amp;</v>
          </cell>
          <cell r="I772" t="str">
            <v>Lewistown</v>
          </cell>
          <cell r="J772" t="str">
            <v>Lewistown</v>
          </cell>
          <cell r="K772" t="str">
            <v>700 Pitt St</v>
          </cell>
          <cell r="L772" t="str">
            <v>PA</v>
          </cell>
          <cell r="M772">
            <v>17044</v>
          </cell>
          <cell r="N772" t="str">
            <v>700 Pitt St Lewistown, PA 17044</v>
          </cell>
        </row>
        <row r="773">
          <cell r="G773">
            <v>419573</v>
          </cell>
          <cell r="H773" t="str">
            <v>K.D. Markley Elementary</v>
          </cell>
          <cell r="I773" t="str">
            <v>Malvern</v>
          </cell>
          <cell r="K773" t="str">
            <v>354 Swedesford Rd</v>
          </cell>
          <cell r="L773" t="str">
            <v>PA</v>
          </cell>
          <cell r="M773">
            <v>19355</v>
          </cell>
          <cell r="N773" t="str">
            <v>354 Swedesford Rd Malvern, PA 19355</v>
          </cell>
        </row>
        <row r="774">
          <cell r="G774">
            <v>429989</v>
          </cell>
          <cell r="H774" t="str">
            <v>CMCSSSD -Maintenance Dept</v>
          </cell>
          <cell r="I774" t="str">
            <v>Cape May Court House</v>
          </cell>
          <cell r="K774" t="str">
            <v>148 Crest Haven Rd</v>
          </cell>
          <cell r="L774" t="str">
            <v>NJ</v>
          </cell>
          <cell r="M774">
            <v>8210</v>
          </cell>
          <cell r="N774" t="str">
            <v>148 Crest Haven Rd Cape May Court House, NJ 08210</v>
          </cell>
        </row>
        <row r="775">
          <cell r="G775">
            <v>241974</v>
          </cell>
          <cell r="H775" t="str">
            <v>STEPS TO SUCCESS INC#</v>
          </cell>
          <cell r="I775" t="str">
            <v>Leola</v>
          </cell>
          <cell r="K775" t="str">
            <v>18 Quarry Rd</v>
          </cell>
          <cell r="L775" t="str">
            <v>PA</v>
          </cell>
          <cell r="M775">
            <v>17540</v>
          </cell>
          <cell r="N775" t="str">
            <v>18 Quarry Rd Leola, PA 17540</v>
          </cell>
        </row>
        <row r="776">
          <cell r="G776">
            <v>271965</v>
          </cell>
          <cell r="H776" t="str">
            <v>JOHN WRIGHT RESTAURANT</v>
          </cell>
          <cell r="I776" t="str">
            <v>Wrightsville</v>
          </cell>
          <cell r="K776" t="str">
            <v>234 N Front St</v>
          </cell>
          <cell r="L776" t="str">
            <v>PA</v>
          </cell>
          <cell r="M776">
            <v>17368</v>
          </cell>
          <cell r="N776" t="str">
            <v>234 N Front St Wrightsville, PA 17368</v>
          </cell>
        </row>
        <row r="777">
          <cell r="G777">
            <v>467831</v>
          </cell>
          <cell r="H777" t="str">
            <v>ENVIRONMENTAL - HARRISBURG EAS</v>
          </cell>
          <cell r="I777" t="str">
            <v>Harrisburg</v>
          </cell>
          <cell r="K777" t="str">
            <v>3501 Paxton St</v>
          </cell>
          <cell r="L777" t="str">
            <v>PA</v>
          </cell>
          <cell r="M777">
            <v>17111</v>
          </cell>
          <cell r="N777" t="str">
            <v>3501 Paxton St Harrisburg, PA 17111</v>
          </cell>
        </row>
        <row r="778">
          <cell r="G778">
            <v>431525</v>
          </cell>
          <cell r="H778" t="str">
            <v>DART CONTAINER</v>
          </cell>
          <cell r="I778" t="str">
            <v>Lancaster</v>
          </cell>
          <cell r="K778" t="str">
            <v>110 Pitney Rd</v>
          </cell>
          <cell r="L778" t="str">
            <v>PA</v>
          </cell>
          <cell r="M778">
            <v>17602</v>
          </cell>
          <cell r="N778" t="str">
            <v>110 Pitney Rd Lancaster, PA 17602</v>
          </cell>
        </row>
        <row r="779">
          <cell r="G779">
            <v>459998</v>
          </cell>
          <cell r="H779" t="str">
            <v>Work Space Property Trust L.P</v>
          </cell>
          <cell r="I779" t="str">
            <v>Horsham</v>
          </cell>
          <cell r="K779" t="str">
            <v>507 Prudential Rd</v>
          </cell>
          <cell r="L779" t="str">
            <v>PA</v>
          </cell>
          <cell r="M779">
            <v>19044</v>
          </cell>
          <cell r="N779" t="str">
            <v>507 Prudential Rd Horsham, PA 19044</v>
          </cell>
        </row>
        <row r="780">
          <cell r="G780">
            <v>415721</v>
          </cell>
          <cell r="H780" t="str">
            <v>SKH ROHRERSTOWN #31 Garden Cen</v>
          </cell>
          <cell r="I780" t="str">
            <v>Lancaster</v>
          </cell>
          <cell r="K780" t="str">
            <v>301 Rohrerstown Rd</v>
          </cell>
          <cell r="L780" t="str">
            <v>PA</v>
          </cell>
          <cell r="M780">
            <v>17603</v>
          </cell>
          <cell r="N780" t="str">
            <v>301 Rohrerstown Rd Lancaster, PA 17603</v>
          </cell>
        </row>
        <row r="781">
          <cell r="G781">
            <v>457581</v>
          </cell>
          <cell r="H781" t="str">
            <v>HR PHARMACEUTICALS INC</v>
          </cell>
          <cell r="I781" t="str">
            <v>York</v>
          </cell>
          <cell r="K781" t="str">
            <v>3630 Concord Rd</v>
          </cell>
          <cell r="L781" t="str">
            <v>PA</v>
          </cell>
          <cell r="M781">
            <v>17402</v>
          </cell>
          <cell r="N781" t="str">
            <v>3630 Concord Rd York, PA 17402</v>
          </cell>
        </row>
        <row r="782">
          <cell r="G782">
            <v>342744</v>
          </cell>
          <cell r="H782" t="str">
            <v>FLOORGUY SUPPLY LLC</v>
          </cell>
          <cell r="I782" t="str">
            <v>New Castle</v>
          </cell>
          <cell r="K782" t="str">
            <v>12 McCullough Drive, Suite 10</v>
          </cell>
          <cell r="L782" t="str">
            <v>DE</v>
          </cell>
          <cell r="M782">
            <v>19720</v>
          </cell>
          <cell r="N782" t="str">
            <v>12 McCullough Drive, Suite 10 New Castle, DE 19720</v>
          </cell>
        </row>
        <row r="783">
          <cell r="G783">
            <v>425399</v>
          </cell>
          <cell r="H783" t="str">
            <v>Park Hills Elementary School</v>
          </cell>
          <cell r="I783" t="str">
            <v>Hanover</v>
          </cell>
          <cell r="K783" t="str">
            <v>137 W Granger St</v>
          </cell>
          <cell r="L783" t="str">
            <v>PA</v>
          </cell>
          <cell r="M783">
            <v>17331</v>
          </cell>
          <cell r="N783" t="str">
            <v>137 W Granger St Hanover, PA 17331</v>
          </cell>
        </row>
        <row r="784">
          <cell r="G784">
            <v>242160</v>
          </cell>
          <cell r="H784" t="str">
            <v>TRINITY ECC</v>
          </cell>
          <cell r="I784" t="str">
            <v>Lititz</v>
          </cell>
          <cell r="K784" t="str">
            <v>44 E Orange St</v>
          </cell>
          <cell r="L784" t="str">
            <v>PA</v>
          </cell>
          <cell r="M784">
            <v>17543</v>
          </cell>
          <cell r="N784" t="str">
            <v>44 E Orange St Lititz, PA 17543</v>
          </cell>
        </row>
        <row r="785">
          <cell r="G785">
            <v>316212</v>
          </cell>
          <cell r="H785" t="str">
            <v>WITMANS CLEANING SERVICE LLC#</v>
          </cell>
          <cell r="I785" t="str">
            <v>Fleetwood</v>
          </cell>
          <cell r="K785" t="str">
            <v>205 Schweitz Rd</v>
          </cell>
          <cell r="L785" t="str">
            <v>PA</v>
          </cell>
          <cell r="M785">
            <v>19522</v>
          </cell>
          <cell r="N785" t="str">
            <v>205 Schweitz Rd Fleetwood, PA 19522</v>
          </cell>
        </row>
        <row r="786">
          <cell r="G786">
            <v>454453</v>
          </cell>
          <cell r="H786" t="str">
            <v>BLOOMSBURG HIGH SCHOOL</v>
          </cell>
          <cell r="I786" t="str">
            <v>Bloomsburg</v>
          </cell>
          <cell r="K786" t="str">
            <v>1200 Railroad St</v>
          </cell>
          <cell r="L786" t="str">
            <v>PA</v>
          </cell>
          <cell r="M786">
            <v>17815</v>
          </cell>
          <cell r="N786" t="str">
            <v>1200 Railroad St Bloomsburg, PA 17815</v>
          </cell>
        </row>
        <row r="787">
          <cell r="G787">
            <v>434339</v>
          </cell>
          <cell r="H787" t="str">
            <v>LAMPETER STRASBURG WAREHOUSE B</v>
          </cell>
          <cell r="I787" t="str">
            <v>Lancaster</v>
          </cell>
          <cell r="K787" t="str">
            <v>1600 Book Rd</v>
          </cell>
          <cell r="L787" t="str">
            <v>PA</v>
          </cell>
          <cell r="M787">
            <v>17602</v>
          </cell>
          <cell r="N787" t="str">
            <v>1600 Book Rd Lancaster, PA 17602</v>
          </cell>
        </row>
        <row r="788">
          <cell r="G788">
            <v>470562</v>
          </cell>
          <cell r="H788" t="str">
            <v>REAMSTOWN ELEMENTARY</v>
          </cell>
          <cell r="I788" t="str">
            <v>Reamstown</v>
          </cell>
          <cell r="K788" t="str">
            <v>44 S Reamstown Rd</v>
          </cell>
          <cell r="L788" t="str">
            <v>PA</v>
          </cell>
          <cell r="M788">
            <v>17567</v>
          </cell>
          <cell r="N788" t="str">
            <v>44 S Reamstown Rd Reamstown, PA 17567</v>
          </cell>
        </row>
        <row r="789">
          <cell r="G789">
            <v>455107</v>
          </cell>
          <cell r="H789" t="str">
            <v>ENVIRONMENTAL CLEANING</v>
          </cell>
          <cell r="I789" t="str">
            <v>Lebanon</v>
          </cell>
          <cell r="K789" t="str">
            <v>1490 S White Oak St</v>
          </cell>
          <cell r="L789" t="str">
            <v>PA</v>
          </cell>
          <cell r="M789">
            <v>17042</v>
          </cell>
          <cell r="N789" t="str">
            <v>1490 S White Oak St Lebanon, PA 17042</v>
          </cell>
        </row>
        <row r="790">
          <cell r="G790">
            <v>323231</v>
          </cell>
          <cell r="H790" t="str">
            <v>Rock Lititz Pod 2#</v>
          </cell>
          <cell r="I790" t="str">
            <v>Lititz</v>
          </cell>
          <cell r="K790" t="str">
            <v>201 Rock Lititz Blvd</v>
          </cell>
          <cell r="L790" t="str">
            <v>PA</v>
          </cell>
          <cell r="M790">
            <v>17543</v>
          </cell>
          <cell r="N790" t="str">
            <v>201 Rock Lititz Blvd Lititz, PA 17543</v>
          </cell>
        </row>
        <row r="791">
          <cell r="G791">
            <v>417278</v>
          </cell>
          <cell r="H791" t="str">
            <v>General Wayne Elementary Schoo</v>
          </cell>
          <cell r="I791" t="str">
            <v>Malvern</v>
          </cell>
          <cell r="K791" t="str">
            <v>20 Devon Rd</v>
          </cell>
          <cell r="L791" t="str">
            <v>PA</v>
          </cell>
          <cell r="M791">
            <v>19355</v>
          </cell>
          <cell r="N791" t="str">
            <v>20 Devon Rd Malvern, PA 19355</v>
          </cell>
        </row>
        <row r="792">
          <cell r="G792">
            <v>425362</v>
          </cell>
          <cell r="H792" t="str">
            <v>Dr. M.L. King School Complex</v>
          </cell>
          <cell r="I792" t="str">
            <v>Atlantic City</v>
          </cell>
          <cell r="J792" t="str">
            <v>Atlantic City</v>
          </cell>
          <cell r="K792" t="str">
            <v>1700 Marmora Ave</v>
          </cell>
          <cell r="L792" t="str">
            <v>NJ</v>
          </cell>
          <cell r="M792">
            <v>8401</v>
          </cell>
          <cell r="N792" t="str">
            <v>1700 Marmora Ave Atlantic City, NJ 08401</v>
          </cell>
        </row>
        <row r="793">
          <cell r="G793">
            <v>299233</v>
          </cell>
          <cell r="H793" t="str">
            <v>Pine Run Health Center</v>
          </cell>
          <cell r="I793" t="str">
            <v>Doylestown</v>
          </cell>
          <cell r="J793" t="str">
            <v>Philly Suburbs - North</v>
          </cell>
          <cell r="K793" t="str">
            <v>777 Ferry Rd</v>
          </cell>
          <cell r="L793" t="str">
            <v>PA</v>
          </cell>
          <cell r="M793">
            <v>18901</v>
          </cell>
          <cell r="N793" t="str">
            <v>777 Ferry Rd Doylestown, PA 18901</v>
          </cell>
        </row>
        <row r="794">
          <cell r="G794">
            <v>241250</v>
          </cell>
          <cell r="H794" t="str">
            <v>Mission Church Pennsylvania#</v>
          </cell>
          <cell r="I794" t="str">
            <v>Lancaster</v>
          </cell>
          <cell r="K794" t="str">
            <v>651 Lampeter Rd</v>
          </cell>
          <cell r="L794" t="str">
            <v>PA</v>
          </cell>
          <cell r="M794">
            <v>17602</v>
          </cell>
          <cell r="N794" t="str">
            <v>651 Lampeter Rd Lancaster, PA 17602</v>
          </cell>
        </row>
        <row r="795">
          <cell r="G795">
            <v>436939</v>
          </cell>
          <cell r="H795" t="str">
            <v>Carl O'Baker Community Center</v>
          </cell>
          <cell r="I795" t="str">
            <v>Cape May Court House</v>
          </cell>
          <cell r="K795" t="str">
            <v>626 Goshen Rd</v>
          </cell>
          <cell r="L795" t="str">
            <v>NJ</v>
          </cell>
          <cell r="M795">
            <v>8210</v>
          </cell>
          <cell r="N795" t="str">
            <v>626 Goshen Rd Cape May Court House, NJ 08210</v>
          </cell>
        </row>
        <row r="796">
          <cell r="G796">
            <v>344307</v>
          </cell>
          <cell r="H796" t="str">
            <v>St. Joseph St Robert School</v>
          </cell>
          <cell r="I796" t="str">
            <v>Warrington</v>
          </cell>
          <cell r="K796" t="str">
            <v>850 Euclid Ave</v>
          </cell>
          <cell r="L796" t="str">
            <v>PA</v>
          </cell>
          <cell r="M796">
            <v>18976</v>
          </cell>
          <cell r="N796" t="str">
            <v>850 Euclid Ave Warrington, PA 18976</v>
          </cell>
        </row>
        <row r="797">
          <cell r="G797">
            <v>423575</v>
          </cell>
          <cell r="H797" t="str">
            <v>Cumberland Regional High Schoo</v>
          </cell>
          <cell r="I797" t="str">
            <v>Bridgeton</v>
          </cell>
          <cell r="K797" t="str">
            <v>90 Silver Lake Rd</v>
          </cell>
          <cell r="L797" t="str">
            <v>NJ</v>
          </cell>
          <cell r="M797">
            <v>8302</v>
          </cell>
          <cell r="N797" t="str">
            <v>90 Silver Lake Rd Bridgeton, NJ 08302</v>
          </cell>
        </row>
        <row r="798">
          <cell r="G798">
            <v>459965</v>
          </cell>
          <cell r="H798" t="str">
            <v>Work Space Property Trust L.P</v>
          </cell>
          <cell r="I798" t="str">
            <v>Horsham</v>
          </cell>
          <cell r="K798" t="str">
            <v>110 Gibraltar Rd</v>
          </cell>
          <cell r="L798" t="str">
            <v>PA</v>
          </cell>
          <cell r="M798">
            <v>19044</v>
          </cell>
          <cell r="N798" t="str">
            <v>110 Gibraltar Rd Horsham, PA 19044</v>
          </cell>
        </row>
        <row r="799">
          <cell r="G799">
            <v>240814</v>
          </cell>
          <cell r="H799" t="str">
            <v>LANDIS HOMES RETIREMENTMED#</v>
          </cell>
          <cell r="I799" t="str">
            <v>Lititz</v>
          </cell>
          <cell r="K799" t="str">
            <v>1001 E Oregon Rd</v>
          </cell>
          <cell r="L799" t="str">
            <v>PA</v>
          </cell>
          <cell r="M799">
            <v>17543</v>
          </cell>
          <cell r="N799" t="str">
            <v>1001 E Oregon Rd Lititz, PA 17543</v>
          </cell>
        </row>
        <row r="800">
          <cell r="G800">
            <v>239535</v>
          </cell>
          <cell r="H800" t="str">
            <v>CHAPMAN FORD#</v>
          </cell>
          <cell r="I800" t="str">
            <v>Lancaster</v>
          </cell>
          <cell r="K800" t="str">
            <v>1485 Manheim Pike</v>
          </cell>
          <cell r="L800" t="str">
            <v>PA</v>
          </cell>
          <cell r="M800">
            <v>17601</v>
          </cell>
          <cell r="N800" t="str">
            <v>1485 Manheim Pike Lancaster, PA 17601</v>
          </cell>
        </row>
        <row r="801">
          <cell r="G801">
            <v>416794</v>
          </cell>
          <cell r="H801" t="str">
            <v>Fort Washington Elementary Sch</v>
          </cell>
          <cell r="I801" t="str">
            <v>Fort Washington</v>
          </cell>
          <cell r="K801" t="str">
            <v>1010 Fort Washington Ave</v>
          </cell>
          <cell r="L801" t="str">
            <v>PA</v>
          </cell>
          <cell r="M801">
            <v>19034</v>
          </cell>
          <cell r="N801" t="str">
            <v>1010 Fort Washington Ave Fort Washington, PA 19034</v>
          </cell>
        </row>
        <row r="802">
          <cell r="G802">
            <v>456118</v>
          </cell>
          <cell r="H802" t="str">
            <v>Teledyne Judson Technologies</v>
          </cell>
          <cell r="I802" t="str">
            <v>Montgomeryville</v>
          </cell>
          <cell r="K802" t="str">
            <v>221 Commerce Dr</v>
          </cell>
          <cell r="L802" t="str">
            <v>PA</v>
          </cell>
          <cell r="M802">
            <v>18936</v>
          </cell>
          <cell r="N802" t="str">
            <v>221 Commerce Dr Montgomeryville, PA 18936</v>
          </cell>
        </row>
        <row r="803">
          <cell r="G803">
            <v>272447</v>
          </cell>
          <cell r="H803" t="str">
            <v>Hill Top Preparatory School</v>
          </cell>
          <cell r="I803" t="str">
            <v>Bryn Mawr</v>
          </cell>
          <cell r="K803" t="str">
            <v>737 S Ithan Ave</v>
          </cell>
          <cell r="L803" t="str">
            <v>PA</v>
          </cell>
          <cell r="M803">
            <v>19010</v>
          </cell>
          <cell r="N803" t="str">
            <v>737 S Ithan Ave Bryn Mawr, PA 19010</v>
          </cell>
        </row>
        <row r="804">
          <cell r="G804">
            <v>482181</v>
          </cell>
          <cell r="H804" t="str">
            <v>EASTERN REGIONAL BOARD OF ED</v>
          </cell>
          <cell r="I804" t="str">
            <v>Voorhees</v>
          </cell>
          <cell r="J804" t="str">
            <v>Cherry Hill</v>
          </cell>
          <cell r="K804" t="str">
            <v>1202 Laurel Oak Rd Ste 201</v>
          </cell>
          <cell r="L804" t="str">
            <v>NJ</v>
          </cell>
          <cell r="M804">
            <v>8043</v>
          </cell>
          <cell r="N804" t="str">
            <v>1202 Laurel Oak Rd Ste 201 Voorhees, NJ 08043</v>
          </cell>
        </row>
        <row r="805">
          <cell r="G805">
            <v>416599</v>
          </cell>
          <cell r="H805" t="str">
            <v>COB - Neshaminy Manor Nursing</v>
          </cell>
          <cell r="I805" t="str">
            <v>Warrington</v>
          </cell>
          <cell r="K805" t="str">
            <v>1660 Easton Rd</v>
          </cell>
          <cell r="L805" t="str">
            <v>PA</v>
          </cell>
          <cell r="M805">
            <v>18976</v>
          </cell>
          <cell r="N805" t="str">
            <v>1660 Easton Rd Warrington, PA 18976</v>
          </cell>
        </row>
        <row r="806">
          <cell r="G806">
            <v>242373</v>
          </cell>
          <cell r="H806" t="str">
            <v>WEST SHORE SCHOOL DISTRICT</v>
          </cell>
          <cell r="I806" t="str">
            <v>New Cumberland</v>
          </cell>
          <cell r="K806" t="str">
            <v>507 Fishing Creek Rd</v>
          </cell>
          <cell r="L806" t="str">
            <v>PA</v>
          </cell>
          <cell r="M806">
            <v>17070</v>
          </cell>
          <cell r="N806" t="str">
            <v>507 Fishing Creek Rd New Cumberland, PA 17070</v>
          </cell>
        </row>
        <row r="807">
          <cell r="G807">
            <v>468366</v>
          </cell>
          <cell r="H807" t="str">
            <v>YORK ACADEMY CHARTER SCHOOL</v>
          </cell>
          <cell r="I807" t="str">
            <v>York</v>
          </cell>
          <cell r="K807" t="str">
            <v>2 Hamilton Ave</v>
          </cell>
          <cell r="L807" t="str">
            <v>PA</v>
          </cell>
          <cell r="M807">
            <v>17401</v>
          </cell>
          <cell r="N807" t="str">
            <v>2 Hamilton Ave York, PA 17401</v>
          </cell>
        </row>
        <row r="808">
          <cell r="G808">
            <v>480555</v>
          </cell>
          <cell r="H808" t="str">
            <v>BERKS CHRISTIAN SCHOOL</v>
          </cell>
          <cell r="I808" t="str">
            <v>Birdsboro</v>
          </cell>
          <cell r="K808" t="str">
            <v>926 Philadelphia Ter</v>
          </cell>
          <cell r="L808" t="str">
            <v>PA</v>
          </cell>
          <cell r="M808">
            <v>19508</v>
          </cell>
          <cell r="N808" t="str">
            <v>926 Philadelphia Ter Birdsboro, PA 19508</v>
          </cell>
        </row>
        <row r="809">
          <cell r="G809">
            <v>417401</v>
          </cell>
          <cell r="H809" t="str">
            <v>Great Valley High School</v>
          </cell>
          <cell r="I809" t="str">
            <v>Malvern</v>
          </cell>
          <cell r="K809" t="str">
            <v>225 Phoenixville Pike</v>
          </cell>
          <cell r="L809" t="str">
            <v>PA</v>
          </cell>
          <cell r="M809">
            <v>19355</v>
          </cell>
          <cell r="N809" t="str">
            <v>225 Phoenixville Pike Malvern, PA 19355</v>
          </cell>
        </row>
        <row r="810">
          <cell r="G810">
            <v>311144</v>
          </cell>
          <cell r="H810" t="str">
            <v>ABC123 Early Learning Center</v>
          </cell>
          <cell r="I810" t="str">
            <v>Phoenixville</v>
          </cell>
          <cell r="K810" t="str">
            <v>2280 KIMBERTON RD</v>
          </cell>
          <cell r="L810" t="str">
            <v>PA</v>
          </cell>
          <cell r="M810">
            <v>19460</v>
          </cell>
          <cell r="N810" t="str">
            <v>2280 KIMBERTON RD Phoenixville, PA 19460</v>
          </cell>
        </row>
        <row r="811">
          <cell r="G811">
            <v>308434</v>
          </cell>
          <cell r="H811" t="str">
            <v>St Eleanor Catholic Church</v>
          </cell>
          <cell r="I811" t="str">
            <v>Collegeville</v>
          </cell>
          <cell r="K811" t="str">
            <v>647 Locust St</v>
          </cell>
          <cell r="L811" t="str">
            <v>PA</v>
          </cell>
          <cell r="M811">
            <v>19426</v>
          </cell>
          <cell r="N811" t="str">
            <v>647 Locust St Collegeville, PA 19426</v>
          </cell>
        </row>
        <row r="812">
          <cell r="G812">
            <v>346494</v>
          </cell>
          <cell r="H812" t="str">
            <v>SIMPLY FROM SCRATCH</v>
          </cell>
          <cell r="I812" t="str">
            <v>Lancaster</v>
          </cell>
          <cell r="K812" t="str">
            <v>555 S Water St</v>
          </cell>
          <cell r="L812" t="str">
            <v>PA</v>
          </cell>
          <cell r="M812">
            <v>17603</v>
          </cell>
          <cell r="N812" t="str">
            <v>555 S Water St Lancaster, PA 17603</v>
          </cell>
        </row>
        <row r="813">
          <cell r="G813">
            <v>468100</v>
          </cell>
          <cell r="H813" t="str">
            <v>CHAMBERSBURG AREA SCHOOL DISTR</v>
          </cell>
          <cell r="I813" t="str">
            <v>Chambersburg</v>
          </cell>
          <cell r="K813" t="str">
            <v>721 S 6th St</v>
          </cell>
          <cell r="L813" t="str">
            <v>PA</v>
          </cell>
          <cell r="M813">
            <v>17201</v>
          </cell>
          <cell r="N813" t="str">
            <v>721 S 6th St Chambersburg, PA 17201</v>
          </cell>
        </row>
        <row r="814">
          <cell r="G814">
            <v>272530</v>
          </cell>
          <cell r="H814" t="str">
            <v>St Ephrem Church and School</v>
          </cell>
          <cell r="I814" t="str">
            <v>Bensalem</v>
          </cell>
          <cell r="J814" t="str">
            <v>Philly - NE</v>
          </cell>
          <cell r="K814" t="str">
            <v>5400 Hulmeville Rd</v>
          </cell>
          <cell r="L814" t="str">
            <v>PA</v>
          </cell>
          <cell r="M814">
            <v>19020</v>
          </cell>
          <cell r="N814" t="str">
            <v>5400 Hulmeville Rd Bensalem, PA 19020</v>
          </cell>
        </row>
        <row r="815">
          <cell r="G815">
            <v>302687</v>
          </cell>
          <cell r="H815" t="str">
            <v>Bishop McHugh Regional Catholi</v>
          </cell>
          <cell r="I815" t="str">
            <v>Cape May Court House</v>
          </cell>
          <cell r="K815" t="str">
            <v>2221 Route 9 N</v>
          </cell>
          <cell r="L815" t="str">
            <v>NJ</v>
          </cell>
          <cell r="M815">
            <v>8210</v>
          </cell>
          <cell r="N815" t="str">
            <v>2221 Route 9 N Cape May Court House, NJ 08210</v>
          </cell>
        </row>
        <row r="816">
          <cell r="G816">
            <v>246407</v>
          </cell>
          <cell r="H816" t="str">
            <v>Township of Doylestown</v>
          </cell>
          <cell r="I816" t="str">
            <v>Doylestown</v>
          </cell>
          <cell r="J816" t="str">
            <v>Philly Suburbs - North</v>
          </cell>
          <cell r="K816" t="str">
            <v>425 Wells Rd</v>
          </cell>
          <cell r="L816" t="str">
            <v>PA</v>
          </cell>
          <cell r="M816">
            <v>18901</v>
          </cell>
          <cell r="N816" t="str">
            <v>425 Wells Rd Doylestown, PA 18901</v>
          </cell>
        </row>
        <row r="817">
          <cell r="G817">
            <v>256362</v>
          </cell>
          <cell r="H817" t="str">
            <v>Stafford Township School Distr</v>
          </cell>
          <cell r="I817" t="str">
            <v>Manahawkin</v>
          </cell>
          <cell r="J817" t="str">
            <v>Jersey Shore - North</v>
          </cell>
          <cell r="K817" t="str">
            <v>250 N Main St</v>
          </cell>
          <cell r="L817" t="str">
            <v>NJ</v>
          </cell>
          <cell r="M817">
            <v>8050</v>
          </cell>
          <cell r="N817" t="str">
            <v>250 N Main St Manahawkin, NJ 08050</v>
          </cell>
        </row>
        <row r="818">
          <cell r="G818">
            <v>246051</v>
          </cell>
          <cell r="H818" t="str">
            <v>Pottstown School District</v>
          </cell>
          <cell r="I818" t="str">
            <v>Pottstown</v>
          </cell>
          <cell r="K818" t="str">
            <v>230 Beech St</v>
          </cell>
          <cell r="L818" t="str">
            <v>PA</v>
          </cell>
          <cell r="M818">
            <v>19464</v>
          </cell>
          <cell r="N818" t="str">
            <v>230 Beech St Pottstown, PA 19464</v>
          </cell>
        </row>
        <row r="819">
          <cell r="G819">
            <v>483389</v>
          </cell>
          <cell r="H819" t="str">
            <v>ELITE SPORTSWEAR</v>
          </cell>
          <cell r="I819" t="str">
            <v>Reading</v>
          </cell>
          <cell r="K819" t="str">
            <v>2525 N 12th St  # 9-12</v>
          </cell>
          <cell r="L819" t="str">
            <v>PA</v>
          </cell>
          <cell r="M819">
            <v>19605</v>
          </cell>
          <cell r="N819" t="str">
            <v>2525 N 12th St  # 9-12 Reading, PA 19605</v>
          </cell>
        </row>
        <row r="820">
          <cell r="G820">
            <v>471997</v>
          </cell>
          <cell r="H820" t="str">
            <v>Woodland Middle School</v>
          </cell>
          <cell r="I820" t="str">
            <v>Barrington</v>
          </cell>
          <cell r="J820" t="str">
            <v>Cherry Hill</v>
          </cell>
          <cell r="K820" t="str">
            <v>1 School Ln</v>
          </cell>
          <cell r="L820" t="str">
            <v>NJ</v>
          </cell>
          <cell r="M820">
            <v>8007</v>
          </cell>
          <cell r="N820" t="str">
            <v>1 School Ln Barrington, NJ 08007</v>
          </cell>
        </row>
        <row r="821">
          <cell r="G821">
            <v>469992</v>
          </cell>
          <cell r="H821" t="str">
            <v>MILLERSVILLE - SOUTH VILLAGE</v>
          </cell>
          <cell r="I821" t="str">
            <v>Millersville</v>
          </cell>
          <cell r="K821" t="str">
            <v>120 Centennial Dr</v>
          </cell>
          <cell r="L821" t="str">
            <v>PA</v>
          </cell>
          <cell r="M821">
            <v>17551</v>
          </cell>
          <cell r="N821" t="str">
            <v>120 Centennial Dr Millersville, PA 17551</v>
          </cell>
        </row>
        <row r="822">
          <cell r="G822">
            <v>479532</v>
          </cell>
          <cell r="H822" t="str">
            <v>Bermudian Springs High School</v>
          </cell>
          <cell r="I822" t="str">
            <v>York Springs</v>
          </cell>
          <cell r="K822" t="str">
            <v>7335 Carlisle Pike</v>
          </cell>
          <cell r="L822" t="str">
            <v>PA</v>
          </cell>
          <cell r="M822">
            <v>17372</v>
          </cell>
          <cell r="N822" t="str">
            <v>7335 Carlisle Pike York Springs, PA 17372</v>
          </cell>
        </row>
        <row r="823">
          <cell r="G823">
            <v>311031</v>
          </cell>
          <cell r="H823" t="str">
            <v>CC ST JOHNS UNITED CHURCH OF C</v>
          </cell>
          <cell r="I823" t="str">
            <v>Denver</v>
          </cell>
          <cell r="K823" t="str">
            <v>659 S 4th St</v>
          </cell>
          <cell r="L823" t="str">
            <v>PA</v>
          </cell>
          <cell r="M823">
            <v>17517</v>
          </cell>
          <cell r="N823" t="str">
            <v>659 S 4th St Denver, PA 17517</v>
          </cell>
        </row>
        <row r="824">
          <cell r="G824">
            <v>346162</v>
          </cell>
          <cell r="H824" t="str">
            <v>CK MANUFACTURING LLC</v>
          </cell>
          <cell r="I824" t="str">
            <v>Lancaster</v>
          </cell>
          <cell r="K824" t="str">
            <v>330 MILLWOOD RD</v>
          </cell>
          <cell r="L824" t="str">
            <v>PA</v>
          </cell>
          <cell r="M824">
            <v>17603</v>
          </cell>
          <cell r="N824" t="str">
            <v>330 MILLWOOD RD Lancaster, PA 17603</v>
          </cell>
        </row>
        <row r="825">
          <cell r="G825">
            <v>299566</v>
          </cell>
          <cell r="H825" t="str">
            <v>Royal Fitness</v>
          </cell>
          <cell r="I825" t="str">
            <v>Barrington</v>
          </cell>
          <cell r="J825" t="str">
            <v>Cherry Hill</v>
          </cell>
          <cell r="K825" t="str">
            <v>50 E Gloucester Pike</v>
          </cell>
          <cell r="L825" t="str">
            <v>NJ</v>
          </cell>
          <cell r="M825">
            <v>8007</v>
          </cell>
          <cell r="N825" t="str">
            <v>50 E Gloucester Pike Barrington, NJ 08007</v>
          </cell>
        </row>
        <row r="826">
          <cell r="G826">
            <v>483783</v>
          </cell>
          <cell r="H826" t="str">
            <v>ST GENEVIEVE CHURCH</v>
          </cell>
          <cell r="I826" t="str">
            <v>Flourtown</v>
          </cell>
          <cell r="K826" t="str">
            <v>1225 Bethlehem Pike</v>
          </cell>
          <cell r="L826" t="str">
            <v>PA</v>
          </cell>
          <cell r="M826">
            <v>19031</v>
          </cell>
          <cell r="N826" t="str">
            <v>1225 Bethlehem Pike Flourtown, PA 19031</v>
          </cell>
        </row>
        <row r="827">
          <cell r="G827">
            <v>471007</v>
          </cell>
          <cell r="H827" t="str">
            <v>MILLERSVILLE - WEST VILLAGE</v>
          </cell>
          <cell r="I827" t="str">
            <v>Millersville</v>
          </cell>
          <cell r="K827" t="str">
            <v>90 W Residence Hall Circle</v>
          </cell>
          <cell r="L827" t="str">
            <v>PA</v>
          </cell>
          <cell r="M827">
            <v>17551</v>
          </cell>
          <cell r="N827" t="str">
            <v>90 W Residence Hall Circle Millersville, PA 17551</v>
          </cell>
        </row>
        <row r="828">
          <cell r="G828">
            <v>468673</v>
          </cell>
          <cell r="H828" t="str">
            <v>EAST JUNIATA HIGH SCHOOL</v>
          </cell>
          <cell r="I828" t="str">
            <v>McAlisterville</v>
          </cell>
          <cell r="J828" t="str">
            <v>Lewistown</v>
          </cell>
          <cell r="K828" t="str">
            <v>32944 Route 35 N</v>
          </cell>
          <cell r="L828" t="str">
            <v>PA</v>
          </cell>
          <cell r="M828">
            <v>17049</v>
          </cell>
          <cell r="N828" t="str">
            <v>32944 Route 35 N McAlisterville, PA 17049</v>
          </cell>
        </row>
        <row r="829">
          <cell r="G829">
            <v>285279</v>
          </cell>
          <cell r="H829" t="str">
            <v>MIFFLIN COUNTY SCHOOL DISTRICT</v>
          </cell>
          <cell r="I829" t="str">
            <v>Lewistown</v>
          </cell>
          <cell r="J829" t="str">
            <v>Lewistown</v>
          </cell>
          <cell r="K829" t="str">
            <v>103 Green Ave</v>
          </cell>
          <cell r="L829" t="str">
            <v>PA</v>
          </cell>
          <cell r="M829">
            <v>17044</v>
          </cell>
          <cell r="N829" t="str">
            <v>103 Green Ave Lewistown, PA 17044</v>
          </cell>
        </row>
        <row r="830">
          <cell r="G830">
            <v>243426</v>
          </cell>
          <cell r="H830" t="str">
            <v>Faith Baptist Church-Fairless</v>
          </cell>
          <cell r="I830" t="str">
            <v>Fairless Hills</v>
          </cell>
          <cell r="K830" t="str">
            <v>1515 Wistar Rd</v>
          </cell>
          <cell r="L830" t="str">
            <v>PA</v>
          </cell>
          <cell r="M830">
            <v>19030</v>
          </cell>
          <cell r="N830" t="str">
            <v>1515 Wistar Rd Fairless Hills, PA 19030</v>
          </cell>
        </row>
        <row r="831">
          <cell r="G831">
            <v>418585</v>
          </cell>
          <cell r="H831" t="str">
            <v>Scott Middle School</v>
          </cell>
          <cell r="I831" t="str">
            <v>Coatesville</v>
          </cell>
          <cell r="K831" t="str">
            <v>800 Olive St</v>
          </cell>
          <cell r="L831" t="str">
            <v>PA</v>
          </cell>
          <cell r="M831">
            <v>19320</v>
          </cell>
          <cell r="N831" t="str">
            <v>800 Olive St Coatesville, PA 19320</v>
          </cell>
        </row>
        <row r="832">
          <cell r="G832">
            <v>483964</v>
          </cell>
          <cell r="H832" t="str">
            <v>JONESTOWN ELEMENTARY SCHOOL</v>
          </cell>
          <cell r="I832" t="str">
            <v>Jonestown</v>
          </cell>
          <cell r="K832" t="str">
            <v>135 S King St</v>
          </cell>
          <cell r="L832" t="str">
            <v>PA</v>
          </cell>
          <cell r="M832">
            <v>17038</v>
          </cell>
          <cell r="N832" t="str">
            <v>135 S King St Jonestown, PA 17038</v>
          </cell>
        </row>
        <row r="833">
          <cell r="G833">
            <v>430284</v>
          </cell>
          <cell r="H833" t="str">
            <v>Ren Centre LLC</v>
          </cell>
          <cell r="I833" t="str">
            <v>Wilmington</v>
          </cell>
          <cell r="K833" t="str">
            <v>405 N King St</v>
          </cell>
          <cell r="L833" t="str">
            <v>DE</v>
          </cell>
          <cell r="M833">
            <v>19801</v>
          </cell>
          <cell r="N833" t="str">
            <v>405 N King St Wilmington, DE 19801</v>
          </cell>
        </row>
        <row r="834">
          <cell r="G834">
            <v>415719</v>
          </cell>
          <cell r="H834" t="str">
            <v>SKH DELL CORPORATE LITITZ PIKE</v>
          </cell>
          <cell r="I834" t="str">
            <v>Lititz</v>
          </cell>
          <cell r="K834" t="str">
            <v>813 Lititz Pike</v>
          </cell>
          <cell r="L834" t="str">
            <v>PA</v>
          </cell>
          <cell r="M834">
            <v>17543</v>
          </cell>
          <cell r="N834" t="str">
            <v>813 Lititz Pike Lititz, PA 17543</v>
          </cell>
        </row>
        <row r="835">
          <cell r="G835">
            <v>266314</v>
          </cell>
          <cell r="H835" t="str">
            <v>Academy of Dover Charter Schoo</v>
          </cell>
          <cell r="I835" t="str">
            <v>Dover</v>
          </cell>
          <cell r="K835" t="str">
            <v>104 Saulsbury Rd</v>
          </cell>
          <cell r="L835" t="str">
            <v>DE</v>
          </cell>
          <cell r="M835">
            <v>19904</v>
          </cell>
          <cell r="N835" t="str">
            <v>104 Saulsbury Rd Dover, DE 19904</v>
          </cell>
        </row>
        <row r="836">
          <cell r="G836">
            <v>483520</v>
          </cell>
          <cell r="H836" t="str">
            <v>CA-ENVIRONMENTAL - York</v>
          </cell>
          <cell r="I836" t="str">
            <v>York</v>
          </cell>
          <cell r="K836" t="str">
            <v>2001 SPRINGWOOD RD</v>
          </cell>
          <cell r="L836" t="str">
            <v>PA</v>
          </cell>
          <cell r="M836">
            <v>17403</v>
          </cell>
          <cell r="N836" t="str">
            <v>2001 SPRINGWOOD RD York, PA 17403</v>
          </cell>
        </row>
        <row r="837">
          <cell r="G837">
            <v>279766</v>
          </cell>
          <cell r="H837" t="str">
            <v>East Stroudsburg Area School D</v>
          </cell>
          <cell r="I837" t="str">
            <v>East Stroudsburg</v>
          </cell>
          <cell r="K837" t="str">
            <v>50 Vine St</v>
          </cell>
          <cell r="L837" t="str">
            <v>PA</v>
          </cell>
          <cell r="M837">
            <v>18301</v>
          </cell>
          <cell r="N837" t="str">
            <v>50 Vine St East Stroudsburg, PA 18301</v>
          </cell>
        </row>
        <row r="838">
          <cell r="G838">
            <v>286415</v>
          </cell>
          <cell r="H838" t="str">
            <v>LEBANON VALLEY HOME#</v>
          </cell>
          <cell r="I838" t="str">
            <v>Annville</v>
          </cell>
          <cell r="J838" t="str">
            <v>Lebanon - West</v>
          </cell>
          <cell r="K838" t="str">
            <v>550 E Main St</v>
          </cell>
          <cell r="L838" t="str">
            <v>PA</v>
          </cell>
          <cell r="M838">
            <v>17003</v>
          </cell>
          <cell r="N838" t="str">
            <v>550 E Main St Annville, PA 17003</v>
          </cell>
        </row>
        <row r="839">
          <cell r="G839">
            <v>415765</v>
          </cell>
          <cell r="H839" t="str">
            <v>THE WHOLE CHILD LEARNING CENTE</v>
          </cell>
          <cell r="I839" t="str">
            <v>Elverson</v>
          </cell>
          <cell r="K839" t="str">
            <v>55 N Brick Ln</v>
          </cell>
          <cell r="L839" t="str">
            <v>PA</v>
          </cell>
          <cell r="M839">
            <v>19520</v>
          </cell>
          <cell r="N839" t="str">
            <v>55 N Brick Ln Elverson, PA 19520</v>
          </cell>
        </row>
        <row r="840">
          <cell r="G840">
            <v>471883</v>
          </cell>
          <cell r="H840" t="str">
            <v>Millserville - Stayer Hall</v>
          </cell>
          <cell r="I840" t="str">
            <v>Millersville</v>
          </cell>
          <cell r="K840" t="str">
            <v>51 Lyte Rd</v>
          </cell>
          <cell r="L840" t="str">
            <v>PA</v>
          </cell>
          <cell r="M840">
            <v>17551</v>
          </cell>
          <cell r="N840" t="str">
            <v>51 Lyte Rd Millersville, PA 17551</v>
          </cell>
        </row>
        <row r="841">
          <cell r="G841">
            <v>469218</v>
          </cell>
          <cell r="H841" t="str">
            <v>Bryn Mawr College</v>
          </cell>
          <cell r="I841" t="str">
            <v>Bryn Mawr</v>
          </cell>
          <cell r="K841" t="str">
            <v>101 N Merion Ave</v>
          </cell>
          <cell r="L841" t="str">
            <v>PA</v>
          </cell>
          <cell r="M841">
            <v>19010</v>
          </cell>
          <cell r="N841" t="str">
            <v>101 N Merion Ave Bryn Mawr, PA 19010</v>
          </cell>
        </row>
        <row r="842">
          <cell r="G842">
            <v>242391</v>
          </cell>
          <cell r="H842" t="str">
            <v>WHITE OAK MILLS#</v>
          </cell>
          <cell r="I842" t="str">
            <v>ELIZABETHTOWN</v>
          </cell>
          <cell r="K842" t="str">
            <v>419 W High St</v>
          </cell>
          <cell r="L842" t="str">
            <v>PA</v>
          </cell>
          <cell r="M842">
            <v>17022</v>
          </cell>
          <cell r="N842" t="str">
            <v>419 W High St ELIZABETHTOWN, PA 17022</v>
          </cell>
        </row>
        <row r="843">
          <cell r="G843">
            <v>483519</v>
          </cell>
          <cell r="H843" t="str">
            <v>CA-ENVIRONMENTAL - Harrisburg</v>
          </cell>
          <cell r="I843" t="str">
            <v>Harrisburg</v>
          </cell>
          <cell r="K843" t="str">
            <v>4405 Lewis Rd</v>
          </cell>
          <cell r="L843" t="str">
            <v>PA</v>
          </cell>
          <cell r="M843">
            <v>17111</v>
          </cell>
          <cell r="N843" t="str">
            <v>4405 Lewis Rd Harrisburg, PA 17111</v>
          </cell>
        </row>
        <row r="844">
          <cell r="G844">
            <v>479939</v>
          </cell>
          <cell r="H844" t="str">
            <v>MILLERSVILLE-VPAC Winter Visua</v>
          </cell>
          <cell r="I844" t="str">
            <v>Millersville</v>
          </cell>
          <cell r="K844" t="str">
            <v>60 W Cottage Ave</v>
          </cell>
          <cell r="L844" t="str">
            <v>PA</v>
          </cell>
          <cell r="M844">
            <v>17551</v>
          </cell>
          <cell r="N844" t="str">
            <v>60 W Cottage Ave Millersville, PA 17551</v>
          </cell>
        </row>
        <row r="845">
          <cell r="G845">
            <v>480252</v>
          </cell>
          <cell r="H845" t="str">
            <v>BioSpectra</v>
          </cell>
          <cell r="I845" t="str">
            <v>Bangor</v>
          </cell>
          <cell r="J845" t="str">
            <v>Poconos - South</v>
          </cell>
          <cell r="K845" t="str">
            <v>100 Majestic Way</v>
          </cell>
          <cell r="L845" t="str">
            <v>PA</v>
          </cell>
          <cell r="M845">
            <v>18013</v>
          </cell>
          <cell r="N845" t="str">
            <v>100 Majestic Way Bangor, PA 18013</v>
          </cell>
        </row>
        <row r="846">
          <cell r="G846">
            <v>241351</v>
          </cell>
          <cell r="H846" t="str">
            <v>EXCENTIA MED#</v>
          </cell>
          <cell r="I846" t="str">
            <v>Lancaster</v>
          </cell>
          <cell r="K846" t="str">
            <v>1810 Rohrerstown Rd</v>
          </cell>
          <cell r="L846" t="str">
            <v>PA</v>
          </cell>
          <cell r="M846">
            <v>17601</v>
          </cell>
          <cell r="N846" t="str">
            <v>1810 Rohrerstown Rd Lancaster, PA 17601</v>
          </cell>
        </row>
        <row r="847">
          <cell r="G847">
            <v>471167</v>
          </cell>
          <cell r="H847" t="str">
            <v>MANORVIEW LLC</v>
          </cell>
          <cell r="I847" t="str">
            <v>Lancaster</v>
          </cell>
          <cell r="K847" t="str">
            <v>832 Manor St</v>
          </cell>
          <cell r="L847" t="str">
            <v>PA</v>
          </cell>
          <cell r="M847">
            <v>17603</v>
          </cell>
          <cell r="N847" t="str">
            <v>832 Manor St Lancaster, PA 17603</v>
          </cell>
        </row>
        <row r="848">
          <cell r="G848">
            <v>241663</v>
          </cell>
          <cell r="H848" t="str">
            <v>RUTTERS FARM STORES #18</v>
          </cell>
          <cell r="I848" t="str">
            <v>York</v>
          </cell>
          <cell r="K848" t="str">
            <v>725 Arsenal Rd</v>
          </cell>
          <cell r="L848" t="str">
            <v>PA</v>
          </cell>
          <cell r="M848">
            <v>17406</v>
          </cell>
          <cell r="N848" t="str">
            <v>725 Arsenal Rd York, PA 17406</v>
          </cell>
        </row>
        <row r="849">
          <cell r="G849">
            <v>453501</v>
          </cell>
          <cell r="H849" t="str">
            <v>HOOVERVILLE ELEMENTARY SCHOOL</v>
          </cell>
          <cell r="I849" t="str">
            <v>Waynesboro</v>
          </cell>
          <cell r="K849" t="str">
            <v>10829 Buchanan Trl E</v>
          </cell>
          <cell r="L849" t="str">
            <v>PA</v>
          </cell>
          <cell r="M849">
            <v>17268</v>
          </cell>
          <cell r="N849" t="str">
            <v>10829 Buchanan Trl E Waynesboro, PA 17268</v>
          </cell>
        </row>
        <row r="850">
          <cell r="G850">
            <v>239591</v>
          </cell>
          <cell r="H850" t="str">
            <v>CITY OF YORK SCHOOL DISTRICT#</v>
          </cell>
          <cell r="I850" t="str">
            <v>York</v>
          </cell>
          <cell r="K850" t="str">
            <v>31 N Pershing Ave</v>
          </cell>
          <cell r="L850" t="str">
            <v>PA</v>
          </cell>
          <cell r="M850">
            <v>17401</v>
          </cell>
          <cell r="N850" t="str">
            <v>31 N Pershing Ave York, PA 17401</v>
          </cell>
        </row>
        <row r="851">
          <cell r="G851">
            <v>280526</v>
          </cell>
          <cell r="H851" t="str">
            <v>QUARRYVILLE PRESBYTERIAN-MED#</v>
          </cell>
          <cell r="I851" t="str">
            <v>Quarryville</v>
          </cell>
          <cell r="K851" t="str">
            <v>625 Robert Fulton Hwy</v>
          </cell>
          <cell r="L851" t="str">
            <v>PA</v>
          </cell>
          <cell r="M851">
            <v>17566</v>
          </cell>
          <cell r="N851" t="str">
            <v>625 Robert Fulton Hwy Quarryville, PA 17566</v>
          </cell>
        </row>
        <row r="852">
          <cell r="G852">
            <v>416544</v>
          </cell>
          <cell r="H852" t="str">
            <v>Calvin R. McCullough Middle Sc</v>
          </cell>
          <cell r="I852" t="str">
            <v>New Castle</v>
          </cell>
          <cell r="K852" t="str">
            <v>20 Chase Ave</v>
          </cell>
          <cell r="L852" t="str">
            <v>DE</v>
          </cell>
          <cell r="M852">
            <v>19720</v>
          </cell>
          <cell r="N852" t="str">
            <v>20 Chase Ave New Castle, DE 19720</v>
          </cell>
        </row>
        <row r="853">
          <cell r="G853">
            <v>345928</v>
          </cell>
          <cell r="H853" t="str">
            <v>Eastampton Township School Dis</v>
          </cell>
          <cell r="I853" t="str">
            <v>Eastampton</v>
          </cell>
          <cell r="J853" t="str">
            <v>Cherry Hill</v>
          </cell>
          <cell r="K853" t="str">
            <v>1 Student Drive</v>
          </cell>
          <cell r="L853" t="str">
            <v>NJ</v>
          </cell>
          <cell r="M853">
            <v>8060</v>
          </cell>
          <cell r="N853" t="str">
            <v>1 Student Drive Eastampton, NJ 08060</v>
          </cell>
        </row>
        <row r="854">
          <cell r="G854">
            <v>345296</v>
          </cell>
          <cell r="H854" t="str">
            <v>GABS Services LLC</v>
          </cell>
          <cell r="I854" t="str">
            <v>Carlisle</v>
          </cell>
          <cell r="K854" t="str">
            <v>460 Barnstable Rd</v>
          </cell>
          <cell r="L854" t="str">
            <v>PA</v>
          </cell>
          <cell r="M854">
            <v>17015</v>
          </cell>
          <cell r="N854" t="str">
            <v>460 Barnstable Rd Carlisle, PA 17015</v>
          </cell>
        </row>
        <row r="855">
          <cell r="G855">
            <v>418544</v>
          </cell>
          <cell r="H855" t="str">
            <v>St Michael the Archangel Schoo</v>
          </cell>
          <cell r="I855" t="str">
            <v>Levittown</v>
          </cell>
          <cell r="K855" t="str">
            <v>130 Levittown Pkwy</v>
          </cell>
          <cell r="L855" t="str">
            <v>PA</v>
          </cell>
          <cell r="M855">
            <v>19054</v>
          </cell>
          <cell r="N855" t="str">
            <v>130 Levittown Pkwy Levittown, PA 19054</v>
          </cell>
        </row>
        <row r="856">
          <cell r="G856">
            <v>240844</v>
          </cell>
          <cell r="H856" t="str">
            <v>LEBANON SCHOOL DISTRICT</v>
          </cell>
          <cell r="I856" t="str">
            <v>Lebanon</v>
          </cell>
          <cell r="K856" t="str">
            <v>1000 S 8th St</v>
          </cell>
          <cell r="L856" t="str">
            <v>PA</v>
          </cell>
          <cell r="M856">
            <v>17042</v>
          </cell>
          <cell r="N856" t="str">
            <v>1000 S 8th St Lebanon, PA 17042</v>
          </cell>
        </row>
        <row r="857">
          <cell r="G857">
            <v>245283</v>
          </cell>
          <cell r="H857" t="str">
            <v>Pinecrest Golf Club</v>
          </cell>
          <cell r="I857" t="str">
            <v>Lansdale</v>
          </cell>
          <cell r="K857" t="str">
            <v>101 Country Club Dr</v>
          </cell>
          <cell r="L857" t="str">
            <v>PA</v>
          </cell>
          <cell r="M857">
            <v>19446</v>
          </cell>
          <cell r="N857" t="str">
            <v>101 Country Club Dr Lansdale, PA 19446</v>
          </cell>
        </row>
        <row r="858">
          <cell r="G858">
            <v>418086</v>
          </cell>
          <cell r="H858" t="str">
            <v>Middle Township #4 Middle Scho</v>
          </cell>
          <cell r="I858" t="str">
            <v>Cape May Court House</v>
          </cell>
          <cell r="K858" t="str">
            <v>300 E Pacific Ave</v>
          </cell>
          <cell r="L858" t="str">
            <v>NJ</v>
          </cell>
          <cell r="M858">
            <v>8210</v>
          </cell>
          <cell r="N858" t="str">
            <v>300 E Pacific Ave Cape May Court House, NJ 08210</v>
          </cell>
        </row>
        <row r="859">
          <cell r="G859">
            <v>239941</v>
          </cell>
          <cell r="H859" t="str">
            <v>EASTERN LEBANON COUNTY SCHOOL</v>
          </cell>
          <cell r="I859" t="str">
            <v>Myerstown</v>
          </cell>
          <cell r="K859" t="str">
            <v>180 Elco Dr</v>
          </cell>
          <cell r="L859" t="str">
            <v>PA</v>
          </cell>
          <cell r="M859">
            <v>17067</v>
          </cell>
          <cell r="N859" t="str">
            <v>180 Elco Dr Myerstown, PA 17067</v>
          </cell>
        </row>
        <row r="860">
          <cell r="G860">
            <v>244171</v>
          </cell>
          <cell r="H860" t="str">
            <v>Northern Burlington Co Regiona</v>
          </cell>
          <cell r="I860" t="str">
            <v>Columbus</v>
          </cell>
          <cell r="J860" t="str">
            <v>Trenton - South</v>
          </cell>
          <cell r="K860" t="str">
            <v>160 Mansfield Rd E</v>
          </cell>
          <cell r="L860" t="str">
            <v>NJ</v>
          </cell>
          <cell r="M860">
            <v>8022</v>
          </cell>
          <cell r="N860" t="str">
            <v>160 Mansfield Rd E Columbus, NJ 08022</v>
          </cell>
        </row>
        <row r="861">
          <cell r="G861">
            <v>417325</v>
          </cell>
          <cell r="H861" t="str">
            <v>Herbert Hoover Elementary Scho</v>
          </cell>
          <cell r="I861" t="str">
            <v>Langhorne</v>
          </cell>
          <cell r="K861" t="str">
            <v>501 Trenton Rd</v>
          </cell>
          <cell r="L861" t="str">
            <v>PA</v>
          </cell>
          <cell r="M861">
            <v>19047</v>
          </cell>
          <cell r="N861" t="str">
            <v>501 Trenton Rd Langhorne, PA 19047</v>
          </cell>
        </row>
        <row r="862">
          <cell r="G862">
            <v>424856</v>
          </cell>
          <cell r="H862" t="str">
            <v>Sugartown Elementary School</v>
          </cell>
          <cell r="I862" t="str">
            <v>Malvern</v>
          </cell>
          <cell r="K862" t="str">
            <v>611 Sugartown Rd</v>
          </cell>
          <cell r="L862" t="str">
            <v>PA</v>
          </cell>
          <cell r="M862">
            <v>19355</v>
          </cell>
          <cell r="N862" t="str">
            <v>611 Sugartown Rd Malvern, PA 19355</v>
          </cell>
        </row>
        <row r="863">
          <cell r="G863">
            <v>269945</v>
          </cell>
          <cell r="H863" t="str">
            <v>Ciocca Volkswagon of Allentown</v>
          </cell>
          <cell r="I863" t="str">
            <v>Allentown</v>
          </cell>
          <cell r="J863" t="str">
            <v>Allentown</v>
          </cell>
          <cell r="K863" t="str">
            <v>1346 Lehigh St</v>
          </cell>
          <cell r="L863" t="str">
            <v>PA</v>
          </cell>
          <cell r="M863">
            <v>18103</v>
          </cell>
          <cell r="N863" t="str">
            <v>1346 Lehigh St Allentown, PA 18103</v>
          </cell>
        </row>
        <row r="864">
          <cell r="G864">
            <v>272805</v>
          </cell>
          <cell r="H864" t="str">
            <v>Allen M Hurst Jr Clean Sweep</v>
          </cell>
          <cell r="I864" t="str">
            <v>ELIZABETHTOWN</v>
          </cell>
          <cell r="K864" t="str">
            <v>2135 Ashwood Ln</v>
          </cell>
          <cell r="L864" t="str">
            <v>PA</v>
          </cell>
          <cell r="M864">
            <v>17022</v>
          </cell>
          <cell r="N864" t="str">
            <v>2135 Ashwood Ln ELIZABETHTOWN, PA 17022</v>
          </cell>
        </row>
        <row r="865">
          <cell r="G865">
            <v>483412</v>
          </cell>
          <cell r="H865" t="str">
            <v>CRUMBL COOKIES</v>
          </cell>
          <cell r="I865" t="str">
            <v>Quakertown</v>
          </cell>
          <cell r="K865" t="str">
            <v>42 N West End Blvd</v>
          </cell>
          <cell r="L865" t="str">
            <v>PA</v>
          </cell>
          <cell r="M865">
            <v>18951</v>
          </cell>
          <cell r="N865" t="str">
            <v>42 N West End Blvd Quakertown, PA 18951</v>
          </cell>
        </row>
        <row r="866">
          <cell r="G866">
            <v>301723</v>
          </cell>
          <cell r="H866" t="str">
            <v>SMALL WONDERS ACADEMY INC#</v>
          </cell>
          <cell r="I866" t="str">
            <v>Lititz</v>
          </cell>
          <cell r="K866" t="str">
            <v>3 Crosswinds Dr</v>
          </cell>
          <cell r="L866" t="str">
            <v>PA</v>
          </cell>
          <cell r="M866">
            <v>17543</v>
          </cell>
          <cell r="N866" t="str">
            <v>3 Crosswinds Dr Lititz, PA 17543</v>
          </cell>
        </row>
        <row r="867">
          <cell r="G867">
            <v>341596</v>
          </cell>
          <cell r="H867" t="str">
            <v>J &amp; T Commercial Cleaning Serv</v>
          </cell>
          <cell r="I867" t="str">
            <v>EXTON</v>
          </cell>
          <cell r="K867" t="str">
            <v>117 Lori Cir</v>
          </cell>
          <cell r="L867" t="str">
            <v>PA</v>
          </cell>
          <cell r="M867">
            <v>19341</v>
          </cell>
          <cell r="N867" t="str">
            <v>117 Lori Cir EXTON, PA 19341</v>
          </cell>
        </row>
        <row r="868">
          <cell r="G868">
            <v>302408</v>
          </cell>
          <cell r="H868" t="str">
            <v>ELSTONVILLE SPORTSMENS</v>
          </cell>
          <cell r="I868" t="str">
            <v>Manheim</v>
          </cell>
          <cell r="K868" t="str">
            <v>3133 PINCH RD</v>
          </cell>
          <cell r="L868" t="str">
            <v>PA</v>
          </cell>
          <cell r="M868">
            <v>17545</v>
          </cell>
          <cell r="N868" t="str">
            <v>3133 PINCH RD Manheim, PA 17545</v>
          </cell>
        </row>
        <row r="869">
          <cell r="G869">
            <v>483614</v>
          </cell>
          <cell r="H869" t="str">
            <v>Southern Fulton Elementary</v>
          </cell>
          <cell r="I869" t="str">
            <v>Warfordsburg</v>
          </cell>
          <cell r="K869" t="str">
            <v>3072 Great Cove Rd</v>
          </cell>
          <cell r="L869" t="str">
            <v>PA</v>
          </cell>
          <cell r="M869">
            <v>17267</v>
          </cell>
          <cell r="N869" t="str">
            <v>3072 Great Cove Rd Warfordsburg, PA 17267</v>
          </cell>
        </row>
        <row r="870">
          <cell r="G870">
            <v>344019</v>
          </cell>
          <cell r="H870" t="str">
            <v>Pope John Paul II Reg Elementa</v>
          </cell>
          <cell r="I870" t="str">
            <v>West Brandywine</v>
          </cell>
          <cell r="K870" t="str">
            <v>2875 Manor Rd</v>
          </cell>
          <cell r="L870" t="str">
            <v>PA</v>
          </cell>
          <cell r="M870">
            <v>19320</v>
          </cell>
          <cell r="N870" t="str">
            <v>2875 Manor Rd West Brandywine, PA 19320</v>
          </cell>
        </row>
        <row r="871">
          <cell r="G871">
            <v>255900</v>
          </cell>
          <cell r="H871" t="str">
            <v>MESSIAH UNITED METHODIST CHURC</v>
          </cell>
          <cell r="I871" t="str">
            <v>Shippensburg</v>
          </cell>
          <cell r="K871" t="str">
            <v>30 S Penn St</v>
          </cell>
          <cell r="L871" t="str">
            <v>PA</v>
          </cell>
          <cell r="M871">
            <v>17257</v>
          </cell>
          <cell r="N871" t="str">
            <v>30 S Penn St Shippensburg, PA 17257</v>
          </cell>
        </row>
        <row r="872">
          <cell r="G872">
            <v>415642</v>
          </cell>
          <cell r="H872" t="str">
            <v>PSSA</v>
          </cell>
          <cell r="I872" t="str">
            <v>Elysburg</v>
          </cell>
          <cell r="K872" t="str">
            <v>405 Monastery Rd</v>
          </cell>
          <cell r="L872" t="str">
            <v>PA</v>
          </cell>
          <cell r="M872">
            <v>17824</v>
          </cell>
          <cell r="N872" t="str">
            <v>405 Monastery Rd Elysburg, PA 17824</v>
          </cell>
        </row>
        <row r="873">
          <cell r="G873">
            <v>239896</v>
          </cell>
          <cell r="H873" t="str">
            <v>DUTCH APPLE DINNER THEATRE#</v>
          </cell>
          <cell r="I873" t="str">
            <v>Lancaster</v>
          </cell>
          <cell r="K873" t="str">
            <v>510 CENTERVILLE RD</v>
          </cell>
          <cell r="L873" t="str">
            <v>PA</v>
          </cell>
          <cell r="M873">
            <v>17601</v>
          </cell>
          <cell r="N873" t="str">
            <v>510 CENTERVILLE RD Lancaster, PA 17601</v>
          </cell>
        </row>
        <row r="874">
          <cell r="G874">
            <v>241671</v>
          </cell>
          <cell r="H874" t="str">
            <v>RUTTERS FARM STORES #28</v>
          </cell>
          <cell r="I874" t="str">
            <v>Red Lion</v>
          </cell>
          <cell r="K874" t="str">
            <v>301 N Main St</v>
          </cell>
          <cell r="L874" t="str">
            <v>PA</v>
          </cell>
          <cell r="M874">
            <v>17356</v>
          </cell>
          <cell r="N874" t="str">
            <v>301 N Main St Red Lion, PA 17356</v>
          </cell>
        </row>
        <row r="875">
          <cell r="G875">
            <v>301074</v>
          </cell>
          <cell r="H875" t="str">
            <v>Inline 309 Hockey</v>
          </cell>
          <cell r="I875" t="str">
            <v>Hatfield</v>
          </cell>
          <cell r="K875" t="str">
            <v>2117 Bethlehem Pike</v>
          </cell>
          <cell r="L875" t="str">
            <v>PA</v>
          </cell>
          <cell r="M875">
            <v>19440</v>
          </cell>
          <cell r="N875" t="str">
            <v>2117 Bethlehem Pike Hatfield, PA 19440</v>
          </cell>
        </row>
        <row r="876">
          <cell r="G876">
            <v>344300</v>
          </cell>
          <cell r="H876" t="str">
            <v>TRINITY LUTHERAN CHURCH</v>
          </cell>
          <cell r="I876" t="str">
            <v>NORRISTOWN</v>
          </cell>
          <cell r="K876" t="str">
            <v>1190 Valley Forge Rd</v>
          </cell>
          <cell r="L876" t="str">
            <v>PA</v>
          </cell>
          <cell r="M876">
            <v>19403</v>
          </cell>
          <cell r="N876" t="str">
            <v>1190 Valley Forge Rd NORRISTOWN, PA 19403</v>
          </cell>
        </row>
        <row r="877">
          <cell r="G877">
            <v>483698</v>
          </cell>
          <cell r="H877" t="str">
            <v>Northern Lebanon Elementary Sc</v>
          </cell>
          <cell r="I877" t="str">
            <v>Fredericksburg</v>
          </cell>
          <cell r="K877" t="str">
            <v>346 School Drive</v>
          </cell>
          <cell r="L877" t="str">
            <v>PA</v>
          </cell>
          <cell r="M877">
            <v>17026</v>
          </cell>
          <cell r="N877" t="str">
            <v>346 School Drive Fredericksburg, PA 17026</v>
          </cell>
        </row>
        <row r="878">
          <cell r="G878">
            <v>246514</v>
          </cell>
          <cell r="H878" t="str">
            <v>Warminster Township Parks &amp; Re</v>
          </cell>
          <cell r="I878" t="str">
            <v>Warminster</v>
          </cell>
          <cell r="K878" t="str">
            <v>1100 Veterans Way</v>
          </cell>
          <cell r="L878" t="str">
            <v>PA</v>
          </cell>
          <cell r="M878">
            <v>18974</v>
          </cell>
          <cell r="N878" t="str">
            <v>1100 Veterans Way Warminster, PA 18974</v>
          </cell>
        </row>
        <row r="879">
          <cell r="G879">
            <v>341011</v>
          </cell>
          <cell r="H879" t="str">
            <v>Mickey's Black Box</v>
          </cell>
          <cell r="I879" t="str">
            <v>Lititz</v>
          </cell>
          <cell r="K879" t="str">
            <v>101 Rock Lititz Blvd</v>
          </cell>
          <cell r="L879" t="str">
            <v>PA</v>
          </cell>
          <cell r="M879">
            <v>17543</v>
          </cell>
          <cell r="N879" t="str">
            <v>101 Rock Lititz Blvd Lititz, PA 17543</v>
          </cell>
        </row>
        <row r="880">
          <cell r="G880">
            <v>240499</v>
          </cell>
          <cell r="H880" t="str">
            <v>PAVLIKS CARPET CLEANING#</v>
          </cell>
          <cell r="I880" t="str">
            <v>Manheim</v>
          </cell>
          <cell r="K880" t="str">
            <v>863 Aarons Ln</v>
          </cell>
          <cell r="L880" t="str">
            <v>PA</v>
          </cell>
          <cell r="M880">
            <v>17545</v>
          </cell>
          <cell r="N880" t="str">
            <v>863 Aarons Ln Manheim, PA 17545</v>
          </cell>
        </row>
        <row r="881">
          <cell r="G881">
            <v>270002</v>
          </cell>
          <cell r="H881" t="str">
            <v>WARRIOR RUN SCHOOL DISTRICT</v>
          </cell>
          <cell r="I881" t="str">
            <v>Turbotville</v>
          </cell>
          <cell r="K881" t="str">
            <v>4800 Susquehanna Trl</v>
          </cell>
          <cell r="L881" t="str">
            <v>PA</v>
          </cell>
          <cell r="M881">
            <v>17772</v>
          </cell>
          <cell r="N881" t="str">
            <v>4800 Susquehanna Trl Turbotville, PA 17772</v>
          </cell>
        </row>
        <row r="882">
          <cell r="G882">
            <v>267487</v>
          </cell>
          <cell r="H882" t="str">
            <v>GOODS POTATO CHIPS</v>
          </cell>
          <cell r="I882" t="str">
            <v>Adamstown</v>
          </cell>
          <cell r="J882" t="str">
            <v>Reading - SW</v>
          </cell>
          <cell r="K882" t="str">
            <v>306 E Main St</v>
          </cell>
          <cell r="L882" t="str">
            <v>PA</v>
          </cell>
          <cell r="M882">
            <v>19501</v>
          </cell>
          <cell r="N882" t="str">
            <v>306 E Main St Adamstown, PA 19501</v>
          </cell>
        </row>
        <row r="883">
          <cell r="G883">
            <v>345959</v>
          </cell>
          <cell r="H883" t="str">
            <v>SCIENCE HISTORY INSTITUTE</v>
          </cell>
          <cell r="I883" t="str">
            <v>Philadelphia</v>
          </cell>
          <cell r="K883" t="str">
            <v>315 Chestnut St</v>
          </cell>
          <cell r="L883" t="str">
            <v>PA</v>
          </cell>
          <cell r="M883">
            <v>19106</v>
          </cell>
          <cell r="N883" t="str">
            <v>315 Chestnut St Philadelphia, PA 19106</v>
          </cell>
        </row>
        <row r="884">
          <cell r="G884">
            <v>324387</v>
          </cell>
          <cell r="H884" t="str">
            <v>YMCA WILKES BARRE</v>
          </cell>
          <cell r="I884" t="str">
            <v>Wilkes Barre</v>
          </cell>
          <cell r="K884" t="str">
            <v>40 W Northampton St</v>
          </cell>
          <cell r="L884" t="str">
            <v>PA</v>
          </cell>
          <cell r="M884">
            <v>18701</v>
          </cell>
          <cell r="N884" t="str">
            <v>40 W Northampton St Wilkes Barre, PA 18701</v>
          </cell>
        </row>
        <row r="885">
          <cell r="G885">
            <v>419023</v>
          </cell>
          <cell r="H885" t="str">
            <v>William Henry Middle School</v>
          </cell>
          <cell r="I885" t="str">
            <v>Dover</v>
          </cell>
          <cell r="K885" t="str">
            <v>65 Carver Rd</v>
          </cell>
          <cell r="L885" t="str">
            <v>DE</v>
          </cell>
          <cell r="M885">
            <v>19904</v>
          </cell>
          <cell r="N885" t="str">
            <v>65 Carver Rd Dover, DE 19904</v>
          </cell>
        </row>
        <row r="886">
          <cell r="G886">
            <v>317087</v>
          </cell>
          <cell r="H886" t="str">
            <v>JESSIS CLEANING SERVICE</v>
          </cell>
          <cell r="I886" t="str">
            <v>Lancaster</v>
          </cell>
          <cell r="K886" t="str">
            <v>1636 Santa Barbara Dr</v>
          </cell>
          <cell r="L886" t="str">
            <v>PA</v>
          </cell>
          <cell r="M886">
            <v>17601</v>
          </cell>
          <cell r="N886" t="str">
            <v>1636 Santa Barbara Dr Lancaster, PA 17601</v>
          </cell>
        </row>
        <row r="887">
          <cell r="G887">
            <v>483043</v>
          </cell>
          <cell r="H887" t="str">
            <v>Food Services-INTERMEDIATE SCH</v>
          </cell>
          <cell r="I887" t="str">
            <v>Shillington</v>
          </cell>
          <cell r="K887" t="str">
            <v>600 Governor Dr</v>
          </cell>
          <cell r="L887" t="str">
            <v>PA</v>
          </cell>
          <cell r="M887">
            <v>19607</v>
          </cell>
          <cell r="N887" t="str">
            <v>600 Governor Dr Shillington, PA 19607</v>
          </cell>
        </row>
        <row r="888">
          <cell r="G888">
            <v>239536</v>
          </cell>
          <cell r="H888" t="str">
            <v>CHAPMAN FORD LLC#</v>
          </cell>
          <cell r="I888" t="str">
            <v>Columbia</v>
          </cell>
          <cell r="K888" t="str">
            <v>3951 Columbia Ave</v>
          </cell>
          <cell r="L888" t="str">
            <v>PA</v>
          </cell>
          <cell r="M888">
            <v>17512</v>
          </cell>
          <cell r="N888" t="str">
            <v>3951 Columbia Ave Columbia, PA 17512</v>
          </cell>
        </row>
        <row r="889">
          <cell r="G889">
            <v>328336</v>
          </cell>
          <cell r="H889" t="str">
            <v>Hamilton Township School Dist</v>
          </cell>
          <cell r="I889" t="str">
            <v>Hamilton</v>
          </cell>
          <cell r="K889" t="str">
            <v>90 Park Ave</v>
          </cell>
          <cell r="L889" t="str">
            <v>NJ</v>
          </cell>
          <cell r="M889">
            <v>8690</v>
          </cell>
          <cell r="N889" t="str">
            <v>90 Park Ave Hamilton, NJ 08690</v>
          </cell>
        </row>
        <row r="890">
          <cell r="G890">
            <v>482476</v>
          </cell>
          <cell r="H890" t="str">
            <v>Churchman's Medical Assoc. Con</v>
          </cell>
          <cell r="I890" t="str">
            <v>Newark</v>
          </cell>
          <cell r="K890" t="str">
            <v>620 Churchmans Rd</v>
          </cell>
          <cell r="L890" t="str">
            <v>DE</v>
          </cell>
          <cell r="M890">
            <v>19702</v>
          </cell>
          <cell r="N890" t="str">
            <v>620 Churchmans Rd Newark, DE 19702</v>
          </cell>
        </row>
        <row r="891">
          <cell r="G891">
            <v>332617</v>
          </cell>
          <cell r="H891" t="str">
            <v>UMC At Collingswood</v>
          </cell>
          <cell r="I891" t="str">
            <v>Collingswood</v>
          </cell>
          <cell r="J891" t="str">
            <v>Camden</v>
          </cell>
          <cell r="K891" t="str">
            <v>460 Haddon Ave</v>
          </cell>
          <cell r="L891" t="str">
            <v>NJ</v>
          </cell>
          <cell r="M891">
            <v>8108</v>
          </cell>
          <cell r="N891" t="str">
            <v>460 Haddon Ave Collingswood, NJ 08108</v>
          </cell>
        </row>
        <row r="892">
          <cell r="G892">
            <v>243302</v>
          </cell>
          <cell r="H892" t="str">
            <v>Delanco Township Board of Educ</v>
          </cell>
          <cell r="I892" t="str">
            <v>Delanco</v>
          </cell>
          <cell r="J892" t="str">
            <v>Cherry Hill</v>
          </cell>
          <cell r="K892" t="str">
            <v>1301 Burlington Ave</v>
          </cell>
          <cell r="L892" t="str">
            <v>NJ</v>
          </cell>
          <cell r="M892">
            <v>8075</v>
          </cell>
          <cell r="N892" t="str">
            <v>1301 Burlington Ave Delanco, NJ 08075</v>
          </cell>
        </row>
        <row r="893">
          <cell r="G893">
            <v>470371</v>
          </cell>
          <cell r="H893" t="str">
            <v>JUNIATA ELEMENTARY SCHOOL</v>
          </cell>
          <cell r="I893" t="str">
            <v>Mifflintown</v>
          </cell>
          <cell r="J893" t="str">
            <v>Lewistown</v>
          </cell>
          <cell r="K893" t="str">
            <v>75 S 7th St</v>
          </cell>
          <cell r="L893" t="str">
            <v>PA</v>
          </cell>
          <cell r="M893">
            <v>17059</v>
          </cell>
          <cell r="N893" t="str">
            <v>75 S 7th St Mifflintown, PA 17059</v>
          </cell>
        </row>
        <row r="894">
          <cell r="G894">
            <v>446799</v>
          </cell>
          <cell r="H894" t="str">
            <v>MILLERSVILLE - WARE CENTER</v>
          </cell>
          <cell r="I894" t="str">
            <v>Lancaster</v>
          </cell>
          <cell r="K894" t="str">
            <v>42 N Prince St</v>
          </cell>
          <cell r="L894" t="str">
            <v>PA</v>
          </cell>
          <cell r="M894">
            <v>17603</v>
          </cell>
          <cell r="N894" t="str">
            <v>42 N Prince St Lancaster, PA 17603</v>
          </cell>
        </row>
        <row r="895">
          <cell r="G895">
            <v>297891</v>
          </cell>
          <cell r="H895" t="str">
            <v>ITP</v>
          </cell>
          <cell r="I895" t="str">
            <v>ELIZABETHTOWN</v>
          </cell>
          <cell r="K895" t="str">
            <v>200 S Chestnut St</v>
          </cell>
          <cell r="L895" t="str">
            <v>PA</v>
          </cell>
          <cell r="M895">
            <v>17022</v>
          </cell>
          <cell r="N895" t="str">
            <v>200 S Chestnut St ELIZABETHTOWN, PA 17022</v>
          </cell>
        </row>
        <row r="896">
          <cell r="G896">
            <v>241325</v>
          </cell>
          <cell r="H896" t="str">
            <v>OUR LADY OF LOURDES REGIONAL S</v>
          </cell>
          <cell r="I896" t="str">
            <v>Coal Township</v>
          </cell>
          <cell r="K896" t="str">
            <v>2001 Clinton Ave</v>
          </cell>
          <cell r="L896" t="str">
            <v>PA</v>
          </cell>
          <cell r="M896">
            <v>17866</v>
          </cell>
          <cell r="N896" t="str">
            <v>2001 Clinton Ave Coal Township, PA 17866</v>
          </cell>
        </row>
        <row r="897">
          <cell r="G897">
            <v>480178</v>
          </cell>
          <cell r="H897" t="str">
            <v>ATOMIC DESIGN INC#</v>
          </cell>
          <cell r="I897" t="str">
            <v>Lititz</v>
          </cell>
          <cell r="K897" t="str">
            <v>201 Rock Lititz Blvd</v>
          </cell>
          <cell r="L897" t="str">
            <v>PA</v>
          </cell>
          <cell r="M897">
            <v>17543</v>
          </cell>
          <cell r="N897" t="str">
            <v>201 Rock Lititz Blvd Lititz, PA 17543</v>
          </cell>
        </row>
        <row r="898">
          <cell r="G898">
            <v>418577</v>
          </cell>
          <cell r="H898" t="str">
            <v>School District Warehouse</v>
          </cell>
          <cell r="I898" t="str">
            <v>WILLOW GROVE</v>
          </cell>
          <cell r="J898" t="str">
            <v>Philly Suburbs - North</v>
          </cell>
          <cell r="K898" t="str">
            <v>2900 Terwood Rd</v>
          </cell>
          <cell r="L898" t="str">
            <v>PA</v>
          </cell>
          <cell r="M898">
            <v>19090</v>
          </cell>
          <cell r="N898" t="str">
            <v>2900 Terwood Rd WILLOW GROVE, PA 19090</v>
          </cell>
        </row>
        <row r="899">
          <cell r="G899">
            <v>241688</v>
          </cell>
          <cell r="H899" t="str">
            <v>RUTTERS FARM STORES #49</v>
          </cell>
          <cell r="I899" t="str">
            <v>York</v>
          </cell>
          <cell r="K899" t="str">
            <v>2345 CARLISLE RD</v>
          </cell>
          <cell r="L899" t="str">
            <v>PA</v>
          </cell>
          <cell r="M899">
            <v>17408</v>
          </cell>
          <cell r="N899" t="str">
            <v>2345 CARLISLE RD York, PA 17408</v>
          </cell>
        </row>
        <row r="900">
          <cell r="G900">
            <v>240755</v>
          </cell>
          <cell r="H900" t="str">
            <v>LANC MORAVIAN CHURCH#</v>
          </cell>
          <cell r="I900" t="str">
            <v>Lancaster</v>
          </cell>
          <cell r="K900" t="str">
            <v>227 N Queen St</v>
          </cell>
          <cell r="L900" t="str">
            <v>PA</v>
          </cell>
          <cell r="M900">
            <v>17603</v>
          </cell>
          <cell r="N900" t="str">
            <v>227 N Queen St Lancaster, PA 17603</v>
          </cell>
        </row>
        <row r="901">
          <cell r="G901">
            <v>418423</v>
          </cell>
          <cell r="H901" t="str">
            <v>PSEG - "Hope Creek Plant"</v>
          </cell>
          <cell r="I901" t="str">
            <v>Hancock's Bridge</v>
          </cell>
          <cell r="K901" t="str">
            <v>1 Alloway Creek Neck Rd</v>
          </cell>
          <cell r="L901" t="str">
            <v>NJ</v>
          </cell>
          <cell r="M901">
            <v>8038</v>
          </cell>
          <cell r="N901" t="str">
            <v>1 Alloway Creek Neck Rd Hancock's Bridge, NJ 08038</v>
          </cell>
        </row>
        <row r="902">
          <cell r="G902">
            <v>281065</v>
          </cell>
          <cell r="H902" t="str">
            <v>NEW COVENANT CHRISTIAN SCHOOL</v>
          </cell>
          <cell r="I902" t="str">
            <v>Lebanon</v>
          </cell>
          <cell r="K902" t="str">
            <v>452 Ebenezer Rd</v>
          </cell>
          <cell r="L902" t="str">
            <v>PA</v>
          </cell>
          <cell r="M902">
            <v>17046</v>
          </cell>
          <cell r="N902" t="str">
            <v>452 Ebenezer Rd Lebanon, PA 17046</v>
          </cell>
        </row>
        <row r="903">
          <cell r="G903">
            <v>472895</v>
          </cell>
          <cell r="H903" t="str">
            <v>Cantwell Bridge Middle School</v>
          </cell>
          <cell r="I903" t="str">
            <v>Townsend</v>
          </cell>
          <cell r="K903" t="str">
            <v>550 Tony Marchio Dr</v>
          </cell>
          <cell r="L903" t="str">
            <v>DE</v>
          </cell>
          <cell r="M903">
            <v>19734</v>
          </cell>
          <cell r="N903" t="str">
            <v>550 Tony Marchio Dr Townsend, DE 19734</v>
          </cell>
        </row>
        <row r="904">
          <cell r="G904">
            <v>241685</v>
          </cell>
          <cell r="H904" t="str">
            <v>RUTTERS FARM STORES #44</v>
          </cell>
          <cell r="I904" t="str">
            <v>Glen Rock</v>
          </cell>
          <cell r="K904" t="str">
            <v>6040 Steltz Rd</v>
          </cell>
          <cell r="L904" t="str">
            <v>PA</v>
          </cell>
          <cell r="M904">
            <v>17327</v>
          </cell>
          <cell r="N904" t="str">
            <v>6040 Steltz Rd Glen Rock, PA 17327</v>
          </cell>
        </row>
        <row r="905">
          <cell r="G905">
            <v>436260</v>
          </cell>
          <cell r="H905" t="str">
            <v>Kenneth G. Lilly Fasteners</v>
          </cell>
          <cell r="I905" t="str">
            <v>Newark</v>
          </cell>
          <cell r="K905" t="str">
            <v>855 Dawson Dr</v>
          </cell>
          <cell r="L905" t="str">
            <v>DE</v>
          </cell>
          <cell r="M905">
            <v>19713</v>
          </cell>
          <cell r="N905" t="str">
            <v>855 Dawson Dr Newark, DE 19713</v>
          </cell>
        </row>
        <row r="906">
          <cell r="G906">
            <v>239991</v>
          </cell>
          <cell r="H906" t="str">
            <v>Wellspan Ephrata Community Hos</v>
          </cell>
          <cell r="I906" t="str">
            <v>Ephrata</v>
          </cell>
          <cell r="K906" t="str">
            <v>169 Martin Ave</v>
          </cell>
          <cell r="L906" t="str">
            <v>PA</v>
          </cell>
          <cell r="M906">
            <v>17522</v>
          </cell>
          <cell r="N906" t="str">
            <v>169 Martin Ave Ephrata, PA 17522</v>
          </cell>
        </row>
        <row r="907">
          <cell r="G907">
            <v>241946</v>
          </cell>
          <cell r="H907" t="str">
            <v>St Peters Lutheran Church</v>
          </cell>
          <cell r="I907" t="str">
            <v>Lancaster</v>
          </cell>
          <cell r="K907" t="str">
            <v>10 Delp Rd</v>
          </cell>
          <cell r="L907" t="str">
            <v>PA</v>
          </cell>
          <cell r="M907">
            <v>17601</v>
          </cell>
          <cell r="N907" t="str">
            <v>10 Delp Rd Lancaster, PA 17601</v>
          </cell>
        </row>
        <row r="908">
          <cell r="G908">
            <v>279782</v>
          </cell>
          <cell r="H908" t="str">
            <v>Bethany Wesleyan Church</v>
          </cell>
          <cell r="I908" t="str">
            <v>Cherryville</v>
          </cell>
          <cell r="K908" t="str">
            <v>675 Blue Mountain Dr</v>
          </cell>
          <cell r="L908" t="str">
            <v>PA</v>
          </cell>
          <cell r="M908">
            <v>18035</v>
          </cell>
          <cell r="N908" t="str">
            <v>675 Blue Mountain Dr Cherryville, PA 18035</v>
          </cell>
        </row>
        <row r="909">
          <cell r="G909">
            <v>480676</v>
          </cell>
          <cell r="H909" t="str">
            <v>Euro Opric Ltd.</v>
          </cell>
          <cell r="I909" t="str">
            <v>Muncy</v>
          </cell>
          <cell r="K909" t="str">
            <v>1203 Lycoming Mall Circle</v>
          </cell>
          <cell r="L909" t="str">
            <v>PA</v>
          </cell>
          <cell r="M909">
            <v>17756</v>
          </cell>
          <cell r="N909" t="str">
            <v>1203 Lycoming Mall Circle Muncy, PA 17756</v>
          </cell>
        </row>
        <row r="910">
          <cell r="G910">
            <v>345262</v>
          </cell>
          <cell r="H910" t="str">
            <v>Hudson's Cleaning</v>
          </cell>
          <cell r="I910" t="str">
            <v>MIDDLETOWN</v>
          </cell>
          <cell r="K910" t="str">
            <v>4200 Summit Bridge Rd</v>
          </cell>
          <cell r="L910" t="str">
            <v>DE</v>
          </cell>
          <cell r="M910">
            <v>19709</v>
          </cell>
          <cell r="N910" t="str">
            <v>4200 Summit Bridge Rd MIDDLETOWN, DE 19709</v>
          </cell>
        </row>
        <row r="911">
          <cell r="G911">
            <v>474992</v>
          </cell>
          <cell r="H911" t="str">
            <v>Ciocca Audi Allentown</v>
          </cell>
          <cell r="I911" t="str">
            <v>Allentown</v>
          </cell>
          <cell r="J911" t="str">
            <v>Allentown</v>
          </cell>
          <cell r="K911" t="str">
            <v>4725 Hamilton Blvd</v>
          </cell>
          <cell r="L911" t="str">
            <v>PA</v>
          </cell>
          <cell r="M911">
            <v>18103</v>
          </cell>
          <cell r="N911" t="str">
            <v>4725 Hamilton Blvd Allentown, PA 18103</v>
          </cell>
        </row>
        <row r="912">
          <cell r="G912">
            <v>246567</v>
          </cell>
          <cell r="H912" t="str">
            <v>Windcrest Animal Hospital</v>
          </cell>
          <cell r="I912" t="str">
            <v>Wilmington</v>
          </cell>
          <cell r="K912" t="str">
            <v>3705 Lancaster Pike</v>
          </cell>
          <cell r="L912" t="str">
            <v>DE</v>
          </cell>
          <cell r="M912">
            <v>19805</v>
          </cell>
          <cell r="N912" t="str">
            <v>3705 Lancaster Pike Wilmington, DE 19805</v>
          </cell>
        </row>
        <row r="913">
          <cell r="G913">
            <v>481112</v>
          </cell>
          <cell r="H913" t="str">
            <v>St Matthew's United Methodist</v>
          </cell>
          <cell r="I913" t="str">
            <v>Wayne</v>
          </cell>
          <cell r="K913" t="str">
            <v>600 Walker Rd</v>
          </cell>
          <cell r="L913" t="str">
            <v>PA</v>
          </cell>
          <cell r="M913">
            <v>19087</v>
          </cell>
          <cell r="N913" t="str">
            <v>600 Walker Rd Wayne, PA 19087</v>
          </cell>
        </row>
        <row r="914">
          <cell r="G914">
            <v>239922</v>
          </cell>
          <cell r="H914" t="str">
            <v>East Fairview Church of Brethr</v>
          </cell>
          <cell r="I914" t="str">
            <v>Manheim</v>
          </cell>
          <cell r="K914" t="str">
            <v>1187 Fairview Rd</v>
          </cell>
          <cell r="L914" t="str">
            <v>PA</v>
          </cell>
          <cell r="M914">
            <v>17545</v>
          </cell>
          <cell r="N914" t="str">
            <v>1187 Fairview Rd Manheim, PA 17545</v>
          </cell>
        </row>
        <row r="915">
          <cell r="G915">
            <v>454719</v>
          </cell>
          <cell r="H915" t="str">
            <v>Five Ponds Golf Club</v>
          </cell>
          <cell r="I915" t="str">
            <v>Warminster</v>
          </cell>
          <cell r="J915" t="str">
            <v>Philly Suburbs - North</v>
          </cell>
          <cell r="K915" t="str">
            <v>1225 W Street Rd</v>
          </cell>
          <cell r="L915" t="str">
            <v>PA</v>
          </cell>
          <cell r="M915">
            <v>18974</v>
          </cell>
          <cell r="N915" t="str">
            <v>1225 W Street Rd Warminster, PA 18974</v>
          </cell>
        </row>
        <row r="916">
          <cell r="G916">
            <v>303635</v>
          </cell>
          <cell r="H916" t="str">
            <v>Misko Inc.</v>
          </cell>
          <cell r="I916" t="str">
            <v>EXTON</v>
          </cell>
          <cell r="K916" t="str">
            <v>171 Philips Rd</v>
          </cell>
          <cell r="L916" t="str">
            <v>PA</v>
          </cell>
          <cell r="M916">
            <v>19341</v>
          </cell>
          <cell r="N916" t="str">
            <v>171 Philips Rd EXTON, PA 19341</v>
          </cell>
        </row>
        <row r="917">
          <cell r="G917">
            <v>294629</v>
          </cell>
          <cell r="H917" t="str">
            <v>BERWICK AREA YMCA#</v>
          </cell>
          <cell r="I917" t="str">
            <v>Berwick</v>
          </cell>
          <cell r="K917" t="str">
            <v>231 W 3rd St</v>
          </cell>
          <cell r="L917" t="str">
            <v>PA</v>
          </cell>
          <cell r="M917">
            <v>18603</v>
          </cell>
          <cell r="N917" t="str">
            <v>231 W 3rd St Berwick, PA 18603</v>
          </cell>
        </row>
        <row r="918">
          <cell r="G918">
            <v>448130</v>
          </cell>
          <cell r="H918" t="str">
            <v>NEWPORT ELEMENTARY SCHOOL</v>
          </cell>
          <cell r="I918" t="str">
            <v>Newport</v>
          </cell>
          <cell r="J918" t="str">
            <v>Harrisburg - N</v>
          </cell>
          <cell r="K918" t="str">
            <v>559 N 5th St</v>
          </cell>
          <cell r="L918" t="str">
            <v>PA</v>
          </cell>
          <cell r="M918">
            <v>17074</v>
          </cell>
          <cell r="N918" t="str">
            <v>559 N 5th St Newport, PA 17074</v>
          </cell>
        </row>
        <row r="919">
          <cell r="G919">
            <v>331166</v>
          </cell>
          <cell r="H919" t="str">
            <v>SUSQUEHANNA WALDORF SCHOOL</v>
          </cell>
          <cell r="I919" t="str">
            <v>Marietta</v>
          </cell>
          <cell r="K919" t="str">
            <v>15 W Walnut St</v>
          </cell>
          <cell r="L919" t="str">
            <v>PA</v>
          </cell>
          <cell r="M919">
            <v>17547</v>
          </cell>
          <cell r="N919" t="str">
            <v>15 W Walnut St Marietta, PA 17547</v>
          </cell>
        </row>
        <row r="920">
          <cell r="G920">
            <v>312114</v>
          </cell>
          <cell r="H920" t="str">
            <v>Transcend Facility Management</v>
          </cell>
          <cell r="I920" t="str">
            <v>EXTON</v>
          </cell>
          <cell r="K920" t="str">
            <v>479 THOMAS JONES WAY</v>
          </cell>
          <cell r="L920" t="str">
            <v>PA</v>
          </cell>
          <cell r="M920">
            <v>19341</v>
          </cell>
          <cell r="N920" t="str">
            <v>479 THOMAS JONES WAY EXTON, PA 19341</v>
          </cell>
        </row>
        <row r="921">
          <cell r="G921">
            <v>245673</v>
          </cell>
          <cell r="H921" t="str">
            <v>Chambers Flooring LLC</v>
          </cell>
          <cell r="I921" t="str">
            <v>Malvern</v>
          </cell>
          <cell r="K921" t="str">
            <v>323 E King St</v>
          </cell>
          <cell r="L921" t="str">
            <v>PA</v>
          </cell>
          <cell r="M921">
            <v>19355</v>
          </cell>
          <cell r="N921" t="str">
            <v>323 E King St Malvern, PA 19355</v>
          </cell>
        </row>
        <row r="922">
          <cell r="G922">
            <v>239940</v>
          </cell>
          <cell r="H922" t="str">
            <v>EASTERN LANC CTY SCHOOL DIST</v>
          </cell>
          <cell r="I922" t="str">
            <v>New Holland</v>
          </cell>
          <cell r="K922" t="str">
            <v>669 E Main St</v>
          </cell>
          <cell r="L922" t="str">
            <v>PA</v>
          </cell>
          <cell r="M922">
            <v>17557</v>
          </cell>
          <cell r="N922" t="str">
            <v>669 E Main St New Holland, PA 17557</v>
          </cell>
        </row>
        <row r="923">
          <cell r="G923">
            <v>481548</v>
          </cell>
          <cell r="H923" t="str">
            <v>Greenwich Elementary School</v>
          </cell>
          <cell r="I923" t="str">
            <v>Lenhartsville</v>
          </cell>
          <cell r="K923" t="str">
            <v>1457 Krumsville Rd</v>
          </cell>
          <cell r="L923" t="str">
            <v>PA</v>
          </cell>
          <cell r="M923">
            <v>19534</v>
          </cell>
          <cell r="N923" t="str">
            <v>1457 Krumsville Rd Lenhartsville, PA 19534</v>
          </cell>
        </row>
        <row r="924">
          <cell r="G924">
            <v>243526</v>
          </cell>
          <cell r="H924" t="str">
            <v>Gloria Dei Church</v>
          </cell>
          <cell r="I924" t="str">
            <v>Huntingdon Valley</v>
          </cell>
          <cell r="J924" t="str">
            <v>Philly Suburbs - North</v>
          </cell>
          <cell r="K924" t="str">
            <v>570 Welsh Rd</v>
          </cell>
          <cell r="L924" t="str">
            <v>PA</v>
          </cell>
          <cell r="M924">
            <v>19006</v>
          </cell>
          <cell r="N924" t="str">
            <v>570 Welsh Rd Huntingdon Valley, PA 19006</v>
          </cell>
        </row>
        <row r="925">
          <cell r="G925">
            <v>418689</v>
          </cell>
          <cell r="H925" t="str">
            <v>Southern Elementary School</v>
          </cell>
          <cell r="I925" t="str">
            <v>New Castle</v>
          </cell>
          <cell r="K925" t="str">
            <v>795 Cox Neck Rd</v>
          </cell>
          <cell r="L925" t="str">
            <v>DE</v>
          </cell>
          <cell r="M925">
            <v>19720</v>
          </cell>
          <cell r="N925" t="str">
            <v>795 Cox Neck Rd New Castle, DE 19720</v>
          </cell>
        </row>
        <row r="926">
          <cell r="G926">
            <v>241683</v>
          </cell>
          <cell r="H926" t="str">
            <v>RUTTERS FARM STORES #42</v>
          </cell>
          <cell r="I926" t="str">
            <v>Stewartstown</v>
          </cell>
          <cell r="K926" t="str">
            <v>3 Charles Ave</v>
          </cell>
          <cell r="L926" t="str">
            <v>PA</v>
          </cell>
          <cell r="M926">
            <v>17363</v>
          </cell>
          <cell r="N926" t="str">
            <v>3 Charles Ave Stewartstown, PA 17363</v>
          </cell>
        </row>
        <row r="927">
          <cell r="G927">
            <v>240569</v>
          </cell>
          <cell r="H927" t="str">
            <v>JOHN HERRS VILLAGE MARKET</v>
          </cell>
          <cell r="I927" t="str">
            <v>Millersville</v>
          </cell>
          <cell r="K927" t="str">
            <v>25 Manor Ave</v>
          </cell>
          <cell r="L927" t="str">
            <v>PA</v>
          </cell>
          <cell r="M927">
            <v>17551</v>
          </cell>
          <cell r="N927" t="str">
            <v>25 Manor Ave Millersville, PA 17551</v>
          </cell>
        </row>
        <row r="928">
          <cell r="G928">
            <v>470372</v>
          </cell>
          <cell r="H928" t="str">
            <v>JUNIATA HIGH SCHOOL</v>
          </cell>
          <cell r="I928" t="str">
            <v>Mifflintown</v>
          </cell>
          <cell r="J928" t="str">
            <v>Lewistown</v>
          </cell>
          <cell r="K928" t="str">
            <v>3931 William Penn Hwy</v>
          </cell>
          <cell r="L928" t="str">
            <v>PA</v>
          </cell>
          <cell r="M928">
            <v>17059</v>
          </cell>
          <cell r="N928" t="str">
            <v>3931 William Penn Hwy Mifflintown, PA 17059</v>
          </cell>
        </row>
        <row r="929">
          <cell r="G929">
            <v>245288</v>
          </cell>
          <cell r="H929" t="str">
            <v>Abington School District</v>
          </cell>
          <cell r="I929" t="str">
            <v>Abington</v>
          </cell>
          <cell r="J929" t="str">
            <v>Philly Suburbs - Lower</v>
          </cell>
          <cell r="K929" t="str">
            <v>970 Highland Ave</v>
          </cell>
          <cell r="L929" t="str">
            <v>PA</v>
          </cell>
          <cell r="M929">
            <v>19001</v>
          </cell>
          <cell r="N929" t="str">
            <v>970 Highland Ave Abington, PA 19001</v>
          </cell>
        </row>
        <row r="930">
          <cell r="G930">
            <v>271798</v>
          </cell>
          <cell r="H930" t="str">
            <v>ON THE ICE FAMILY SKATING CTR#</v>
          </cell>
          <cell r="I930" t="str">
            <v>Annville</v>
          </cell>
          <cell r="J930" t="str">
            <v>Lebanon - West</v>
          </cell>
          <cell r="K930" t="str">
            <v>101 Landings Dr</v>
          </cell>
          <cell r="L930" t="str">
            <v>PA</v>
          </cell>
          <cell r="M930">
            <v>17003</v>
          </cell>
          <cell r="N930" t="str">
            <v>101 Landings Dr Annville, PA 17003</v>
          </cell>
        </row>
        <row r="931">
          <cell r="G931">
            <v>239932</v>
          </cell>
          <cell r="H931" t="str">
            <v>EAST PENN MFG CO INC#</v>
          </cell>
          <cell r="I931" t="str">
            <v>Lyon Station</v>
          </cell>
          <cell r="K931" t="str">
            <v>102 Deka Rd</v>
          </cell>
          <cell r="L931" t="str">
            <v>PA</v>
          </cell>
          <cell r="M931">
            <v>19536</v>
          </cell>
          <cell r="N931" t="str">
            <v>102 Deka Rd Lyon Station, PA 19536</v>
          </cell>
        </row>
        <row r="932">
          <cell r="G932">
            <v>471006</v>
          </cell>
          <cell r="H932" t="str">
            <v>MILLERSVILLE - EAST VILLAGE</v>
          </cell>
          <cell r="I932" t="str">
            <v>Millersville</v>
          </cell>
          <cell r="K932" t="str">
            <v>210 E Residence Hall Circle</v>
          </cell>
          <cell r="L932" t="str">
            <v>PA</v>
          </cell>
          <cell r="M932">
            <v>17551</v>
          </cell>
          <cell r="N932" t="str">
            <v>210 E Residence Hall Circle Millersville, PA 17551</v>
          </cell>
        </row>
        <row r="933">
          <cell r="G933">
            <v>415418</v>
          </cell>
          <cell r="H933" t="str">
            <v>CLEAN ENTERPRISES</v>
          </cell>
          <cell r="I933" t="str">
            <v>Quarryville</v>
          </cell>
          <cell r="K933" t="str">
            <v>40 N Church St</v>
          </cell>
          <cell r="L933" t="str">
            <v>PA</v>
          </cell>
          <cell r="M933">
            <v>17566</v>
          </cell>
          <cell r="N933" t="str">
            <v>40 N Church St Quarryville, PA 17566</v>
          </cell>
        </row>
        <row r="934">
          <cell r="G934">
            <v>244689</v>
          </cell>
          <cell r="H934" t="str">
            <v>Ciocca Hyundai</v>
          </cell>
          <cell r="I934" t="str">
            <v>Quakertown</v>
          </cell>
          <cell r="K934" t="str">
            <v>550 S West End Blvd</v>
          </cell>
          <cell r="L934" t="str">
            <v>PA</v>
          </cell>
          <cell r="M934">
            <v>18951</v>
          </cell>
          <cell r="N934" t="str">
            <v>550 S West End Blvd Quakertown, PA 18951</v>
          </cell>
        </row>
        <row r="935">
          <cell r="G935">
            <v>415425</v>
          </cell>
          <cell r="H935" t="str">
            <v>CONRAD WEISER MIDDLE SCHOOL</v>
          </cell>
          <cell r="I935" t="str">
            <v>Robesonia</v>
          </cell>
          <cell r="K935" t="str">
            <v>347 E Penn Ave</v>
          </cell>
          <cell r="L935" t="str">
            <v>PA</v>
          </cell>
          <cell r="M935">
            <v>19551</v>
          </cell>
          <cell r="N935" t="str">
            <v>347 E Penn Ave Robesonia, PA 19551</v>
          </cell>
        </row>
        <row r="936">
          <cell r="G936">
            <v>483475</v>
          </cell>
          <cell r="H936" t="str">
            <v>East Stroudsburg HS North</v>
          </cell>
          <cell r="I936" t="str">
            <v>Dingmans Ferry</v>
          </cell>
          <cell r="K936" t="str">
            <v>279 Timberwolf Dr</v>
          </cell>
          <cell r="L936" t="str">
            <v>PA</v>
          </cell>
          <cell r="M936">
            <v>18328</v>
          </cell>
          <cell r="N936" t="str">
            <v>279 Timberwolf Dr Dingmans Ferry, PA 18328</v>
          </cell>
        </row>
        <row r="937">
          <cell r="G937">
            <v>239557</v>
          </cell>
          <cell r="H937" t="str">
            <v>CHR CORPORATION#</v>
          </cell>
          <cell r="I937" t="str">
            <v>York</v>
          </cell>
          <cell r="K937" t="str">
            <v>2295 N Susquehanna Trl Ste C</v>
          </cell>
          <cell r="L937" t="str">
            <v>PA</v>
          </cell>
          <cell r="M937">
            <v>17404</v>
          </cell>
          <cell r="N937" t="str">
            <v>2295 N Susquehanna Trl Ste C York, PA 17404</v>
          </cell>
        </row>
        <row r="938">
          <cell r="G938">
            <v>247312</v>
          </cell>
          <cell r="H938" t="str">
            <v>FLEX CELL PRECISION INC#</v>
          </cell>
          <cell r="I938" t="str">
            <v>Lancaster</v>
          </cell>
          <cell r="K938" t="str">
            <v>1151 S Duke St</v>
          </cell>
          <cell r="L938" t="str">
            <v>PA</v>
          </cell>
          <cell r="M938">
            <v>17602</v>
          </cell>
          <cell r="N938" t="str">
            <v>1151 S Duke St Lancaster, PA 17602</v>
          </cell>
        </row>
        <row r="939">
          <cell r="G939">
            <v>425223</v>
          </cell>
          <cell r="H939" t="str">
            <v>YORK TOWNSHIP ELEMENTARY SCHOO</v>
          </cell>
          <cell r="I939" t="str">
            <v>York</v>
          </cell>
          <cell r="K939" t="str">
            <v>2500 S Queen St</v>
          </cell>
          <cell r="L939" t="str">
            <v>PA</v>
          </cell>
          <cell r="M939">
            <v>17402</v>
          </cell>
          <cell r="N939" t="str">
            <v>2500 S Queen St York, PA 17402</v>
          </cell>
        </row>
        <row r="940">
          <cell r="G940">
            <v>469370</v>
          </cell>
          <cell r="H940" t="str">
            <v>KUTZTOWN MIDDLE SCHOOL</v>
          </cell>
          <cell r="I940" t="str">
            <v>Kutztown</v>
          </cell>
          <cell r="K940" t="str">
            <v>10 Deisher Ln</v>
          </cell>
          <cell r="L940" t="str">
            <v>PA</v>
          </cell>
          <cell r="M940">
            <v>19530</v>
          </cell>
          <cell r="N940" t="str">
            <v>10 Deisher Ln Kutztown, PA 19530</v>
          </cell>
        </row>
        <row r="941">
          <cell r="G941">
            <v>467003</v>
          </cell>
          <cell r="H941" t="str">
            <v>YORKSHIRE ELEMENTARY</v>
          </cell>
          <cell r="I941" t="str">
            <v>York</v>
          </cell>
          <cell r="K941" t="str">
            <v>295 Mills St</v>
          </cell>
          <cell r="L941" t="str">
            <v>PA</v>
          </cell>
          <cell r="M941">
            <v>17402</v>
          </cell>
          <cell r="N941" t="str">
            <v>295 Mills St York, PA 17402</v>
          </cell>
        </row>
        <row r="942">
          <cell r="G942">
            <v>328860</v>
          </cell>
          <cell r="H942" t="str">
            <v>REALITY CHURCH#</v>
          </cell>
          <cell r="I942" t="str">
            <v>Lancaster</v>
          </cell>
          <cell r="K942" t="str">
            <v>2301 Harrisburg Pike</v>
          </cell>
          <cell r="L942" t="str">
            <v>PA</v>
          </cell>
          <cell r="M942">
            <v>17601</v>
          </cell>
          <cell r="N942" t="str">
            <v>2301 Harrisburg Pike Lancaster, PA 17601</v>
          </cell>
        </row>
        <row r="943">
          <cell r="G943">
            <v>424852</v>
          </cell>
          <cell r="H943" t="str">
            <v>Robscott Associates LLC</v>
          </cell>
          <cell r="I943" t="str">
            <v>Newark</v>
          </cell>
          <cell r="K943" t="str">
            <v>153 E Chestnut Hill Rd</v>
          </cell>
          <cell r="L943" t="str">
            <v>DE</v>
          </cell>
          <cell r="M943">
            <v>19713</v>
          </cell>
          <cell r="N943" t="str">
            <v>153 E Chestnut Hill Rd Newark, DE 19713</v>
          </cell>
        </row>
        <row r="944">
          <cell r="G944">
            <v>244423</v>
          </cell>
          <cell r="H944" t="str">
            <v>Estell Manor School District</v>
          </cell>
          <cell r="I944" t="str">
            <v>Estell Manor</v>
          </cell>
          <cell r="K944" t="str">
            <v>128 Cape May Ave</v>
          </cell>
          <cell r="L944" t="str">
            <v>NJ</v>
          </cell>
          <cell r="M944">
            <v>8319</v>
          </cell>
          <cell r="N944" t="str">
            <v>128 Cape May Ave Estell Manor, NJ 08319</v>
          </cell>
        </row>
        <row r="945">
          <cell r="G945">
            <v>425120</v>
          </cell>
          <cell r="H945" t="str">
            <v>Marrows Road Associates</v>
          </cell>
          <cell r="I945" t="str">
            <v>Newark</v>
          </cell>
          <cell r="K945" t="str">
            <v>1352 Marrows Rd</v>
          </cell>
          <cell r="L945" t="str">
            <v>DE</v>
          </cell>
          <cell r="M945">
            <v>19711</v>
          </cell>
          <cell r="N945" t="str">
            <v>1352 Marrows Rd Newark, DE 19711</v>
          </cell>
        </row>
        <row r="946">
          <cell r="G946">
            <v>483028</v>
          </cell>
          <cell r="H946" t="str">
            <v>Carl G Renn Elementary School</v>
          </cell>
          <cell r="I946" t="str">
            <v>Lairdsville</v>
          </cell>
          <cell r="K946" t="str">
            <v>183 School Ln</v>
          </cell>
          <cell r="L946" t="str">
            <v>PA</v>
          </cell>
          <cell r="M946">
            <v>17742</v>
          </cell>
          <cell r="N946" t="str">
            <v>183 School Ln Lairdsville, PA 17742</v>
          </cell>
        </row>
        <row r="947">
          <cell r="G947">
            <v>243564</v>
          </cell>
          <cell r="H947" t="str">
            <v>Grundy Hall</v>
          </cell>
          <cell r="I947" t="str">
            <v>Doylestown</v>
          </cell>
          <cell r="J947" t="str">
            <v>Philly Suburbs - North</v>
          </cell>
          <cell r="K947" t="str">
            <v>1290 Almshouse Rd</v>
          </cell>
          <cell r="L947" t="str">
            <v>PA</v>
          </cell>
          <cell r="M947">
            <v>18901</v>
          </cell>
          <cell r="N947" t="str">
            <v>1290 Almshouse Rd Doylestown, PA 18901</v>
          </cell>
        </row>
        <row r="948">
          <cell r="G948">
            <v>241353</v>
          </cell>
          <cell r="H948" t="str">
            <v>PALMYRA AREA SCHOOL DISTRICT</v>
          </cell>
          <cell r="I948" t="str">
            <v>Palmyra</v>
          </cell>
          <cell r="K948" t="str">
            <v>1125 Park Dr</v>
          </cell>
          <cell r="L948" t="str">
            <v>PA</v>
          </cell>
          <cell r="M948">
            <v>17078</v>
          </cell>
          <cell r="N948" t="str">
            <v>1125 Park Dr Palmyra, PA 17078</v>
          </cell>
        </row>
        <row r="949">
          <cell r="G949">
            <v>345425</v>
          </cell>
          <cell r="H949" t="str">
            <v>THE WILLOWSTONE SCHOOL</v>
          </cell>
          <cell r="I949" t="str">
            <v>Malvern</v>
          </cell>
          <cell r="K949" t="str">
            <v>340 Central Ave</v>
          </cell>
          <cell r="L949" t="str">
            <v>PA</v>
          </cell>
          <cell r="M949">
            <v>19355</v>
          </cell>
          <cell r="N949" t="str">
            <v>340 Central Ave Malvern, PA 19355</v>
          </cell>
        </row>
        <row r="950">
          <cell r="G950">
            <v>419198</v>
          </cell>
          <cell r="H950" t="str">
            <v>Rose Tree Elementary School</v>
          </cell>
          <cell r="I950" t="str">
            <v>Media</v>
          </cell>
          <cell r="K950" t="str">
            <v>1101 First Ave</v>
          </cell>
          <cell r="L950" t="str">
            <v>PA</v>
          </cell>
          <cell r="M950">
            <v>19063</v>
          </cell>
          <cell r="N950" t="str">
            <v>1101 First Ave Media, PA 19063</v>
          </cell>
        </row>
        <row r="951">
          <cell r="G951">
            <v>464214</v>
          </cell>
          <cell r="H951" t="str">
            <v>RUTHERFORD ELEMENTARY SCHOOL</v>
          </cell>
          <cell r="I951" t="str">
            <v>Harrisburg</v>
          </cell>
          <cell r="K951" t="str">
            <v>6500 Clearfield St</v>
          </cell>
          <cell r="L951" t="str">
            <v>PA</v>
          </cell>
          <cell r="M951">
            <v>17111</v>
          </cell>
          <cell r="N951" t="str">
            <v>6500 Clearfield St Harrisburg, PA 17111</v>
          </cell>
        </row>
        <row r="952">
          <cell r="G952">
            <v>467004</v>
          </cell>
          <cell r="H952" t="str">
            <v>YORK SUBURBAN MIDDLE SCHOOL</v>
          </cell>
          <cell r="I952" t="str">
            <v>York</v>
          </cell>
          <cell r="K952" t="str">
            <v>455 Sundale Dr</v>
          </cell>
          <cell r="L952" t="str">
            <v>PA</v>
          </cell>
          <cell r="M952">
            <v>17402</v>
          </cell>
          <cell r="N952" t="str">
            <v>455 Sundale Dr York, PA 17402</v>
          </cell>
        </row>
        <row r="953">
          <cell r="G953">
            <v>265138</v>
          </cell>
          <cell r="H953" t="str">
            <v>Congregation Kol Emet</v>
          </cell>
          <cell r="I953" t="str">
            <v>Yardley</v>
          </cell>
          <cell r="K953" t="str">
            <v>1360 Oxford Valley Rd</v>
          </cell>
          <cell r="L953" t="str">
            <v>PA</v>
          </cell>
          <cell r="M953">
            <v>19067</v>
          </cell>
          <cell r="N953" t="str">
            <v>1360 Oxford Valley Rd Yardley, PA 19067</v>
          </cell>
        </row>
        <row r="954">
          <cell r="G954">
            <v>245576</v>
          </cell>
          <cell r="H954" t="str">
            <v>Brandywine Home Assoc / VFW</v>
          </cell>
          <cell r="I954" t="str">
            <v>Downingtown</v>
          </cell>
          <cell r="K954" t="str">
            <v>4601 W Lincoln Hwy</v>
          </cell>
          <cell r="L954" t="str">
            <v>PA</v>
          </cell>
          <cell r="M954">
            <v>19335</v>
          </cell>
          <cell r="N954" t="str">
            <v>4601 W Lincoln Hwy Downingtown, PA 19335</v>
          </cell>
        </row>
        <row r="955">
          <cell r="G955">
            <v>417132</v>
          </cell>
          <cell r="H955" t="str">
            <v>Edgewood Elementary School</v>
          </cell>
          <cell r="I955" t="str">
            <v>Pottstown</v>
          </cell>
          <cell r="K955" t="str">
            <v>920 Morris St</v>
          </cell>
          <cell r="L955" t="str">
            <v>PA</v>
          </cell>
          <cell r="M955">
            <v>19464</v>
          </cell>
          <cell r="N955" t="str">
            <v>920 Morris St Pottstown, PA 19464</v>
          </cell>
        </row>
        <row r="956">
          <cell r="G956">
            <v>464926</v>
          </cell>
          <cell r="H956" t="str">
            <v>LANC COUNTY BIBLE BLOOMSBURG</v>
          </cell>
          <cell r="I956" t="str">
            <v>Bloomsburg</v>
          </cell>
          <cell r="K956" t="str">
            <v>2421 Columbia Blvd</v>
          </cell>
          <cell r="L956" t="str">
            <v>PA</v>
          </cell>
          <cell r="M956">
            <v>17815</v>
          </cell>
          <cell r="N956" t="str">
            <v>2421 Columbia Blvd Bloomsburg, PA 17815</v>
          </cell>
        </row>
        <row r="957">
          <cell r="G957">
            <v>239985</v>
          </cell>
          <cell r="H957" t="str">
            <v>Environmental Cleaning Solutio</v>
          </cell>
          <cell r="I957" t="str">
            <v>Annville</v>
          </cell>
          <cell r="J957" t="str">
            <v>Lebanon - West</v>
          </cell>
          <cell r="K957" t="str">
            <v>110 Landing Dr</v>
          </cell>
          <cell r="L957" t="str">
            <v>PA</v>
          </cell>
          <cell r="M957">
            <v>17003</v>
          </cell>
          <cell r="N957" t="str">
            <v>110 Landing Dr Annville, PA 17003</v>
          </cell>
        </row>
        <row r="958">
          <cell r="G958">
            <v>243950</v>
          </cell>
          <cell r="H958" t="str">
            <v>Metric Realty</v>
          </cell>
          <cell r="I958" t="str">
            <v>Paoli</v>
          </cell>
          <cell r="K958" t="str">
            <v>1800 E Lancaster Ave</v>
          </cell>
          <cell r="L958" t="str">
            <v>PA</v>
          </cell>
          <cell r="M958">
            <v>19301</v>
          </cell>
          <cell r="N958" t="str">
            <v>1800 E Lancaster Ave Paoli, PA 19301</v>
          </cell>
        </row>
        <row r="959">
          <cell r="G959">
            <v>470411</v>
          </cell>
          <cell r="H959" t="str">
            <v>Lumberton Middle School</v>
          </cell>
          <cell r="I959" t="str">
            <v>Lumberton</v>
          </cell>
          <cell r="J959" t="str">
            <v>Cherry Hill</v>
          </cell>
          <cell r="K959" t="str">
            <v>30 Dimsdale Dr</v>
          </cell>
          <cell r="L959" t="str">
            <v>NJ</v>
          </cell>
          <cell r="M959">
            <v>8048</v>
          </cell>
          <cell r="N959" t="str">
            <v>30 Dimsdale Dr Lumberton, NJ 08048</v>
          </cell>
        </row>
        <row r="960">
          <cell r="G960">
            <v>418035</v>
          </cell>
          <cell r="H960" t="str">
            <v>Everett McDonald Elementary Sc</v>
          </cell>
          <cell r="I960" t="str">
            <v>Warminster</v>
          </cell>
          <cell r="J960" t="str">
            <v>Philly Suburbs - North</v>
          </cell>
          <cell r="K960" t="str">
            <v>666 Reeves Ln</v>
          </cell>
          <cell r="L960" t="str">
            <v>PA</v>
          </cell>
          <cell r="M960">
            <v>18974</v>
          </cell>
          <cell r="N960" t="str">
            <v>666 Reeves Ln Warminster, PA 18974</v>
          </cell>
        </row>
        <row r="961">
          <cell r="G961">
            <v>473023</v>
          </cell>
          <cell r="H961" t="str">
            <v>DALLASTOWN ELEMENTARY SCHOOL</v>
          </cell>
          <cell r="I961" t="str">
            <v>DALLASTOWN</v>
          </cell>
          <cell r="K961" t="str">
            <v>105 S Charles St</v>
          </cell>
          <cell r="L961" t="str">
            <v>PA</v>
          </cell>
          <cell r="M961">
            <v>17313</v>
          </cell>
          <cell r="N961" t="str">
            <v>105 S Charles St DALLASTOWN, PA 17313</v>
          </cell>
        </row>
        <row r="962">
          <cell r="G962">
            <v>239230</v>
          </cell>
          <cell r="H962" t="str">
            <v>AUTOHAUS LANC INC</v>
          </cell>
          <cell r="I962" t="str">
            <v>Lancaster</v>
          </cell>
          <cell r="K962" t="str">
            <v>1373 Manheim Pike</v>
          </cell>
          <cell r="L962" t="str">
            <v>PA</v>
          </cell>
          <cell r="M962">
            <v>17601</v>
          </cell>
          <cell r="N962" t="str">
            <v>1373 Manheim Pike Lancaster, PA 17601</v>
          </cell>
        </row>
        <row r="963">
          <cell r="G963">
            <v>320822</v>
          </cell>
          <cell r="H963" t="str">
            <v>Artsana USA INC</v>
          </cell>
          <cell r="I963" t="str">
            <v>Lancaster</v>
          </cell>
          <cell r="K963" t="str">
            <v>1826 William Penn Way</v>
          </cell>
          <cell r="L963" t="str">
            <v>PA</v>
          </cell>
          <cell r="M963">
            <v>17601</v>
          </cell>
          <cell r="N963" t="str">
            <v>1826 William Penn Way Lancaster, PA 17601</v>
          </cell>
        </row>
        <row r="964">
          <cell r="G964">
            <v>461471</v>
          </cell>
          <cell r="H964" t="str">
            <v>Jarrettown El School</v>
          </cell>
          <cell r="I964" t="str">
            <v>DRESHER</v>
          </cell>
          <cell r="K964" t="str">
            <v>1520 LIMEKILN PIKE</v>
          </cell>
          <cell r="L964" t="str">
            <v>PA</v>
          </cell>
          <cell r="M964">
            <v>19025</v>
          </cell>
          <cell r="N964" t="str">
            <v>1520 LIMEKILN PIKE DRESHER, PA 19025</v>
          </cell>
        </row>
        <row r="965">
          <cell r="G965">
            <v>241935</v>
          </cell>
          <cell r="H965" t="str">
            <v>NEW CREATION UMC#</v>
          </cell>
          <cell r="I965" t="str">
            <v>Lancaster</v>
          </cell>
          <cell r="K965" t="str">
            <v>10 W Farnum St</v>
          </cell>
          <cell r="L965" t="str">
            <v>PA</v>
          </cell>
          <cell r="M965">
            <v>17603</v>
          </cell>
          <cell r="N965" t="str">
            <v>10 W Farnum St Lancaster, PA 17603</v>
          </cell>
        </row>
        <row r="966">
          <cell r="G966">
            <v>240307</v>
          </cell>
          <cell r="H966" t="str">
            <v>HANOVER PUBLIC SCHOOL DISTRICT</v>
          </cell>
          <cell r="I966" t="str">
            <v>Hanover</v>
          </cell>
          <cell r="K966" t="str">
            <v>403 Moul Ave</v>
          </cell>
          <cell r="L966" t="str">
            <v>PA</v>
          </cell>
          <cell r="M966">
            <v>17331</v>
          </cell>
          <cell r="N966" t="str">
            <v>403 Moul Ave Hanover, PA 17331</v>
          </cell>
        </row>
        <row r="967">
          <cell r="G967">
            <v>264551</v>
          </cell>
          <cell r="H967" t="str">
            <v>Cape May City Board of Educati</v>
          </cell>
          <cell r="I967" t="str">
            <v>Cape May</v>
          </cell>
          <cell r="K967" t="str">
            <v>921 Lafayette St</v>
          </cell>
          <cell r="L967" t="str">
            <v>NJ</v>
          </cell>
          <cell r="M967">
            <v>8204</v>
          </cell>
          <cell r="N967" t="str">
            <v>921 Lafayette St Cape May, NJ 08204</v>
          </cell>
        </row>
        <row r="968">
          <cell r="G968">
            <v>482919</v>
          </cell>
          <cell r="H968" t="str">
            <v>YMCA - Deer Path</v>
          </cell>
          <cell r="I968" t="str">
            <v>Flemington</v>
          </cell>
          <cell r="K968" t="str">
            <v>144 W Woodschurch Rd</v>
          </cell>
          <cell r="L968" t="str">
            <v>NJ</v>
          </cell>
          <cell r="M968">
            <v>8822</v>
          </cell>
          <cell r="N968" t="str">
            <v>144 W Woodschurch Rd Flemington, NJ 08822</v>
          </cell>
        </row>
        <row r="969">
          <cell r="G969">
            <v>294039</v>
          </cell>
          <cell r="H969" t="str">
            <v>UNITED ZION APN RETIREMENT#</v>
          </cell>
          <cell r="I969" t="str">
            <v>Lititz</v>
          </cell>
          <cell r="K969" t="str">
            <v>722 Furnace Hills Pike</v>
          </cell>
          <cell r="L969" t="str">
            <v>PA</v>
          </cell>
          <cell r="M969">
            <v>17543</v>
          </cell>
          <cell r="N969" t="str">
            <v>722 Furnace Hills Pike Lititz, PA 17543</v>
          </cell>
        </row>
        <row r="970">
          <cell r="G970">
            <v>293273</v>
          </cell>
          <cell r="H970" t="str">
            <v>YORK ACADEMY REG CHARTER SCHOO</v>
          </cell>
          <cell r="I970" t="str">
            <v>York</v>
          </cell>
          <cell r="K970" t="str">
            <v>32 W North St</v>
          </cell>
          <cell r="L970" t="str">
            <v>PA</v>
          </cell>
          <cell r="M970">
            <v>17401</v>
          </cell>
          <cell r="N970" t="str">
            <v>32 W North St York, PA 17401</v>
          </cell>
        </row>
        <row r="971">
          <cell r="G971">
            <v>300735</v>
          </cell>
          <cell r="H971" t="str">
            <v>KEYSTONE CHURCH</v>
          </cell>
          <cell r="I971" t="str">
            <v>Paradise</v>
          </cell>
          <cell r="K971" t="str">
            <v>6 Pequea Dr</v>
          </cell>
          <cell r="L971" t="str">
            <v>PA</v>
          </cell>
          <cell r="M971">
            <v>17562</v>
          </cell>
          <cell r="N971" t="str">
            <v>6 Pequea Dr Paradise, PA 17562</v>
          </cell>
        </row>
        <row r="972">
          <cell r="G972">
            <v>313176</v>
          </cell>
          <cell r="H972" t="str">
            <v>St Mary Rehabilitation Hospita</v>
          </cell>
          <cell r="I972" t="str">
            <v>Langhorne</v>
          </cell>
          <cell r="K972" t="str">
            <v>1208 Langhorne Newtown Rd</v>
          </cell>
          <cell r="L972" t="str">
            <v>PA</v>
          </cell>
          <cell r="M972">
            <v>19047</v>
          </cell>
          <cell r="N972" t="str">
            <v>1208 Langhorne Newtown Rd Langhorne, PA 19047</v>
          </cell>
        </row>
        <row r="973">
          <cell r="G973">
            <v>468582</v>
          </cell>
          <cell r="H973" t="str">
            <v>TUSCARORA - JAMES BUCHANAN MID</v>
          </cell>
          <cell r="I973" t="str">
            <v>Mercersburg</v>
          </cell>
          <cell r="K973" t="str">
            <v>5191 Fort Loudon Rd</v>
          </cell>
          <cell r="L973" t="str">
            <v>PA</v>
          </cell>
          <cell r="M973">
            <v>17236</v>
          </cell>
          <cell r="N973" t="str">
            <v>5191 Fort Loudon Rd Mercersburg, PA 17236</v>
          </cell>
        </row>
        <row r="974">
          <cell r="G974">
            <v>466115</v>
          </cell>
          <cell r="H974" t="str">
            <v>EAST YORK ELEMENTARY</v>
          </cell>
          <cell r="I974" t="str">
            <v>York</v>
          </cell>
          <cell r="K974" t="str">
            <v>701 Erlen Dr</v>
          </cell>
          <cell r="L974" t="str">
            <v>PA</v>
          </cell>
          <cell r="M974">
            <v>17402</v>
          </cell>
          <cell r="N974" t="str">
            <v>701 Erlen Dr York, PA 17402</v>
          </cell>
        </row>
        <row r="975">
          <cell r="G975">
            <v>241699</v>
          </cell>
          <cell r="H975" t="str">
            <v>RUTTERS FARM STORES #78</v>
          </cell>
          <cell r="I975" t="str">
            <v>Waynesboro</v>
          </cell>
          <cell r="K975" t="str">
            <v>7438 Anthony Hwy</v>
          </cell>
          <cell r="L975" t="str">
            <v>PA</v>
          </cell>
          <cell r="M975">
            <v>17268</v>
          </cell>
          <cell r="N975" t="str">
            <v>7438 Anthony Hwy Waynesboro, PA 17268</v>
          </cell>
        </row>
        <row r="976">
          <cell r="G976">
            <v>241119</v>
          </cell>
          <cell r="H976" t="str">
            <v>MIDDLETOWN BOROUGH</v>
          </cell>
          <cell r="I976" t="str">
            <v>MIDDLETOWN</v>
          </cell>
          <cell r="K976" t="str">
            <v>60 W Emaus St</v>
          </cell>
          <cell r="L976" t="str">
            <v>PA</v>
          </cell>
          <cell r="M976">
            <v>17057</v>
          </cell>
          <cell r="N976" t="str">
            <v>60 W Emaus St MIDDLETOWN, PA 17057</v>
          </cell>
        </row>
        <row r="977">
          <cell r="G977">
            <v>415549</v>
          </cell>
          <cell r="H977" t="str">
            <v>LAMPETER STRASBURG HIGH SCHOOL</v>
          </cell>
          <cell r="I977" t="str">
            <v>Lancaster</v>
          </cell>
          <cell r="K977" t="str">
            <v>1600 Book Rd</v>
          </cell>
          <cell r="L977" t="str">
            <v>PA</v>
          </cell>
          <cell r="M977">
            <v>17602</v>
          </cell>
          <cell r="N977" t="str">
            <v>1600 Book Rd Lancaster, PA 17602</v>
          </cell>
        </row>
        <row r="978">
          <cell r="G978">
            <v>471057</v>
          </cell>
          <cell r="H978" t="str">
            <v>Delsea Regional Middle School</v>
          </cell>
          <cell r="I978" t="str">
            <v>Franklinville</v>
          </cell>
          <cell r="K978" t="str">
            <v>242 Fries Mill Rd</v>
          </cell>
          <cell r="L978" t="str">
            <v>NJ</v>
          </cell>
          <cell r="M978">
            <v>8322</v>
          </cell>
          <cell r="N978" t="str">
            <v>242 Fries Mill Rd Franklinville, NJ 08322</v>
          </cell>
        </row>
        <row r="979">
          <cell r="G979">
            <v>471871</v>
          </cell>
          <cell r="H979" t="str">
            <v>Millersville Breidenstine Hall</v>
          </cell>
          <cell r="I979" t="str">
            <v>Millersville</v>
          </cell>
          <cell r="K979" t="str">
            <v>46 W Frederick St</v>
          </cell>
          <cell r="L979" t="str">
            <v>PA</v>
          </cell>
          <cell r="M979">
            <v>17551</v>
          </cell>
          <cell r="N979" t="str">
            <v>46 W Frederick St Millersville, PA 17551</v>
          </cell>
        </row>
        <row r="980">
          <cell r="G980">
            <v>282246</v>
          </cell>
          <cell r="H980" t="str">
            <v>Center for Student Learning</v>
          </cell>
          <cell r="I980" t="str">
            <v>Levittown</v>
          </cell>
          <cell r="K980" t="str">
            <v>345 Lakeside Dr</v>
          </cell>
          <cell r="L980" t="str">
            <v>PA</v>
          </cell>
          <cell r="M980">
            <v>19054</v>
          </cell>
          <cell r="N980" t="str">
            <v>345 Lakeside Dr Levittown, PA 19054</v>
          </cell>
        </row>
        <row r="981">
          <cell r="G981">
            <v>244210</v>
          </cell>
          <cell r="H981" t="str">
            <v>Atlantic Cape Community Colleg</v>
          </cell>
          <cell r="I981" t="str">
            <v>Mays Landing</v>
          </cell>
          <cell r="K981" t="str">
            <v>5100 Black Horse Pike</v>
          </cell>
          <cell r="L981" t="str">
            <v>NJ</v>
          </cell>
          <cell r="M981">
            <v>8330</v>
          </cell>
          <cell r="N981" t="str">
            <v>5100 Black Horse Pike Mays Landing, NJ 08330</v>
          </cell>
        </row>
        <row r="982">
          <cell r="G982">
            <v>432281</v>
          </cell>
          <cell r="H982" t="str">
            <v>SKH    NURSERY MECH</v>
          </cell>
          <cell r="I982" t="str">
            <v>Mechanicsburg</v>
          </cell>
          <cell r="K982" t="str">
            <v>51 Gettysburg Pike</v>
          </cell>
          <cell r="L982" t="str">
            <v>PA</v>
          </cell>
          <cell r="M982">
            <v>17055</v>
          </cell>
          <cell r="N982" t="str">
            <v>51 Gettysburg Pike Mechanicsburg, PA 17055</v>
          </cell>
        </row>
        <row r="983">
          <cell r="G983">
            <v>483517</v>
          </cell>
          <cell r="H983" t="str">
            <v>CA-ENVIRONMENTAL - Selinsgrove</v>
          </cell>
          <cell r="I983" t="str">
            <v>Selinsgrove</v>
          </cell>
          <cell r="K983" t="str">
            <v>1070 N SUSQUEHANNA TRL</v>
          </cell>
          <cell r="L983" t="str">
            <v>PA</v>
          </cell>
          <cell r="M983">
            <v>17870</v>
          </cell>
          <cell r="N983" t="str">
            <v>1070 N SUSQUEHANNA TRL Selinsgrove, PA 17870</v>
          </cell>
        </row>
        <row r="984">
          <cell r="G984">
            <v>273937</v>
          </cell>
          <cell r="H984" t="str">
            <v>ST THERESA SCHOOL</v>
          </cell>
          <cell r="I984" t="str">
            <v>New Cumberland</v>
          </cell>
          <cell r="K984" t="str">
            <v>1200 Bridge St</v>
          </cell>
          <cell r="L984" t="str">
            <v>PA</v>
          </cell>
          <cell r="M984">
            <v>17070</v>
          </cell>
          <cell r="N984" t="str">
            <v>1200 Bridge St New Cumberland, PA 17070</v>
          </cell>
        </row>
        <row r="985">
          <cell r="G985">
            <v>483027</v>
          </cell>
          <cell r="H985" t="str">
            <v>George A Ferrell Elementary Sc</v>
          </cell>
          <cell r="I985" t="str">
            <v>Picture Rocks</v>
          </cell>
          <cell r="K985" t="str">
            <v>34 Court Street</v>
          </cell>
          <cell r="L985" t="str">
            <v>PA</v>
          </cell>
          <cell r="M985">
            <v>17762</v>
          </cell>
          <cell r="N985" t="str">
            <v>34 Court Street Picture Rocks, PA 17762</v>
          </cell>
        </row>
        <row r="986">
          <cell r="G986">
            <v>264345</v>
          </cell>
          <cell r="H986" t="str">
            <v>COMMUNITY BIBLE CHURCH*</v>
          </cell>
          <cell r="I986" t="str">
            <v>Marietta</v>
          </cell>
          <cell r="K986" t="str">
            <v>331 Anderson Ferry Road</v>
          </cell>
          <cell r="L986" t="str">
            <v>PA</v>
          </cell>
          <cell r="M986">
            <v>17547</v>
          </cell>
          <cell r="N986" t="str">
            <v>331 Anderson Ferry Road Marietta, PA 17547</v>
          </cell>
        </row>
        <row r="987">
          <cell r="G987">
            <v>242933</v>
          </cell>
          <cell r="H987" t="str">
            <v>Audubon Board of Education</v>
          </cell>
          <cell r="I987" t="str">
            <v>Audubon</v>
          </cell>
          <cell r="J987" t="str">
            <v>Camden</v>
          </cell>
          <cell r="K987" t="str">
            <v>350 Edgewood Ave</v>
          </cell>
          <cell r="L987" t="str">
            <v>NJ</v>
          </cell>
          <cell r="M987">
            <v>8106</v>
          </cell>
          <cell r="N987" t="str">
            <v>350 Edgewood Ave Audubon, NJ 08106</v>
          </cell>
        </row>
        <row r="988">
          <cell r="G988">
            <v>471038</v>
          </cell>
          <cell r="H988" t="str">
            <v>FAIRLANE VILLAGE MALL</v>
          </cell>
          <cell r="I988" t="str">
            <v>Pottsville</v>
          </cell>
          <cell r="K988" t="str">
            <v>7211 Fairlane Village Mall</v>
          </cell>
          <cell r="L988" t="str">
            <v>PA</v>
          </cell>
          <cell r="M988">
            <v>17901</v>
          </cell>
          <cell r="N988" t="str">
            <v>7211 Fairlane Village Mall Pottsville, PA 17901</v>
          </cell>
        </row>
        <row r="989">
          <cell r="G989">
            <v>445823</v>
          </cell>
          <cell r="H989" t="str">
            <v>LEWISTOWN STRODES MILLS ELEMEN</v>
          </cell>
          <cell r="I989" t="str">
            <v>McVeytown</v>
          </cell>
          <cell r="J989" t="str">
            <v>Lewistown</v>
          </cell>
          <cell r="K989" t="str">
            <v>185 Chestnut Ridge Rd</v>
          </cell>
          <cell r="L989" t="str">
            <v>PA</v>
          </cell>
          <cell r="M989">
            <v>17051</v>
          </cell>
          <cell r="N989" t="str">
            <v>185 Chestnut Ridge Rd McVeytown, PA 17051</v>
          </cell>
        </row>
        <row r="990">
          <cell r="G990">
            <v>239966</v>
          </cell>
          <cell r="H990" t="str">
            <v>ELIZABETHTOWN BRETHREN IN CHRI</v>
          </cell>
          <cell r="I990" t="str">
            <v>ELIZABETHTOWN</v>
          </cell>
          <cell r="K990" t="str">
            <v>996 E High St</v>
          </cell>
          <cell r="L990" t="str">
            <v>PA</v>
          </cell>
          <cell r="M990">
            <v>17022</v>
          </cell>
          <cell r="N990" t="str">
            <v>996 E High St ELIZABETHTOWN, PA 17022</v>
          </cell>
        </row>
        <row r="991">
          <cell r="G991">
            <v>471882</v>
          </cell>
          <cell r="H991" t="str">
            <v>Millersville Univ - Osburn Hal</v>
          </cell>
          <cell r="I991" t="str">
            <v>Millersville</v>
          </cell>
          <cell r="K991" t="str">
            <v>40 W Frederick St</v>
          </cell>
          <cell r="L991" t="str">
            <v>PA</v>
          </cell>
          <cell r="M991">
            <v>17551</v>
          </cell>
          <cell r="N991" t="str">
            <v>40 W Frederick St Millersville, PA 17551</v>
          </cell>
        </row>
        <row r="992">
          <cell r="G992">
            <v>471593</v>
          </cell>
          <cell r="H992" t="str">
            <v>LOYALSOCK HIGH SCHOOL</v>
          </cell>
          <cell r="I992" t="str">
            <v>Williamsport</v>
          </cell>
          <cell r="K992" t="str">
            <v>1801 Loyalsock Dr</v>
          </cell>
          <cell r="L992" t="str">
            <v>PA</v>
          </cell>
          <cell r="M992">
            <v>17701</v>
          </cell>
          <cell r="N992" t="str">
            <v>1801 Loyalsock Dr Williamsport, PA 17701</v>
          </cell>
        </row>
        <row r="993">
          <cell r="G993">
            <v>286495</v>
          </cell>
          <cell r="H993" t="str">
            <v>Radnor Fire Company</v>
          </cell>
          <cell r="I993" t="str">
            <v>Wayne</v>
          </cell>
          <cell r="K993" t="str">
            <v>121 S Wayne Ave</v>
          </cell>
          <cell r="L993" t="str">
            <v>PA</v>
          </cell>
          <cell r="M993">
            <v>19087</v>
          </cell>
          <cell r="N993" t="str">
            <v>121 S Wayne Ave Wayne, PA 19087</v>
          </cell>
        </row>
        <row r="994">
          <cell r="G994">
            <v>463788</v>
          </cell>
          <cell r="H994" t="str">
            <v>EPHRATA BOROUGH PARKS</v>
          </cell>
          <cell r="I994" t="str">
            <v>Ephrata</v>
          </cell>
          <cell r="K994" t="str">
            <v>35 E Fulton St</v>
          </cell>
          <cell r="L994" t="str">
            <v>PA</v>
          </cell>
          <cell r="M994">
            <v>17522</v>
          </cell>
          <cell r="N994" t="str">
            <v>35 E Fulton St Ephrata, PA 17522</v>
          </cell>
        </row>
        <row r="995">
          <cell r="G995">
            <v>483518</v>
          </cell>
          <cell r="H995" t="str">
            <v>CA-ENVIRONMENTAL - Lancaster</v>
          </cell>
          <cell r="I995" t="str">
            <v>Lancaster</v>
          </cell>
          <cell r="K995" t="str">
            <v>31 Rohrerstown Rd</v>
          </cell>
          <cell r="L995" t="str">
            <v>PA</v>
          </cell>
          <cell r="M995">
            <v>17603</v>
          </cell>
          <cell r="N995" t="str">
            <v>31 Rohrerstown Rd Lancaster, PA 17603</v>
          </cell>
        </row>
        <row r="996">
          <cell r="G996">
            <v>240867</v>
          </cell>
          <cell r="H996" t="str">
            <v>LEOLA HMONG ALLIANCE*</v>
          </cell>
          <cell r="I996" t="str">
            <v>Leola</v>
          </cell>
          <cell r="K996" t="str">
            <v>9 S Hershey Ave</v>
          </cell>
          <cell r="L996" t="str">
            <v>PA</v>
          </cell>
          <cell r="M996">
            <v>17540</v>
          </cell>
          <cell r="N996" t="str">
            <v>9 S Hershey Ave Leola, PA 17540</v>
          </cell>
        </row>
        <row r="997">
          <cell r="G997">
            <v>483515</v>
          </cell>
          <cell r="H997" t="str">
            <v>CA-ENVIRONMENTAL - Mechanicsbu</v>
          </cell>
          <cell r="I997" t="str">
            <v>Mechanicsburg</v>
          </cell>
          <cell r="K997" t="str">
            <v>4833 Carlisle Pike</v>
          </cell>
          <cell r="L997" t="str">
            <v>PA</v>
          </cell>
          <cell r="M997">
            <v>17050</v>
          </cell>
          <cell r="N997" t="str">
            <v>4833 Carlisle Pike Mechanicsburg, PA 17050</v>
          </cell>
        </row>
        <row r="998">
          <cell r="G998">
            <v>260316</v>
          </cell>
          <cell r="H998" t="str">
            <v>McLane New Jersey Inc</v>
          </cell>
          <cell r="I998" t="str">
            <v>Carneys Point</v>
          </cell>
          <cell r="K998" t="str">
            <v>742 Courses Landing Rd</v>
          </cell>
          <cell r="L998" t="str">
            <v>NJ</v>
          </cell>
          <cell r="M998">
            <v>8069</v>
          </cell>
          <cell r="N998" t="str">
            <v>742 Courses Landing Rd Carneys Point, NJ 08069</v>
          </cell>
        </row>
        <row r="999">
          <cell r="G999">
            <v>244896</v>
          </cell>
          <cell r="H999" t="str">
            <v>Oliver Healthcare Packaging</v>
          </cell>
          <cell r="I999" t="str">
            <v>New Britain</v>
          </cell>
          <cell r="K999" t="str">
            <v>97 Britain Dr</v>
          </cell>
          <cell r="L999" t="str">
            <v>PA</v>
          </cell>
          <cell r="M999">
            <v>18901</v>
          </cell>
          <cell r="N999" t="str">
            <v>97 Britain Dr New Britain, PA 18901</v>
          </cell>
        </row>
        <row r="1000">
          <cell r="G1000">
            <v>418383</v>
          </cell>
          <cell r="H1000" t="str">
            <v>Pleasantville Elementary Schoo</v>
          </cell>
          <cell r="I1000" t="str">
            <v>New Castle</v>
          </cell>
          <cell r="K1000" t="str">
            <v>16 Pleasant Pl</v>
          </cell>
          <cell r="L1000" t="str">
            <v>DE</v>
          </cell>
          <cell r="M1000">
            <v>19720</v>
          </cell>
          <cell r="N1000" t="str">
            <v>16 Pleasant Pl New Castle, DE 19720</v>
          </cell>
        </row>
        <row r="1001">
          <cell r="G1001">
            <v>480258</v>
          </cell>
          <cell r="H1001" t="str">
            <v>LANC COUNTY BIBLE CLARKS SUMMI</v>
          </cell>
          <cell r="I1001" t="str">
            <v>Clarks Summit</v>
          </cell>
          <cell r="K1001" t="str">
            <v>607 N Abington Rd</v>
          </cell>
          <cell r="L1001" t="str">
            <v>PA</v>
          </cell>
          <cell r="M1001">
            <v>18411</v>
          </cell>
          <cell r="N1001" t="str">
            <v>607 N Abington Rd Clarks Summit, PA 18411</v>
          </cell>
        </row>
        <row r="1002">
          <cell r="G1002">
            <v>246171</v>
          </cell>
          <cell r="H1002" t="str">
            <v>St Christopher's Church</v>
          </cell>
          <cell r="I1002" t="str">
            <v>Gladwyne</v>
          </cell>
          <cell r="K1002" t="str">
            <v>226 Righters Mill Rd</v>
          </cell>
          <cell r="L1002" t="str">
            <v>PA</v>
          </cell>
          <cell r="M1002">
            <v>19035</v>
          </cell>
          <cell r="N1002" t="str">
            <v>226 Righters Mill Rd Gladwyne, PA 19035</v>
          </cell>
        </row>
        <row r="1003">
          <cell r="G1003">
            <v>456329</v>
          </cell>
          <cell r="H1003" t="str">
            <v>ROHRERSTOWN ELEMENTARY</v>
          </cell>
          <cell r="I1003" t="str">
            <v>Lancaster</v>
          </cell>
          <cell r="K1003" t="str">
            <v>2200 Noll Dr</v>
          </cell>
          <cell r="L1003" t="str">
            <v>PA</v>
          </cell>
          <cell r="M1003">
            <v>17603</v>
          </cell>
          <cell r="N1003" t="str">
            <v>2200 Noll Dr Lancaster, PA 17603</v>
          </cell>
        </row>
        <row r="1004">
          <cell r="G1004">
            <v>464456</v>
          </cell>
          <cell r="H1004" t="str">
            <v>MOUNTVILLE ELEMENTARY</v>
          </cell>
          <cell r="I1004" t="str">
            <v>Mountville</v>
          </cell>
          <cell r="K1004" t="str">
            <v>200 College Ave</v>
          </cell>
          <cell r="L1004" t="str">
            <v>PA</v>
          </cell>
          <cell r="M1004">
            <v>17554</v>
          </cell>
          <cell r="N1004" t="str">
            <v>200 College Ave Mountville, PA 17554</v>
          </cell>
        </row>
        <row r="1005">
          <cell r="G1005">
            <v>464434</v>
          </cell>
          <cell r="H1005" t="str">
            <v>SUMMITVIEW ELEMENTARY</v>
          </cell>
          <cell r="I1005" t="str">
            <v>Waynesboro</v>
          </cell>
          <cell r="K1005" t="str">
            <v>840 E 2nd St</v>
          </cell>
          <cell r="L1005" t="str">
            <v>PA</v>
          </cell>
          <cell r="M1005">
            <v>17268</v>
          </cell>
          <cell r="N1005" t="str">
            <v>840 E 2nd St Waynesboro, PA 17268</v>
          </cell>
        </row>
        <row r="1006">
          <cell r="G1006">
            <v>274617</v>
          </cell>
          <cell r="H1006" t="str">
            <v>GATEWAY CHURCH</v>
          </cell>
          <cell r="I1006" t="str">
            <v>Parkesburg</v>
          </cell>
          <cell r="K1006" t="str">
            <v>160 Cowan Rd</v>
          </cell>
          <cell r="L1006" t="str">
            <v>PA</v>
          </cell>
          <cell r="M1006">
            <v>19365</v>
          </cell>
          <cell r="N1006" t="str">
            <v>160 Cowan Rd Parkesburg, PA 19365</v>
          </cell>
        </row>
        <row r="1007">
          <cell r="G1007">
            <v>246590</v>
          </cell>
          <cell r="H1007" t="str">
            <v>Ye Olde Ale House</v>
          </cell>
          <cell r="I1007" t="str">
            <v>Lafayette Hill</v>
          </cell>
          <cell r="K1007" t="str">
            <v>405 Germantown Pike</v>
          </cell>
          <cell r="L1007" t="str">
            <v>PA</v>
          </cell>
          <cell r="M1007">
            <v>19444</v>
          </cell>
          <cell r="N1007" t="str">
            <v>405 Germantown Pike Lafayette Hill, PA 19444</v>
          </cell>
        </row>
        <row r="1008">
          <cell r="G1008">
            <v>339092</v>
          </cell>
          <cell r="H1008" t="str">
            <v>Saint Monica Church</v>
          </cell>
          <cell r="I1008" t="str">
            <v>Berwyn</v>
          </cell>
          <cell r="K1008" t="str">
            <v>635 First Ave</v>
          </cell>
          <cell r="L1008" t="str">
            <v>PA</v>
          </cell>
          <cell r="M1008">
            <v>19312</v>
          </cell>
          <cell r="N1008" t="str">
            <v>635 First Ave Berwyn, PA 19312</v>
          </cell>
        </row>
        <row r="1009">
          <cell r="G1009">
            <v>416626</v>
          </cell>
          <cell r="H1009" t="str">
            <v>Charlestown Elementary School</v>
          </cell>
          <cell r="I1009" t="str">
            <v>Malvern</v>
          </cell>
          <cell r="K1009" t="str">
            <v>2060 Charlestown Rd</v>
          </cell>
          <cell r="L1009" t="str">
            <v>PA</v>
          </cell>
          <cell r="M1009">
            <v>19355</v>
          </cell>
          <cell r="N1009" t="str">
            <v>2060 Charlestown Rd Malvern, PA 19355</v>
          </cell>
        </row>
        <row r="1010">
          <cell r="G1010">
            <v>323598</v>
          </cell>
          <cell r="H1010" t="str">
            <v>RIVERS TRUCK CENTER</v>
          </cell>
          <cell r="I1010" t="str">
            <v>Red Lion</v>
          </cell>
          <cell r="K1010" t="str">
            <v>2975 Cape Horn Rd</v>
          </cell>
          <cell r="L1010" t="str">
            <v>PA</v>
          </cell>
          <cell r="M1010">
            <v>17356</v>
          </cell>
          <cell r="N1010" t="str">
            <v>2975 Cape Horn Rd Red Lion, PA 17356</v>
          </cell>
        </row>
        <row r="1011">
          <cell r="G1011">
            <v>468631</v>
          </cell>
          <cell r="H1011" t="str">
            <v>GREENWOOD - MIDDLE / HIGH</v>
          </cell>
          <cell r="I1011" t="str">
            <v>Millerstown</v>
          </cell>
          <cell r="J1011" t="str">
            <v>Lewistown</v>
          </cell>
          <cell r="K1011" t="str">
            <v>405 E Sunbury St</v>
          </cell>
          <cell r="L1011" t="str">
            <v>PA</v>
          </cell>
          <cell r="M1011">
            <v>17062</v>
          </cell>
          <cell r="N1011" t="str">
            <v>405 E Sunbury St Millerstown, PA 17062</v>
          </cell>
        </row>
        <row r="1012">
          <cell r="G1012">
            <v>419040</v>
          </cell>
          <cell r="H1012" t="str">
            <v>Wilmington Manor Elementary</v>
          </cell>
          <cell r="I1012" t="str">
            <v>New Castle</v>
          </cell>
          <cell r="K1012" t="str">
            <v>200 E Roosevelt Ave</v>
          </cell>
          <cell r="L1012" t="str">
            <v>DE</v>
          </cell>
          <cell r="M1012">
            <v>19720</v>
          </cell>
          <cell r="N1012" t="str">
            <v>200 E Roosevelt Ave New Castle, DE 19720</v>
          </cell>
        </row>
        <row r="1013">
          <cell r="G1013">
            <v>239318</v>
          </cell>
          <cell r="H1013" t="str">
            <v>BIRD IN HAND FAMILY INN#</v>
          </cell>
          <cell r="I1013" t="str">
            <v>Bird in Hand</v>
          </cell>
          <cell r="K1013" t="str">
            <v>2740 OLD PHILADELPHIA PIKE</v>
          </cell>
          <cell r="L1013" t="str">
            <v>PA</v>
          </cell>
          <cell r="M1013">
            <v>17505</v>
          </cell>
          <cell r="N1013" t="str">
            <v>2740 OLD PHILADELPHIA PIKE Bird in Hand, PA 17505</v>
          </cell>
        </row>
        <row r="1014">
          <cell r="G1014">
            <v>269479</v>
          </cell>
          <cell r="H1014" t="str">
            <v>LINCOLN INTERMEDIATE UNIT #12</v>
          </cell>
          <cell r="I1014" t="str">
            <v>New Oxford</v>
          </cell>
          <cell r="K1014" t="str">
            <v>65 Billerbeck St</v>
          </cell>
          <cell r="L1014" t="str">
            <v>PA</v>
          </cell>
          <cell r="M1014">
            <v>17350</v>
          </cell>
          <cell r="N1014" t="str">
            <v>65 Billerbeck St New Oxford, PA 17350</v>
          </cell>
        </row>
        <row r="1015">
          <cell r="G1015">
            <v>483689</v>
          </cell>
          <cell r="H1015" t="str">
            <v>Landis Place on King</v>
          </cell>
          <cell r="I1015" t="str">
            <v>Lancaster</v>
          </cell>
          <cell r="K1015" t="str">
            <v>239 W King St</v>
          </cell>
          <cell r="L1015" t="str">
            <v>PA</v>
          </cell>
          <cell r="M1015">
            <v>17603</v>
          </cell>
          <cell r="N1015" t="str">
            <v>239 W King St Lancaster, PA 17603</v>
          </cell>
        </row>
        <row r="1016">
          <cell r="G1016">
            <v>239139</v>
          </cell>
          <cell r="H1016" t="str">
            <v>AKRON GRACE EC CHURCH</v>
          </cell>
          <cell r="I1016" t="str">
            <v>AKRON</v>
          </cell>
          <cell r="J1016" t="str">
            <v>Lancaster - NE</v>
          </cell>
          <cell r="K1016" t="str">
            <v>101 N 7th St</v>
          </cell>
          <cell r="L1016" t="str">
            <v>PA</v>
          </cell>
          <cell r="M1016">
            <v>17501</v>
          </cell>
          <cell r="N1016" t="str">
            <v>101 N 7th St AKRON, PA 17501</v>
          </cell>
        </row>
        <row r="1017">
          <cell r="G1017">
            <v>239344</v>
          </cell>
          <cell r="H1017" t="str">
            <v>CC-BOMBERGERS STORE</v>
          </cell>
          <cell r="I1017" t="str">
            <v>Lititz</v>
          </cell>
          <cell r="K1017" t="str">
            <v>555 Furnace Hills Pike</v>
          </cell>
          <cell r="L1017" t="str">
            <v>PA</v>
          </cell>
          <cell r="M1017">
            <v>17543</v>
          </cell>
          <cell r="N1017" t="str">
            <v>555 Furnace Hills Pike Lititz, PA 17543</v>
          </cell>
        </row>
        <row r="1018">
          <cell r="G1018">
            <v>266867</v>
          </cell>
          <cell r="H1018" t="str">
            <v>All Jersey Janitorial Service</v>
          </cell>
          <cell r="I1018" t="str">
            <v>Freehold</v>
          </cell>
          <cell r="K1018" t="str">
            <v>1719 Ginesi Dr</v>
          </cell>
          <cell r="L1018" t="str">
            <v>NJ</v>
          </cell>
          <cell r="M1018">
            <v>7728</v>
          </cell>
          <cell r="N1018" t="str">
            <v>1719 Ginesi Dr Freehold, NJ 07728</v>
          </cell>
        </row>
        <row r="1019">
          <cell r="G1019">
            <v>470374</v>
          </cell>
          <cell r="H1019" t="str">
            <v>TUSCARORA JR HIGH SCHOOL</v>
          </cell>
          <cell r="I1019" t="str">
            <v>Mifflintown</v>
          </cell>
          <cell r="J1019" t="str">
            <v>Lewistown</v>
          </cell>
          <cell r="K1019" t="str">
            <v>3873 William Penn Hwy</v>
          </cell>
          <cell r="L1019" t="str">
            <v>PA</v>
          </cell>
          <cell r="M1019">
            <v>17059</v>
          </cell>
          <cell r="N1019" t="str">
            <v>3873 William Penn Hwy Mifflintown, PA 17059</v>
          </cell>
        </row>
        <row r="1020">
          <cell r="G1020">
            <v>316947</v>
          </cell>
          <cell r="H1020" t="str">
            <v>LSC Communications</v>
          </cell>
          <cell r="I1020" t="str">
            <v>Lancaster</v>
          </cell>
          <cell r="K1020" t="str">
            <v>216 Greenfield Rd</v>
          </cell>
          <cell r="L1020" t="str">
            <v>PA</v>
          </cell>
          <cell r="M1020">
            <v>17601</v>
          </cell>
          <cell r="N1020" t="str">
            <v>216 Greenfield Rd Lancaster, PA 17601</v>
          </cell>
        </row>
        <row r="1021">
          <cell r="G1021">
            <v>256101</v>
          </cell>
          <cell r="H1021" t="str">
            <v>State Street Assisted Living</v>
          </cell>
          <cell r="I1021" t="str">
            <v>Dover</v>
          </cell>
          <cell r="K1021" t="str">
            <v>21 N State St</v>
          </cell>
          <cell r="L1021" t="str">
            <v>DE</v>
          </cell>
          <cell r="M1021">
            <v>19901</v>
          </cell>
          <cell r="N1021" t="str">
            <v>21 N State St Dover, DE 19901</v>
          </cell>
        </row>
        <row r="1022">
          <cell r="G1022">
            <v>303746</v>
          </cell>
          <cell r="H1022" t="str">
            <v>EXETER BIBLE CHURCH</v>
          </cell>
          <cell r="I1022" t="str">
            <v>Birdsboro</v>
          </cell>
          <cell r="K1022" t="str">
            <v>926 Philadelphia Ter</v>
          </cell>
          <cell r="L1022" t="str">
            <v>PA</v>
          </cell>
          <cell r="M1022">
            <v>19508</v>
          </cell>
          <cell r="N1022" t="str">
            <v>926 Philadelphia Ter Birdsboro, PA 19508</v>
          </cell>
        </row>
        <row r="1023">
          <cell r="G1023">
            <v>446215</v>
          </cell>
          <cell r="H1023" t="str">
            <v>THE RUG BEATER</v>
          </cell>
          <cell r="I1023" t="str">
            <v>Talmage</v>
          </cell>
          <cell r="K1023" t="str">
            <v>327 S State St</v>
          </cell>
          <cell r="L1023" t="str">
            <v>PA</v>
          </cell>
          <cell r="M1023">
            <v>17580</v>
          </cell>
          <cell r="N1023" t="str">
            <v>327 S State St Talmage, PA 17580</v>
          </cell>
        </row>
        <row r="1024">
          <cell r="G1024">
            <v>319931</v>
          </cell>
          <cell r="H1024" t="str">
            <v>Audi of Devon</v>
          </cell>
          <cell r="I1024" t="str">
            <v>Devon</v>
          </cell>
          <cell r="K1024" t="str">
            <v>222 W Lancaster Ave</v>
          </cell>
          <cell r="L1024" t="str">
            <v>PA</v>
          </cell>
          <cell r="M1024">
            <v>19333</v>
          </cell>
          <cell r="N1024" t="str">
            <v>222 W Lancaster Ave Devon, PA 19333</v>
          </cell>
        </row>
        <row r="1025">
          <cell r="G1025">
            <v>241724</v>
          </cell>
          <cell r="H1025" t="str">
            <v>Salem United Church of Christ</v>
          </cell>
          <cell r="I1025" t="str">
            <v>Lancaster</v>
          </cell>
          <cell r="K1025" t="str">
            <v>2312 Marietta Ave</v>
          </cell>
          <cell r="L1025" t="str">
            <v>PA</v>
          </cell>
          <cell r="M1025">
            <v>17603</v>
          </cell>
          <cell r="N1025" t="str">
            <v>2312 Marietta Ave Lancaster, PA 17603</v>
          </cell>
        </row>
        <row r="1026">
          <cell r="G1026">
            <v>247675</v>
          </cell>
          <cell r="H1026" t="str">
            <v>Image Keepers Inc - CC</v>
          </cell>
          <cell r="I1026" t="str">
            <v>Ronks</v>
          </cell>
          <cell r="K1026" t="str">
            <v>146 N Ronks Rd</v>
          </cell>
          <cell r="L1026" t="str">
            <v>PA</v>
          </cell>
          <cell r="M1026">
            <v>17572</v>
          </cell>
          <cell r="N1026" t="str">
            <v>146 N Ronks Rd Ronks, PA 17572</v>
          </cell>
        </row>
        <row r="1027">
          <cell r="G1027">
            <v>283927</v>
          </cell>
          <cell r="H1027" t="str">
            <v>BLACK ROCK RETREAT</v>
          </cell>
          <cell r="I1027" t="str">
            <v>Quarryville</v>
          </cell>
          <cell r="K1027" t="str">
            <v>1345 Kirkwood Pike</v>
          </cell>
          <cell r="L1027" t="str">
            <v>PA</v>
          </cell>
          <cell r="M1027">
            <v>17566</v>
          </cell>
          <cell r="N1027" t="str">
            <v>1345 Kirkwood Pike Quarryville, PA 17566</v>
          </cell>
        </row>
        <row r="1028">
          <cell r="G1028">
            <v>245286</v>
          </cell>
          <cell r="H1028" t="str">
            <v>Gateway Kia</v>
          </cell>
          <cell r="I1028" t="str">
            <v>Warrington</v>
          </cell>
          <cell r="K1028" t="str">
            <v>1425 Easton Rd</v>
          </cell>
          <cell r="L1028" t="str">
            <v>PA</v>
          </cell>
          <cell r="M1028">
            <v>18976</v>
          </cell>
          <cell r="N1028" t="str">
            <v>1425 Easton Rd Warrington, PA 18976</v>
          </cell>
        </row>
        <row r="1029">
          <cell r="G1029">
            <v>482212</v>
          </cell>
          <cell r="H1029" t="str">
            <v>GR Klinefelter Underwriters</v>
          </cell>
          <cell r="I1029" t="str">
            <v>Ephrata</v>
          </cell>
          <cell r="K1029" t="str">
            <v>1 E Main St</v>
          </cell>
          <cell r="L1029" t="str">
            <v>PA</v>
          </cell>
          <cell r="M1029">
            <v>17522</v>
          </cell>
          <cell r="N1029" t="str">
            <v>1 E Main St Ephrata, PA 17522</v>
          </cell>
        </row>
        <row r="1030">
          <cell r="G1030">
            <v>418448</v>
          </cell>
          <cell r="H1030" t="str">
            <v>Rainbow Elementary School</v>
          </cell>
          <cell r="I1030" t="str">
            <v>Coatesville</v>
          </cell>
          <cell r="K1030" t="str">
            <v>50 Country Club Rd</v>
          </cell>
          <cell r="L1030" t="str">
            <v>PA</v>
          </cell>
          <cell r="M1030">
            <v>19320</v>
          </cell>
          <cell r="N1030" t="str">
            <v>50 Country Club Rd Coatesville, PA 19320</v>
          </cell>
        </row>
        <row r="1031">
          <cell r="G1031">
            <v>468630</v>
          </cell>
          <cell r="H1031" t="str">
            <v>GREENWOOD - ELEMENTARY SCHOOL</v>
          </cell>
          <cell r="I1031" t="str">
            <v>Millerstown</v>
          </cell>
          <cell r="J1031" t="str">
            <v>Lewistown</v>
          </cell>
          <cell r="K1031" t="str">
            <v>405 E Sunbury St</v>
          </cell>
          <cell r="L1031" t="str">
            <v>PA</v>
          </cell>
          <cell r="M1031">
            <v>17062</v>
          </cell>
          <cell r="N1031" t="str">
            <v>405 E Sunbury St Millerstown, PA 17062</v>
          </cell>
        </row>
        <row r="1032">
          <cell r="G1032">
            <v>418450</v>
          </cell>
          <cell r="H1032" t="str">
            <v>Rancocas Valley Regional High</v>
          </cell>
          <cell r="I1032" t="str">
            <v>Mount Holly</v>
          </cell>
          <cell r="J1032" t="str">
            <v>Cherry Hill</v>
          </cell>
          <cell r="K1032" t="str">
            <v>520 Jacksonville Rd</v>
          </cell>
          <cell r="L1032" t="str">
            <v>NJ</v>
          </cell>
          <cell r="M1032">
            <v>8060</v>
          </cell>
          <cell r="N1032" t="str">
            <v>520 Jacksonville Rd Mount Holly, NJ 08060</v>
          </cell>
        </row>
        <row r="1033">
          <cell r="G1033">
            <v>271271</v>
          </cell>
          <cell r="H1033" t="str">
            <v>St Anne's Episcopal School</v>
          </cell>
          <cell r="I1033" t="str">
            <v>MIDDLETOWN</v>
          </cell>
          <cell r="K1033" t="str">
            <v>211 Silver Lake Rd</v>
          </cell>
          <cell r="L1033" t="str">
            <v>DE</v>
          </cell>
          <cell r="M1033">
            <v>19709</v>
          </cell>
          <cell r="N1033" t="str">
            <v>211 Silver Lake Rd MIDDLETOWN, DE 19709</v>
          </cell>
        </row>
        <row r="1034">
          <cell r="G1034">
            <v>417073</v>
          </cell>
          <cell r="H1034" t="str">
            <v>Devereux Whitlock Center</v>
          </cell>
          <cell r="I1034" t="str">
            <v>Berwyn</v>
          </cell>
          <cell r="K1034" t="str">
            <v>826 Maple Ave</v>
          </cell>
          <cell r="L1034" t="str">
            <v>PA</v>
          </cell>
          <cell r="M1034">
            <v>19312</v>
          </cell>
          <cell r="N1034" t="str">
            <v>826 Maple Ave Berwyn, PA 19312</v>
          </cell>
        </row>
        <row r="1035">
          <cell r="G1035">
            <v>455042</v>
          </cell>
          <cell r="H1035" t="str">
            <v>EBENEZER GROCERIES</v>
          </cell>
          <cell r="I1035" t="str">
            <v>Ephrata</v>
          </cell>
          <cell r="K1035" t="str">
            <v>465 N Reading Rd</v>
          </cell>
          <cell r="L1035" t="str">
            <v>PA</v>
          </cell>
          <cell r="M1035">
            <v>17522</v>
          </cell>
          <cell r="N1035" t="str">
            <v>465 N Reading Rd Ephrata, PA 17522</v>
          </cell>
        </row>
        <row r="1036">
          <cell r="G1036">
            <v>242394</v>
          </cell>
          <cell r="H1036" t="str">
            <v>WHITMOYER FORD INC</v>
          </cell>
          <cell r="I1036" t="str">
            <v>Mount Joy</v>
          </cell>
          <cell r="K1036" t="str">
            <v>1001 E Main St</v>
          </cell>
          <cell r="L1036" t="str">
            <v>PA</v>
          </cell>
          <cell r="M1036">
            <v>17552</v>
          </cell>
          <cell r="N1036" t="str">
            <v>1001 E Main St Mount Joy, PA 17552</v>
          </cell>
        </row>
        <row r="1037">
          <cell r="G1037">
            <v>263978</v>
          </cell>
          <cell r="H1037" t="str">
            <v>MOT Charter School</v>
          </cell>
          <cell r="I1037" t="str">
            <v>MIDDLETOWN</v>
          </cell>
          <cell r="K1037" t="str">
            <v>1156 Levels Rd</v>
          </cell>
          <cell r="L1037" t="str">
            <v>DE</v>
          </cell>
          <cell r="M1037">
            <v>19709</v>
          </cell>
          <cell r="N1037" t="str">
            <v>1156 Levels Rd MIDDLETOWN, DE 19709</v>
          </cell>
        </row>
        <row r="1038">
          <cell r="G1038">
            <v>268766</v>
          </cell>
          <cell r="H1038" t="str">
            <v>Borough of Phoenixville</v>
          </cell>
          <cell r="I1038" t="str">
            <v>Phoenixville</v>
          </cell>
          <cell r="K1038" t="str">
            <v>351 Bridge St</v>
          </cell>
          <cell r="L1038" t="str">
            <v>PA</v>
          </cell>
          <cell r="M1038">
            <v>19460</v>
          </cell>
          <cell r="N1038" t="str">
            <v>351 Bridge St Phoenixville, PA 19460</v>
          </cell>
        </row>
        <row r="1039">
          <cell r="G1039">
            <v>474411</v>
          </cell>
          <cell r="H1039" t="str">
            <v>BLUE MOUNTAIN MIDDLE SCHOOL</v>
          </cell>
          <cell r="I1039" t="str">
            <v>Orwigsburg</v>
          </cell>
          <cell r="K1039" t="str">
            <v>685 Red Dale Rd</v>
          </cell>
          <cell r="L1039" t="str">
            <v>PA</v>
          </cell>
          <cell r="M1039">
            <v>17961</v>
          </cell>
          <cell r="N1039" t="str">
            <v>685 Red Dale Rd Orwigsburg, PA 17961</v>
          </cell>
        </row>
        <row r="1040">
          <cell r="G1040">
            <v>419500</v>
          </cell>
          <cell r="H1040" t="str">
            <v>LTG NORTH LP</v>
          </cell>
          <cell r="I1040" t="str">
            <v>Ronks</v>
          </cell>
          <cell r="K1040" t="str">
            <v>2521 Lincoln Hwy E</v>
          </cell>
          <cell r="L1040" t="str">
            <v>PA</v>
          </cell>
          <cell r="M1040">
            <v>17572</v>
          </cell>
          <cell r="N1040" t="str">
            <v>2521 Lincoln Hwy E Ronks, PA 17572</v>
          </cell>
        </row>
        <row r="1041">
          <cell r="G1041">
            <v>483521</v>
          </cell>
          <cell r="H1041" t="str">
            <v>CA-ENVIRONMENTAL - Reading</v>
          </cell>
          <cell r="I1041" t="str">
            <v>Temple</v>
          </cell>
          <cell r="K1041" t="str">
            <v>5370 Allentown Pike</v>
          </cell>
          <cell r="L1041" t="str">
            <v>PA</v>
          </cell>
          <cell r="M1041">
            <v>19560</v>
          </cell>
          <cell r="N1041" t="str">
            <v>5370 Allentown Pike Temple, PA 19560</v>
          </cell>
        </row>
        <row r="1042">
          <cell r="G1042">
            <v>307286</v>
          </cell>
          <cell r="H1042" t="str">
            <v>MOORES LAUNDROMAT V</v>
          </cell>
          <cell r="I1042" t="str">
            <v>Lititz</v>
          </cell>
          <cell r="K1042" t="str">
            <v>205 E 6th St</v>
          </cell>
          <cell r="L1042" t="str">
            <v>PA</v>
          </cell>
          <cell r="M1042">
            <v>17543</v>
          </cell>
          <cell r="N1042" t="str">
            <v>205 E 6th St Lititz, PA 17543</v>
          </cell>
        </row>
        <row r="1043">
          <cell r="G1043">
            <v>244110</v>
          </cell>
          <cell r="H1043" t="str">
            <v>Pitman Board of Education</v>
          </cell>
          <cell r="I1043" t="str">
            <v>Pitman</v>
          </cell>
          <cell r="K1043" t="str">
            <v>420 Hudson Ave</v>
          </cell>
          <cell r="L1043" t="str">
            <v>NJ</v>
          </cell>
          <cell r="M1043">
            <v>8071</v>
          </cell>
          <cell r="N1043" t="str">
            <v>420 Hudson Ave Pitman, NJ 08071</v>
          </cell>
        </row>
        <row r="1044">
          <cell r="G1044">
            <v>462592</v>
          </cell>
          <cell r="H1044" t="str">
            <v>St. Bernadette of Lourdes Scho</v>
          </cell>
          <cell r="I1044" t="str">
            <v>Drexel Hill</v>
          </cell>
          <cell r="K1044" t="str">
            <v>1001 Turner Ave</v>
          </cell>
          <cell r="L1044" t="str">
            <v>PA</v>
          </cell>
          <cell r="M1044">
            <v>19026</v>
          </cell>
          <cell r="N1044" t="str">
            <v>1001 Turner Ave Drexel Hill, PA 19026</v>
          </cell>
        </row>
        <row r="1045">
          <cell r="G1045">
            <v>453145</v>
          </cell>
          <cell r="H1045" t="str">
            <v>CENTRAL YORK MIDDLE SCHOOL</v>
          </cell>
          <cell r="I1045" t="str">
            <v>York</v>
          </cell>
          <cell r="K1045" t="str">
            <v>1950 N Hills Rd</v>
          </cell>
          <cell r="L1045" t="str">
            <v>PA</v>
          </cell>
          <cell r="M1045">
            <v>17406</v>
          </cell>
          <cell r="N1045" t="str">
            <v>1950 N Hills Rd York, PA 17406</v>
          </cell>
        </row>
        <row r="1046">
          <cell r="G1046">
            <v>469598</v>
          </cell>
          <cell r="H1046" t="str">
            <v>TWIN VALLEY MIDDLE SCHOOL</v>
          </cell>
          <cell r="I1046" t="str">
            <v>Elverson</v>
          </cell>
          <cell r="K1046" t="str">
            <v>770 Clymer Hill Rd</v>
          </cell>
          <cell r="L1046" t="str">
            <v>PA</v>
          </cell>
          <cell r="M1046">
            <v>19520</v>
          </cell>
          <cell r="N1046" t="str">
            <v>770 Clymer Hill Rd Elverson, PA 19520</v>
          </cell>
        </row>
        <row r="1047">
          <cell r="G1047">
            <v>339089</v>
          </cell>
          <cell r="H1047" t="str">
            <v>CC-REVEL NAIL LLC</v>
          </cell>
          <cell r="I1047" t="str">
            <v>Blackwood</v>
          </cell>
          <cell r="J1047" t="str">
            <v>Cherry Hill</v>
          </cell>
          <cell r="K1047" t="str">
            <v>90 Coles Rd</v>
          </cell>
          <cell r="L1047" t="str">
            <v>NJ</v>
          </cell>
          <cell r="M1047">
            <v>8012</v>
          </cell>
          <cell r="N1047" t="str">
            <v>90 Coles Rd Blackwood, NJ 08012</v>
          </cell>
        </row>
        <row r="1048">
          <cell r="G1048">
            <v>434177</v>
          </cell>
          <cell r="H1048" t="str">
            <v>HOSPICE OF LANC COUNTY</v>
          </cell>
          <cell r="I1048" t="str">
            <v>Mount Joy</v>
          </cell>
          <cell r="K1048" t="str">
            <v>4075 Old Harrisburg Pike</v>
          </cell>
          <cell r="L1048" t="str">
            <v>PA</v>
          </cell>
          <cell r="M1048">
            <v>17552</v>
          </cell>
          <cell r="N1048" t="str">
            <v>4075 Old Harrisburg Pike Mount Joy, PA 17552</v>
          </cell>
        </row>
        <row r="1049">
          <cell r="G1049">
            <v>470438</v>
          </cell>
          <cell r="H1049" t="str">
            <v>LEWISBURG AREA SCHOOL DISTRICT</v>
          </cell>
          <cell r="I1049" t="str">
            <v>Lewisburg</v>
          </cell>
          <cell r="K1049" t="str">
            <v>2020 Washington Ave</v>
          </cell>
          <cell r="L1049" t="str">
            <v>PA</v>
          </cell>
          <cell r="M1049">
            <v>17837</v>
          </cell>
          <cell r="N1049" t="str">
            <v>2020 Washington Ave Lewisburg, PA 17837</v>
          </cell>
        </row>
        <row r="1050">
          <cell r="G1050">
            <v>240422</v>
          </cell>
          <cell r="H1050" t="str">
            <v>Culpeper of Leola</v>
          </cell>
          <cell r="I1050" t="str">
            <v>Leola</v>
          </cell>
          <cell r="K1050" t="str">
            <v>33 Glenola Dr</v>
          </cell>
          <cell r="L1050" t="str">
            <v>PA</v>
          </cell>
          <cell r="M1050">
            <v>17540</v>
          </cell>
          <cell r="N1050" t="str">
            <v>33 Glenola Dr Leola, PA 17540</v>
          </cell>
        </row>
        <row r="1051">
          <cell r="G1051">
            <v>313002</v>
          </cell>
          <cell r="H1051" t="str">
            <v>Solebury School</v>
          </cell>
          <cell r="I1051" t="str">
            <v>New Hope</v>
          </cell>
          <cell r="K1051" t="str">
            <v>6832 Phillips Mill Rd</v>
          </cell>
          <cell r="L1051" t="str">
            <v>PA</v>
          </cell>
          <cell r="M1051">
            <v>18938</v>
          </cell>
          <cell r="N1051" t="str">
            <v>6832 Phillips Mill Rd New Hope, PA 18938</v>
          </cell>
        </row>
        <row r="1052">
          <cell r="G1052">
            <v>467277</v>
          </cell>
          <cell r="H1052" t="str">
            <v>SPRING GROVE HIGH SCHOOL</v>
          </cell>
          <cell r="I1052" t="str">
            <v>Spring Grove</v>
          </cell>
          <cell r="K1052" t="str">
            <v>1490 Roth Church Rd</v>
          </cell>
          <cell r="L1052" t="str">
            <v>PA</v>
          </cell>
          <cell r="M1052">
            <v>17362</v>
          </cell>
          <cell r="N1052" t="str">
            <v>1490 Roth Church Rd Spring Grove, PA 17362</v>
          </cell>
        </row>
        <row r="1053">
          <cell r="G1053">
            <v>240147</v>
          </cell>
          <cell r="H1053" t="str">
            <v>FRYS CARPET #</v>
          </cell>
          <cell r="I1053" t="str">
            <v>Lancaster</v>
          </cell>
          <cell r="K1053" t="str">
            <v>517 N Plum St</v>
          </cell>
          <cell r="L1053" t="str">
            <v>PA</v>
          </cell>
          <cell r="M1053">
            <v>17602</v>
          </cell>
          <cell r="N1053" t="str">
            <v>517 N Plum St Lancaster, PA 17602</v>
          </cell>
        </row>
        <row r="1054">
          <cell r="G1054">
            <v>459385</v>
          </cell>
          <cell r="H1054" t="str">
            <v>SINKING SPRING ELEMENTARY</v>
          </cell>
          <cell r="I1054" t="str">
            <v>York</v>
          </cell>
          <cell r="K1054" t="str">
            <v>2850 N Susquehanna Trl</v>
          </cell>
          <cell r="L1054" t="str">
            <v>PA</v>
          </cell>
          <cell r="M1054">
            <v>17406</v>
          </cell>
          <cell r="N1054" t="str">
            <v>2850 N Susquehanna Trl York, PA 17406</v>
          </cell>
        </row>
        <row r="1055">
          <cell r="G1055">
            <v>246796</v>
          </cell>
          <cell r="H1055" t="str">
            <v>FAITH BAPTIST CHURCH#</v>
          </cell>
          <cell r="I1055" t="str">
            <v>Lebanon</v>
          </cell>
          <cell r="K1055" t="str">
            <v>220 S 22nd St</v>
          </cell>
          <cell r="L1055" t="str">
            <v>PA</v>
          </cell>
          <cell r="M1055">
            <v>17042</v>
          </cell>
          <cell r="N1055" t="str">
            <v>220 S 22nd St Lebanon, PA 17042</v>
          </cell>
        </row>
        <row r="1056">
          <cell r="G1056">
            <v>416611</v>
          </cell>
          <cell r="H1056" t="str">
            <v>DOVER HIGH SCHOOL</v>
          </cell>
          <cell r="I1056" t="str">
            <v>Dover</v>
          </cell>
          <cell r="K1056" t="str">
            <v>1 Dover High Dr</v>
          </cell>
          <cell r="L1056" t="str">
            <v>DE</v>
          </cell>
          <cell r="M1056">
            <v>19904</v>
          </cell>
          <cell r="N1056" t="str">
            <v>1 Dover High Dr Dover, DE 19904</v>
          </cell>
        </row>
        <row r="1057">
          <cell r="G1057">
            <v>322072</v>
          </cell>
          <cell r="H1057" t="str">
            <v>Matteras Liquors Canals</v>
          </cell>
          <cell r="I1057" t="str">
            <v>Rio Grande</v>
          </cell>
          <cell r="K1057" t="str">
            <v>1613 Route 47</v>
          </cell>
          <cell r="L1057" t="str">
            <v>NJ</v>
          </cell>
          <cell r="M1057">
            <v>8242</v>
          </cell>
          <cell r="N1057" t="str">
            <v>1613 Route 47 Rio Grande, NJ 08242</v>
          </cell>
        </row>
        <row r="1058">
          <cell r="G1058">
            <v>331652</v>
          </cell>
          <cell r="H1058" t="str">
            <v>Assumption BVM School</v>
          </cell>
          <cell r="I1058" t="str">
            <v>West Grove</v>
          </cell>
          <cell r="K1058" t="str">
            <v>290 State Rd</v>
          </cell>
          <cell r="L1058" t="str">
            <v>PA</v>
          </cell>
          <cell r="M1058">
            <v>19390</v>
          </cell>
          <cell r="N1058" t="str">
            <v>290 State Rd West Grove, PA 19390</v>
          </cell>
        </row>
        <row r="1059">
          <cell r="G1059">
            <v>242270</v>
          </cell>
          <cell r="H1059" t="str">
            <v>VERITAS ACADEMY INC</v>
          </cell>
          <cell r="I1059" t="str">
            <v>Leola</v>
          </cell>
          <cell r="K1059" t="str">
            <v>26 Hillcrest Ave</v>
          </cell>
          <cell r="L1059" t="str">
            <v>PA</v>
          </cell>
          <cell r="M1059">
            <v>17540</v>
          </cell>
          <cell r="N1059" t="str">
            <v>26 Hillcrest Ave Leola, PA 17540</v>
          </cell>
        </row>
        <row r="1060">
          <cell r="G1060">
            <v>242572</v>
          </cell>
          <cell r="H1060" t="str">
            <v>BIRD IN HAND FAMILY RESTAURANT</v>
          </cell>
          <cell r="I1060" t="str">
            <v>Bird in Hand</v>
          </cell>
          <cell r="K1060" t="str">
            <v>2760 Old Philadelphia Pike</v>
          </cell>
          <cell r="L1060" t="str">
            <v>PA</v>
          </cell>
          <cell r="M1060">
            <v>17505</v>
          </cell>
          <cell r="N1060" t="str">
            <v>2760 Old Philadelphia Pike Bird in Hand, PA 17505</v>
          </cell>
        </row>
        <row r="1061">
          <cell r="G1061">
            <v>445821</v>
          </cell>
          <cell r="H1061" t="str">
            <v>INDIAN VALLEY CENTER</v>
          </cell>
          <cell r="I1061" t="str">
            <v>Reedsville</v>
          </cell>
          <cell r="J1061" t="str">
            <v>Lewistown</v>
          </cell>
          <cell r="K1061" t="str">
            <v>125 Kish Rd</v>
          </cell>
          <cell r="L1061" t="str">
            <v>PA</v>
          </cell>
          <cell r="M1061">
            <v>17084</v>
          </cell>
          <cell r="N1061" t="str">
            <v>125 Kish Rd Reedsville, PA 17084</v>
          </cell>
        </row>
        <row r="1062">
          <cell r="G1062">
            <v>246498</v>
          </cell>
          <cell r="H1062" t="str">
            <v>Villa Joseph Marie School</v>
          </cell>
          <cell r="I1062" t="str">
            <v>Holland</v>
          </cell>
          <cell r="K1062" t="str">
            <v>1180 Holland Rd</v>
          </cell>
          <cell r="L1062" t="str">
            <v>PA</v>
          </cell>
          <cell r="M1062">
            <v>18966</v>
          </cell>
          <cell r="N1062" t="str">
            <v>1180 Holland Rd Holland, PA 18966</v>
          </cell>
        </row>
        <row r="1063">
          <cell r="G1063">
            <v>245969</v>
          </cell>
          <cell r="H1063" t="str">
            <v>Paoli United Methodist Church</v>
          </cell>
          <cell r="I1063" t="str">
            <v>Paoli</v>
          </cell>
          <cell r="K1063" t="str">
            <v>81 Devon Rd</v>
          </cell>
          <cell r="L1063" t="str">
            <v>PA</v>
          </cell>
          <cell r="M1063">
            <v>19301</v>
          </cell>
          <cell r="N1063" t="str">
            <v>81 Devon Rd Paoli, PA 19301</v>
          </cell>
        </row>
        <row r="1064">
          <cell r="G1064">
            <v>243845</v>
          </cell>
          <cell r="H1064" t="str">
            <v>Local Union #313 IBEW</v>
          </cell>
          <cell r="I1064" t="str">
            <v>New Castle</v>
          </cell>
          <cell r="K1064" t="str">
            <v>814 W Basin Rd</v>
          </cell>
          <cell r="L1064" t="str">
            <v>DE</v>
          </cell>
          <cell r="M1064">
            <v>19720</v>
          </cell>
          <cell r="N1064" t="str">
            <v>814 W Basin Rd New Castle, DE 19720</v>
          </cell>
        </row>
        <row r="1065">
          <cell r="G1065">
            <v>460868</v>
          </cell>
          <cell r="H1065" t="str">
            <v>Montgomery County IU 23</v>
          </cell>
          <cell r="I1065" t="str">
            <v>NORRISTOWN</v>
          </cell>
          <cell r="K1065" t="str">
            <v>1605 W Main St</v>
          </cell>
          <cell r="L1065" t="str">
            <v>PA</v>
          </cell>
          <cell r="M1065">
            <v>19403</v>
          </cell>
          <cell r="N1065" t="str">
            <v>1605 W Main St NORRISTOWN, PA 19403</v>
          </cell>
        </row>
        <row r="1066">
          <cell r="G1066">
            <v>472893</v>
          </cell>
          <cell r="H1066" t="str">
            <v>LEADER HEIGHTS ELEMENTARY</v>
          </cell>
          <cell r="I1066" t="str">
            <v>York</v>
          </cell>
          <cell r="K1066" t="str">
            <v>49 Indian Rock Dam Rd</v>
          </cell>
          <cell r="L1066" t="str">
            <v>PA</v>
          </cell>
          <cell r="M1066">
            <v>17403</v>
          </cell>
          <cell r="N1066" t="str">
            <v>49 Indian Rock Dam Rd York, PA 17403</v>
          </cell>
        </row>
        <row r="1067">
          <cell r="G1067">
            <v>334799</v>
          </cell>
          <cell r="H1067" t="str">
            <v>TEMPLE SINAI</v>
          </cell>
          <cell r="I1067" t="str">
            <v>DRESHER</v>
          </cell>
          <cell r="K1067" t="str">
            <v>1401 Limekiln Pike</v>
          </cell>
          <cell r="L1067" t="str">
            <v>PA</v>
          </cell>
          <cell r="M1067">
            <v>19025</v>
          </cell>
          <cell r="N1067" t="str">
            <v>1401 Limekiln Pike DRESHER, PA 19025</v>
          </cell>
        </row>
        <row r="1068">
          <cell r="G1068">
            <v>241156</v>
          </cell>
          <cell r="H1068" t="str">
            <v>MORAVIAN MANOR#</v>
          </cell>
          <cell r="I1068" t="str">
            <v>Lititz</v>
          </cell>
          <cell r="K1068" t="str">
            <v>300 W Lemon St</v>
          </cell>
          <cell r="L1068" t="str">
            <v>PA</v>
          </cell>
          <cell r="M1068">
            <v>17543</v>
          </cell>
          <cell r="N1068" t="str">
            <v>300 W Lemon St Lititz, PA 17543</v>
          </cell>
        </row>
        <row r="1069">
          <cell r="G1069">
            <v>246033</v>
          </cell>
          <cell r="H1069" t="str">
            <v>Pinecrest Country Club Banquet</v>
          </cell>
          <cell r="I1069" t="str">
            <v>Lansdale</v>
          </cell>
          <cell r="K1069" t="str">
            <v>101 Country Club Dr</v>
          </cell>
          <cell r="L1069" t="str">
            <v>PA</v>
          </cell>
          <cell r="M1069">
            <v>19446</v>
          </cell>
          <cell r="N1069" t="str">
            <v>101 Country Club Dr Lansdale, PA 19446</v>
          </cell>
        </row>
        <row r="1070">
          <cell r="G1070">
            <v>242358</v>
          </cell>
          <cell r="H1070" t="str">
            <v>WERLEYS CLEANING SERVICE</v>
          </cell>
          <cell r="I1070" t="str">
            <v>Kutztown</v>
          </cell>
          <cell r="K1070" t="str">
            <v>89 Kohler Rd</v>
          </cell>
          <cell r="L1070" t="str">
            <v>PA</v>
          </cell>
          <cell r="M1070">
            <v>19530</v>
          </cell>
          <cell r="N1070" t="str">
            <v>89 Kohler Rd Kutztown, PA 19530</v>
          </cell>
        </row>
        <row r="1071">
          <cell r="G1071">
            <v>294093</v>
          </cell>
          <cell r="H1071" t="str">
            <v>BETHLEHEM UNITED METHODIST CHU</v>
          </cell>
          <cell r="I1071" t="str">
            <v>DALLASTOWN</v>
          </cell>
          <cell r="K1071" t="str">
            <v>109 E Main St</v>
          </cell>
          <cell r="L1071" t="str">
            <v>PA</v>
          </cell>
          <cell r="M1071">
            <v>17313</v>
          </cell>
          <cell r="N1071" t="str">
            <v>109 E Main St DALLASTOWN, PA 17313</v>
          </cell>
        </row>
        <row r="1072">
          <cell r="G1072">
            <v>273778</v>
          </cell>
          <cell r="H1072" t="str">
            <v>IN THE NET#</v>
          </cell>
          <cell r="I1072" t="str">
            <v>Palmyra</v>
          </cell>
          <cell r="K1072" t="str">
            <v>798 Airport Rd</v>
          </cell>
          <cell r="L1072" t="str">
            <v>PA</v>
          </cell>
          <cell r="M1072">
            <v>17078</v>
          </cell>
          <cell r="N1072" t="str">
            <v>798 Airport Rd Palmyra, PA 17078</v>
          </cell>
        </row>
        <row r="1073">
          <cell r="G1073">
            <v>467610</v>
          </cell>
          <cell r="H1073" t="str">
            <v>NORTH HILLS ELEMENTARY</v>
          </cell>
          <cell r="I1073" t="str">
            <v>York</v>
          </cell>
          <cell r="K1073" t="str">
            <v>1330 N Hills Rd</v>
          </cell>
          <cell r="L1073" t="str">
            <v>PA</v>
          </cell>
          <cell r="M1073">
            <v>17406</v>
          </cell>
          <cell r="N1073" t="str">
            <v>1330 N Hills Rd York, PA 17406</v>
          </cell>
        </row>
        <row r="1074">
          <cell r="G1074">
            <v>453620</v>
          </cell>
          <cell r="H1074" t="str">
            <v>CONRAD WEISER HIGH SCHOOL</v>
          </cell>
          <cell r="I1074" t="str">
            <v>Robesonia</v>
          </cell>
          <cell r="K1074" t="str">
            <v>44 Big Spring Rd</v>
          </cell>
          <cell r="L1074" t="str">
            <v>PA</v>
          </cell>
          <cell r="M1074">
            <v>19551</v>
          </cell>
          <cell r="N1074" t="str">
            <v>44 Big Spring Rd Robesonia, PA 19551</v>
          </cell>
        </row>
        <row r="1075">
          <cell r="G1075">
            <v>463293</v>
          </cell>
          <cell r="H1075" t="str">
            <v>KUTZTOWN HIGH SCHOOL</v>
          </cell>
          <cell r="I1075" t="str">
            <v>Kutztown</v>
          </cell>
          <cell r="K1075" t="str">
            <v>50 Trexler Ave</v>
          </cell>
          <cell r="L1075" t="str">
            <v>PA</v>
          </cell>
          <cell r="M1075">
            <v>19530</v>
          </cell>
          <cell r="N1075" t="str">
            <v>50 Trexler Ave Kutztown, PA 19530</v>
          </cell>
        </row>
        <row r="1076">
          <cell r="G1076">
            <v>243601</v>
          </cell>
          <cell r="H1076" t="str">
            <v>Hibbert Group *ShipTo Only*</v>
          </cell>
          <cell r="I1076" t="str">
            <v>Robbinsville</v>
          </cell>
          <cell r="K1076" t="str">
            <v>1100 US Highway 130</v>
          </cell>
          <cell r="L1076" t="str">
            <v>NJ</v>
          </cell>
          <cell r="M1076">
            <v>8691</v>
          </cell>
          <cell r="N1076" t="str">
            <v>1100 US Highway 130 Robbinsville, NJ 08691</v>
          </cell>
        </row>
        <row r="1077">
          <cell r="G1077">
            <v>464189</v>
          </cell>
          <cell r="H1077" t="str">
            <v>WEST HANOVER ELEMENTARY SCHOOL</v>
          </cell>
          <cell r="I1077" t="str">
            <v>Harrisburg</v>
          </cell>
          <cell r="K1077" t="str">
            <v>7740 Manor Dr</v>
          </cell>
          <cell r="L1077" t="str">
            <v>PA</v>
          </cell>
          <cell r="M1077">
            <v>17112</v>
          </cell>
          <cell r="N1077" t="str">
            <v>7740 Manor Dr Harrisburg, PA 17112</v>
          </cell>
        </row>
        <row r="1078">
          <cell r="G1078">
            <v>240218</v>
          </cell>
          <cell r="H1078" t="str">
            <v>GLICK FIRE EQUIPMENT CO INC</v>
          </cell>
          <cell r="I1078" t="str">
            <v>Bird in Hand</v>
          </cell>
          <cell r="K1078" t="str">
            <v>350 Mill Creek Rd</v>
          </cell>
          <cell r="L1078" t="str">
            <v>PA</v>
          </cell>
          <cell r="M1078">
            <v>17505</v>
          </cell>
          <cell r="N1078" t="str">
            <v>350 Mill Creek Rd Bird in Hand, PA 17505</v>
          </cell>
        </row>
        <row r="1079">
          <cell r="G1079">
            <v>320030</v>
          </cell>
          <cell r="H1079" t="str">
            <v>CLUB 521 INC***</v>
          </cell>
          <cell r="I1079" t="str">
            <v>Lancaster</v>
          </cell>
          <cell r="K1079" t="str">
            <v>2400 Butter Rd</v>
          </cell>
          <cell r="L1079" t="str">
            <v>PA</v>
          </cell>
          <cell r="M1079">
            <v>17601</v>
          </cell>
          <cell r="N1079" t="str">
            <v>2400 Butter Rd Lancaster, PA 17601</v>
          </cell>
        </row>
        <row r="1080">
          <cell r="G1080">
            <v>451729</v>
          </cell>
          <cell r="H1080" t="str">
            <v>EPHRATA MANAGEMENT SERVICES</v>
          </cell>
          <cell r="I1080" t="str">
            <v>Ephrata</v>
          </cell>
          <cell r="K1080" t="str">
            <v>400 W Main St</v>
          </cell>
          <cell r="L1080" t="str">
            <v>PA</v>
          </cell>
          <cell r="M1080">
            <v>17522</v>
          </cell>
          <cell r="N1080" t="str">
            <v>400 W Main St Ephrata, PA 17522</v>
          </cell>
        </row>
        <row r="1081">
          <cell r="G1081">
            <v>449435</v>
          </cell>
          <cell r="H1081" t="str">
            <v>Spring Meadow Early Childhood</v>
          </cell>
          <cell r="I1081" t="str">
            <v>Townsend</v>
          </cell>
          <cell r="K1081" t="str">
            <v>611 Campus Dr</v>
          </cell>
          <cell r="L1081" t="str">
            <v>DE</v>
          </cell>
          <cell r="M1081">
            <v>19734</v>
          </cell>
          <cell r="N1081" t="str">
            <v>611 Campus Dr Townsend, DE 19734</v>
          </cell>
        </row>
        <row r="1082">
          <cell r="G1082">
            <v>440889</v>
          </cell>
          <cell r="H1082" t="str">
            <v>Manheim Elementary School</v>
          </cell>
          <cell r="I1082" t="str">
            <v>Glenville</v>
          </cell>
          <cell r="K1082" t="str">
            <v>5778 Blooming Grove Rd</v>
          </cell>
          <cell r="L1082" t="str">
            <v>PA</v>
          </cell>
          <cell r="M1082">
            <v>17329</v>
          </cell>
          <cell r="N1082" t="str">
            <v>5778 Blooming Grove Rd Glenville, PA 17329</v>
          </cell>
        </row>
        <row r="1083">
          <cell r="G1083">
            <v>294138</v>
          </cell>
          <cell r="H1083" t="str">
            <v>New Life Thrift Inc</v>
          </cell>
          <cell r="I1083" t="str">
            <v>Glenside</v>
          </cell>
          <cell r="K1083" t="str">
            <v>800 N Easton Rd</v>
          </cell>
          <cell r="L1083" t="str">
            <v>PA</v>
          </cell>
          <cell r="M1083">
            <v>19038</v>
          </cell>
          <cell r="N1083" t="str">
            <v>800 N Easton Rd Glenside, PA 19038</v>
          </cell>
        </row>
        <row r="1084">
          <cell r="G1084">
            <v>464213</v>
          </cell>
          <cell r="H1084" t="str">
            <v>PHILLIPS ELEMENTARY SCHOOL</v>
          </cell>
          <cell r="I1084" t="str">
            <v>Harrisburg</v>
          </cell>
          <cell r="K1084" t="str">
            <v>100 Oakmont Rd</v>
          </cell>
          <cell r="L1084" t="str">
            <v>PA</v>
          </cell>
          <cell r="M1084">
            <v>17109</v>
          </cell>
          <cell r="N1084" t="str">
            <v>100 Oakmont Rd Harrisburg, PA 17109</v>
          </cell>
        </row>
        <row r="1085">
          <cell r="G1085">
            <v>294829</v>
          </cell>
          <cell r="H1085" t="str">
            <v>Delaware Tech Community Colleg</v>
          </cell>
          <cell r="I1085" t="str">
            <v>Dover</v>
          </cell>
          <cell r="K1085" t="str">
            <v>100 Campus Dr</v>
          </cell>
          <cell r="L1085" t="str">
            <v>DE</v>
          </cell>
          <cell r="M1085">
            <v>19904</v>
          </cell>
          <cell r="N1085" t="str">
            <v>100 Campus Dr Dover, DE 19904</v>
          </cell>
        </row>
        <row r="1086">
          <cell r="G1086">
            <v>325399</v>
          </cell>
          <cell r="H1086" t="str">
            <v>ADVENT LUTHERAN CHURCH</v>
          </cell>
          <cell r="I1086" t="str">
            <v>West Chester</v>
          </cell>
          <cell r="K1086" t="str">
            <v>1601 Green Ln</v>
          </cell>
          <cell r="L1086" t="str">
            <v>PA</v>
          </cell>
          <cell r="M1086">
            <v>19382</v>
          </cell>
          <cell r="N1086" t="str">
            <v>1601 Green Ln West Chester, PA 19382</v>
          </cell>
        </row>
        <row r="1087">
          <cell r="G1087">
            <v>474403</v>
          </cell>
          <cell r="H1087" t="str">
            <v>BLUE MOUNTAIN EAST ELEMENTARY</v>
          </cell>
          <cell r="I1087" t="str">
            <v>Orwigsburg</v>
          </cell>
          <cell r="K1087" t="str">
            <v>675 Red Dale Rd</v>
          </cell>
          <cell r="L1087" t="str">
            <v>PA</v>
          </cell>
          <cell r="M1087">
            <v>17961</v>
          </cell>
          <cell r="N1087" t="str">
            <v>675 Red Dale Rd Orwigsburg, PA 17961</v>
          </cell>
        </row>
        <row r="1088">
          <cell r="G1088">
            <v>245870</v>
          </cell>
          <cell r="H1088" t="str">
            <v>Hopewell Valley Regional Schoo</v>
          </cell>
          <cell r="I1088" t="str">
            <v>Pennington</v>
          </cell>
          <cell r="K1088" t="str">
            <v>425 S Main St</v>
          </cell>
          <cell r="L1088" t="str">
            <v>NJ</v>
          </cell>
          <cell r="M1088">
            <v>8534</v>
          </cell>
          <cell r="N1088" t="str">
            <v>425 S Main St Pennington, NJ 08534</v>
          </cell>
        </row>
        <row r="1089">
          <cell r="G1089">
            <v>241684</v>
          </cell>
          <cell r="H1089" t="str">
            <v>RUTTERS FARM STORES #43</v>
          </cell>
          <cell r="I1089" t="str">
            <v>York</v>
          </cell>
          <cell r="K1089" t="str">
            <v>1590 KENNETH RD</v>
          </cell>
          <cell r="L1089" t="str">
            <v>PA</v>
          </cell>
          <cell r="M1089">
            <v>17408</v>
          </cell>
          <cell r="N1089" t="str">
            <v>1590 KENNETH RD York, PA 17408</v>
          </cell>
        </row>
        <row r="1090">
          <cell r="G1090">
            <v>431664</v>
          </cell>
          <cell r="H1090" t="str">
            <v>Ntirety Inc</v>
          </cell>
          <cell r="I1090" t="str">
            <v>Newark</v>
          </cell>
          <cell r="K1090" t="str">
            <v>650 Pencader Dr</v>
          </cell>
          <cell r="L1090" t="str">
            <v>DE</v>
          </cell>
          <cell r="M1090">
            <v>19702</v>
          </cell>
          <cell r="N1090" t="str">
            <v>650 Pencader Dr Newark, DE 19702</v>
          </cell>
        </row>
        <row r="1091">
          <cell r="G1091">
            <v>416512</v>
          </cell>
          <cell r="H1091" t="str">
            <v>Buildings &amp; Grounds Center</v>
          </cell>
          <cell r="I1091" t="str">
            <v>Coatesville</v>
          </cell>
          <cell r="K1091" t="str">
            <v>1515 E Lincoln Hwy</v>
          </cell>
          <cell r="L1091" t="str">
            <v>PA</v>
          </cell>
          <cell r="M1091">
            <v>19320</v>
          </cell>
          <cell r="N1091" t="str">
            <v>1515 E Lincoln Hwy Coatesville, PA 19320</v>
          </cell>
        </row>
        <row r="1092">
          <cell r="G1092">
            <v>241282</v>
          </cell>
          <cell r="H1092" t="str">
            <v>MUNICIPAL EMERG SERVICE AUTHOR</v>
          </cell>
          <cell r="I1092" t="str">
            <v>ELIZABETHTOWN</v>
          </cell>
          <cell r="K1092" t="str">
            <v>380 W BAINBRIDGE ST</v>
          </cell>
          <cell r="L1092" t="str">
            <v>PA</v>
          </cell>
          <cell r="M1092">
            <v>17022</v>
          </cell>
          <cell r="N1092" t="str">
            <v>380 W BAINBRIDGE ST ELIZABETHTOWN, PA 17022</v>
          </cell>
        </row>
        <row r="1093">
          <cell r="G1093">
            <v>429737</v>
          </cell>
          <cell r="H1093" t="str">
            <v>Glen Mills Schools</v>
          </cell>
          <cell r="I1093" t="str">
            <v>Glen Mills</v>
          </cell>
          <cell r="K1093" t="str">
            <v>185 Glen Mills Rd</v>
          </cell>
          <cell r="L1093" t="str">
            <v>PA</v>
          </cell>
          <cell r="M1093">
            <v>19342</v>
          </cell>
          <cell r="N1093" t="str">
            <v>185 Glen Mills Rd Glen Mills, PA 19342</v>
          </cell>
        </row>
        <row r="1094">
          <cell r="G1094">
            <v>240170</v>
          </cell>
          <cell r="H1094" t="str">
            <v>GARROD HYDRAULICS#</v>
          </cell>
          <cell r="I1094" t="str">
            <v>York</v>
          </cell>
          <cell r="K1094" t="str">
            <v>1050 Locust Point Rd</v>
          </cell>
          <cell r="L1094" t="str">
            <v>PA</v>
          </cell>
          <cell r="M1094">
            <v>17406</v>
          </cell>
          <cell r="N1094" t="str">
            <v>1050 Locust Point Rd York, PA 17406</v>
          </cell>
        </row>
        <row r="1095">
          <cell r="G1095">
            <v>464205</v>
          </cell>
          <cell r="H1095" t="str">
            <v>CHAMBERS HILL ELEMENTARY SCHOO</v>
          </cell>
          <cell r="I1095" t="str">
            <v>Harrisburg</v>
          </cell>
          <cell r="K1095" t="str">
            <v>6450 Chambers Hill Rd</v>
          </cell>
          <cell r="L1095" t="str">
            <v>PA</v>
          </cell>
          <cell r="M1095">
            <v>17111</v>
          </cell>
          <cell r="N1095" t="str">
            <v>6450 Chambers Hill Rd Harrisburg, PA 17111</v>
          </cell>
        </row>
        <row r="1096">
          <cell r="G1096">
            <v>243967</v>
          </cell>
          <cell r="H1096" t="str">
            <v>Milford Enterprises Inc.</v>
          </cell>
          <cell r="I1096" t="str">
            <v>Quakertown</v>
          </cell>
          <cell r="K1096" t="str">
            <v>2650 Milford Square Pike</v>
          </cell>
          <cell r="L1096" t="str">
            <v>PA</v>
          </cell>
          <cell r="M1096">
            <v>18951</v>
          </cell>
          <cell r="N1096" t="str">
            <v>2650 Milford Square Pike Quakertown, PA 18951</v>
          </cell>
        </row>
        <row r="1097">
          <cell r="G1097">
            <v>241227</v>
          </cell>
          <cell r="H1097" t="str">
            <v>NEFFSVILLE MENN CHURCH#</v>
          </cell>
          <cell r="I1097" t="str">
            <v>Lancaster</v>
          </cell>
          <cell r="K1097" t="str">
            <v>2371 Lititz Pike</v>
          </cell>
          <cell r="L1097" t="str">
            <v>PA</v>
          </cell>
          <cell r="M1097">
            <v>17601</v>
          </cell>
          <cell r="N1097" t="str">
            <v>2371 Lititz Pike Lancaster, PA 17601</v>
          </cell>
        </row>
        <row r="1098">
          <cell r="G1098">
            <v>301561</v>
          </cell>
          <cell r="H1098" t="str">
            <v>S R COVER PROPERTIES</v>
          </cell>
          <cell r="I1098" t="str">
            <v>Ephrata</v>
          </cell>
          <cell r="K1098" t="str">
            <v>300 W Chestnut St Ste B1</v>
          </cell>
          <cell r="L1098" t="str">
            <v>PA</v>
          </cell>
          <cell r="M1098">
            <v>17522</v>
          </cell>
          <cell r="N1098" t="str">
            <v>300 W Chestnut St Ste B1 Ephrata, PA 17522</v>
          </cell>
        </row>
        <row r="1099">
          <cell r="G1099">
            <v>456816</v>
          </cell>
          <cell r="H1099" t="str">
            <v>MOWREY ELEMENTARY</v>
          </cell>
          <cell r="I1099" t="str">
            <v>Waynesboro</v>
          </cell>
          <cell r="K1099" t="str">
            <v>7891 Tomstown Rd</v>
          </cell>
          <cell r="L1099" t="str">
            <v>PA</v>
          </cell>
          <cell r="M1099">
            <v>17268</v>
          </cell>
          <cell r="N1099" t="str">
            <v>7891 Tomstown Rd Waynesboro, PA 17268</v>
          </cell>
        </row>
        <row r="1100">
          <cell r="G1100">
            <v>464210</v>
          </cell>
          <cell r="H1100" t="str">
            <v>NORTH SIDE ELEMENTARY SCHOOL</v>
          </cell>
          <cell r="I1100" t="str">
            <v>Harrisburg</v>
          </cell>
          <cell r="K1100" t="str">
            <v>4520 Devonshire Rd</v>
          </cell>
          <cell r="L1100" t="str">
            <v>PA</v>
          </cell>
          <cell r="M1100">
            <v>17109</v>
          </cell>
          <cell r="N1100" t="str">
            <v>4520 Devonshire Rd Harrisburg, PA 17109</v>
          </cell>
        </row>
        <row r="1101">
          <cell r="G1101">
            <v>468380</v>
          </cell>
          <cell r="H1101" t="str">
            <v>DONEGAL SCHOOL MAINTENANCE SHO</v>
          </cell>
          <cell r="I1101" t="str">
            <v>Mount Joy</v>
          </cell>
          <cell r="K1101" t="str">
            <v>1005 Koser Rd</v>
          </cell>
          <cell r="L1101" t="str">
            <v>PA</v>
          </cell>
          <cell r="M1101">
            <v>17552</v>
          </cell>
          <cell r="N1101" t="str">
            <v>1005 Koser Rd Mount Joy, PA 17552</v>
          </cell>
        </row>
        <row r="1102">
          <cell r="G1102">
            <v>464206</v>
          </cell>
          <cell r="H1102" t="str">
            <v>LAWNTON ELEMENTARY SCHOOL</v>
          </cell>
          <cell r="I1102" t="str">
            <v>Harrisburg</v>
          </cell>
          <cell r="K1102" t="str">
            <v>4400 Franklin St</v>
          </cell>
          <cell r="L1102" t="str">
            <v>PA</v>
          </cell>
          <cell r="M1102">
            <v>17111</v>
          </cell>
          <cell r="N1102" t="str">
            <v>4400 Franklin St Harrisburg, PA 17111</v>
          </cell>
        </row>
        <row r="1103">
          <cell r="G1103">
            <v>480898</v>
          </cell>
          <cell r="H1103" t="str">
            <v>Assumption BVM School CCIU</v>
          </cell>
          <cell r="I1103" t="str">
            <v>West Grove</v>
          </cell>
          <cell r="K1103" t="str">
            <v>290 State Rd</v>
          </cell>
          <cell r="L1103" t="str">
            <v>PA</v>
          </cell>
          <cell r="M1103">
            <v>19390</v>
          </cell>
          <cell r="N1103" t="str">
            <v>290 State Rd West Grove, PA 19390</v>
          </cell>
        </row>
        <row r="1104">
          <cell r="G1104">
            <v>464216</v>
          </cell>
          <cell r="H1104" t="str">
            <v>TRI COMMUNITY ELEMENTARY SCHOO</v>
          </cell>
          <cell r="I1104" t="str">
            <v>Steelton</v>
          </cell>
          <cell r="K1104" t="str">
            <v>255 Cypress St</v>
          </cell>
          <cell r="L1104" t="str">
            <v>PA</v>
          </cell>
          <cell r="M1104">
            <v>17113</v>
          </cell>
          <cell r="N1104" t="str">
            <v>255 Cypress St Steelton, PA 17113</v>
          </cell>
        </row>
        <row r="1105">
          <cell r="G1105">
            <v>479157</v>
          </cell>
          <cell r="H1105" t="str">
            <v>TCA</v>
          </cell>
          <cell r="I1105" t="str">
            <v>Media</v>
          </cell>
          <cell r="K1105" t="str">
            <v>710 S Old Middletown Rd</v>
          </cell>
          <cell r="L1105" t="str">
            <v>PA</v>
          </cell>
          <cell r="M1105">
            <v>19063</v>
          </cell>
          <cell r="N1105" t="str">
            <v>710 S Old Middletown Rd Media, PA 19063</v>
          </cell>
        </row>
        <row r="1106">
          <cell r="G1106">
            <v>481570</v>
          </cell>
          <cell r="H1106" t="str">
            <v>Mold Base Industries</v>
          </cell>
          <cell r="I1106" t="str">
            <v>Harrisburg</v>
          </cell>
          <cell r="K1106" t="str">
            <v>7501 Derry Street</v>
          </cell>
          <cell r="L1106" t="str">
            <v>PA</v>
          </cell>
          <cell r="M1106">
            <v>17111</v>
          </cell>
          <cell r="N1106" t="str">
            <v>7501 Derry Street Harrisburg, PA 17111</v>
          </cell>
        </row>
        <row r="1107">
          <cell r="G1107">
            <v>460002</v>
          </cell>
          <cell r="H1107" t="str">
            <v>Central Baptist Church of Wayn</v>
          </cell>
          <cell r="I1107" t="str">
            <v>Wayne</v>
          </cell>
          <cell r="K1107" t="str">
            <v>106 W Wayne Ave</v>
          </cell>
          <cell r="L1107" t="str">
            <v>PA</v>
          </cell>
          <cell r="M1107">
            <v>19087</v>
          </cell>
          <cell r="N1107" t="str">
            <v>106 W Wayne Ave Wayne, PA 19087</v>
          </cell>
        </row>
        <row r="1108">
          <cell r="G1108">
            <v>424827</v>
          </cell>
          <cell r="H1108" t="str">
            <v>Northern Burlington Middle Sch</v>
          </cell>
          <cell r="I1108" t="str">
            <v>Columbus</v>
          </cell>
          <cell r="J1108" t="str">
            <v>Trenton - South</v>
          </cell>
          <cell r="K1108" t="str">
            <v>180 Mansfield Rd E</v>
          </cell>
          <cell r="L1108" t="str">
            <v>NJ</v>
          </cell>
          <cell r="M1108">
            <v>8022</v>
          </cell>
          <cell r="N1108" t="str">
            <v>180 Mansfield Rd E Columbus, NJ 08022</v>
          </cell>
        </row>
        <row r="1109">
          <cell r="G1109">
            <v>471872</v>
          </cell>
          <cell r="H1109" t="str">
            <v>Millersville - Byerly/Luek Hal</v>
          </cell>
          <cell r="I1109" t="str">
            <v>Millersville</v>
          </cell>
          <cell r="K1109" t="str">
            <v>24 Pucillo Drive</v>
          </cell>
          <cell r="L1109" t="str">
            <v>PA</v>
          </cell>
          <cell r="M1109">
            <v>17551</v>
          </cell>
          <cell r="N1109" t="str">
            <v>24 Pucillo Drive Millersville, PA 17551</v>
          </cell>
        </row>
        <row r="1110">
          <cell r="G1110">
            <v>473996</v>
          </cell>
          <cell r="H1110" t="str">
            <v>Susquehanna Printing Company</v>
          </cell>
          <cell r="I1110" t="str">
            <v>Lancaster</v>
          </cell>
          <cell r="K1110" t="str">
            <v>1704 Hempstead Rd</v>
          </cell>
          <cell r="L1110" t="str">
            <v>PA</v>
          </cell>
          <cell r="M1110">
            <v>17601</v>
          </cell>
          <cell r="N1110" t="str">
            <v>1704 Hempstead Rd Lancaster, PA 17601</v>
          </cell>
        </row>
        <row r="1111">
          <cell r="G1111">
            <v>481025</v>
          </cell>
          <cell r="H1111" t="str">
            <v>ENVIRONMENTAL - BSSF Camphill</v>
          </cell>
          <cell r="I1111" t="str">
            <v>CAMP HILL</v>
          </cell>
          <cell r="K1111" t="str">
            <v>210 GRANDVIEW AVE</v>
          </cell>
          <cell r="L1111" t="str">
            <v>PA</v>
          </cell>
          <cell r="M1111">
            <v>17011</v>
          </cell>
          <cell r="N1111" t="str">
            <v>210 GRANDVIEW AVE CAMP HILL, PA 17011</v>
          </cell>
        </row>
        <row r="1112">
          <cell r="G1112">
            <v>306344</v>
          </cell>
          <cell r="H1112" t="str">
            <v>ADCOCK BROTHERS SERVICE CENTER</v>
          </cell>
          <cell r="I1112" t="str">
            <v>Manheim</v>
          </cell>
          <cell r="K1112" t="str">
            <v>14 Anthony Dr</v>
          </cell>
          <cell r="L1112" t="str">
            <v>PA</v>
          </cell>
          <cell r="M1112">
            <v>17545</v>
          </cell>
          <cell r="N1112" t="str">
            <v>14 Anthony Dr Manheim, PA 17545</v>
          </cell>
        </row>
        <row r="1113">
          <cell r="G1113">
            <v>416361</v>
          </cell>
          <cell r="H1113" t="str">
            <v>Bensalem High School Annex</v>
          </cell>
          <cell r="I1113" t="str">
            <v>Bensalem</v>
          </cell>
          <cell r="J1113" t="str">
            <v>Philly - NE</v>
          </cell>
          <cell r="K1113" t="str">
            <v>4319 Hulmeville Rd</v>
          </cell>
          <cell r="L1113" t="str">
            <v>PA</v>
          </cell>
          <cell r="M1113">
            <v>19020</v>
          </cell>
          <cell r="N1113" t="str">
            <v>4319 Hulmeville Rd Bensalem, PA 19020</v>
          </cell>
        </row>
        <row r="1114">
          <cell r="G1114">
            <v>306550</v>
          </cell>
          <cell r="H1114" t="str">
            <v>ENGEL MACHINERY INC#</v>
          </cell>
          <cell r="I1114" t="str">
            <v>York</v>
          </cell>
          <cell r="K1114" t="str">
            <v>3740 Board Rd</v>
          </cell>
          <cell r="L1114" t="str">
            <v>PA</v>
          </cell>
          <cell r="M1114">
            <v>17406</v>
          </cell>
          <cell r="N1114" t="str">
            <v>3740 Board Rd York, PA 17406</v>
          </cell>
        </row>
        <row r="1115">
          <cell r="G1115">
            <v>242598</v>
          </cell>
          <cell r="H1115" t="str">
            <v>COMPANION ANIMAL HOSPITAL#</v>
          </cell>
          <cell r="I1115" t="str">
            <v>Selinsgrove</v>
          </cell>
          <cell r="K1115" t="str">
            <v>335 Route 35</v>
          </cell>
          <cell r="L1115" t="str">
            <v>PA</v>
          </cell>
          <cell r="M1115">
            <v>17870</v>
          </cell>
          <cell r="N1115" t="str">
            <v>335 Route 35 Selinsgrove, PA 17870</v>
          </cell>
        </row>
        <row r="1116">
          <cell r="G1116">
            <v>418399</v>
          </cell>
          <cell r="H1116" t="str">
            <v>Poquessing Middle School</v>
          </cell>
          <cell r="I1116" t="str">
            <v>Feasterville Trevose</v>
          </cell>
          <cell r="J1116" t="str">
            <v>Philly Suburbs - North</v>
          </cell>
          <cell r="K1116" t="str">
            <v>300 Heights Ln</v>
          </cell>
          <cell r="L1116" t="str">
            <v>PA</v>
          </cell>
          <cell r="M1116">
            <v>19053</v>
          </cell>
          <cell r="N1116" t="str">
            <v>300 Heights Ln Feasterville Trevose, PA 19053</v>
          </cell>
        </row>
        <row r="1117">
          <cell r="G1117">
            <v>418758</v>
          </cell>
          <cell r="H1117" t="str">
            <v>Tawanka Elementary School</v>
          </cell>
          <cell r="I1117" t="str">
            <v>Langhorne</v>
          </cell>
          <cell r="K1117" t="str">
            <v>2055 Brownsville Rd</v>
          </cell>
          <cell r="L1117" t="str">
            <v>PA</v>
          </cell>
          <cell r="M1117">
            <v>19053</v>
          </cell>
          <cell r="N1117" t="str">
            <v>2055 Brownsville Rd Langhorne, PA 19053</v>
          </cell>
        </row>
        <row r="1118">
          <cell r="G1118">
            <v>418974</v>
          </cell>
          <cell r="H1118" t="str">
            <v>Walter Miller Elementary Schoo</v>
          </cell>
          <cell r="I1118" t="str">
            <v>Levittown</v>
          </cell>
          <cell r="K1118" t="str">
            <v>10 Cobalt Ridge Dr S</v>
          </cell>
          <cell r="L1118" t="str">
            <v>PA</v>
          </cell>
          <cell r="M1118">
            <v>19057</v>
          </cell>
          <cell r="N1118" t="str">
            <v>10 Cobalt Ridge Dr S Levittown, PA 19057</v>
          </cell>
        </row>
        <row r="1119">
          <cell r="G1119">
            <v>450432</v>
          </cell>
          <cell r="H1119" t="str">
            <v>MUHLENBERG HIGH SCHOOL</v>
          </cell>
          <cell r="I1119" t="str">
            <v>Reading</v>
          </cell>
          <cell r="K1119" t="str">
            <v>400 Sharp Ave</v>
          </cell>
          <cell r="L1119" t="str">
            <v>PA</v>
          </cell>
          <cell r="M1119">
            <v>19605</v>
          </cell>
          <cell r="N1119" t="str">
            <v>400 Sharp Ave Reading, PA 19605</v>
          </cell>
        </row>
        <row r="1120">
          <cell r="G1120">
            <v>471892</v>
          </cell>
          <cell r="H1120" t="str">
            <v>Millersville-Hash Bldg/Bassler</v>
          </cell>
          <cell r="I1120" t="str">
            <v>Millersville</v>
          </cell>
          <cell r="K1120" t="str">
            <v>10 S George St</v>
          </cell>
          <cell r="L1120" t="str">
            <v>PA</v>
          </cell>
          <cell r="M1120">
            <v>17551</v>
          </cell>
          <cell r="N1120" t="str">
            <v>10 S George St Millersville, PA 17551</v>
          </cell>
        </row>
        <row r="1121">
          <cell r="G1121">
            <v>433345</v>
          </cell>
          <cell r="H1121" t="str">
            <v>Camden Tower</v>
          </cell>
          <cell r="I1121" t="str">
            <v>Camden</v>
          </cell>
          <cell r="J1121" t="str">
            <v>Camden</v>
          </cell>
          <cell r="K1121" t="str">
            <v>215 N 3rd St</v>
          </cell>
          <cell r="L1121" t="str">
            <v>NJ</v>
          </cell>
          <cell r="M1121">
            <v>8102</v>
          </cell>
          <cell r="N1121" t="str">
            <v>215 N 3rd St Camden, NJ 08102</v>
          </cell>
        </row>
        <row r="1122">
          <cell r="G1122">
            <v>319928</v>
          </cell>
          <cell r="H1122" t="str">
            <v>YB WELDING INC</v>
          </cell>
          <cell r="I1122" t="str">
            <v>Chambersburg</v>
          </cell>
          <cell r="K1122" t="str">
            <v>990 Progress Rd</v>
          </cell>
          <cell r="L1122" t="str">
            <v>PA</v>
          </cell>
          <cell r="M1122">
            <v>17201</v>
          </cell>
          <cell r="N1122" t="str">
            <v>990 Progress Rd Chambersburg, PA 17201</v>
          </cell>
        </row>
        <row r="1123">
          <cell r="G1123">
            <v>239751</v>
          </cell>
          <cell r="H1123" t="str">
            <v>CURTS CLEANING V</v>
          </cell>
          <cell r="I1123" t="str">
            <v>Quarryville</v>
          </cell>
          <cell r="K1123" t="str">
            <v>14 Fawn Dr</v>
          </cell>
          <cell r="L1123" t="str">
            <v>PA</v>
          </cell>
          <cell r="M1123">
            <v>17566</v>
          </cell>
          <cell r="N1123" t="str">
            <v>14 Fawn Dr Quarryville, PA 17566</v>
          </cell>
        </row>
        <row r="1124">
          <cell r="G1124">
            <v>241289</v>
          </cell>
          <cell r="H1124" t="str">
            <v>ENERGY CENTER HARRISBURG</v>
          </cell>
          <cell r="I1124" t="str">
            <v>Harrisburg</v>
          </cell>
          <cell r="K1124" t="str">
            <v>900 Walnut St</v>
          </cell>
          <cell r="L1124" t="str">
            <v>PA</v>
          </cell>
          <cell r="M1124">
            <v>17101</v>
          </cell>
          <cell r="N1124" t="str">
            <v>900 Walnut St Harrisburg, PA 17101</v>
          </cell>
        </row>
        <row r="1125">
          <cell r="G1125">
            <v>415725</v>
          </cell>
          <cell r="H1125" t="str">
            <v>SKH NURSERY York</v>
          </cell>
          <cell r="I1125" t="str">
            <v>York</v>
          </cell>
          <cell r="K1125" t="str">
            <v>4450 Lincoln Hwy</v>
          </cell>
          <cell r="L1125" t="str">
            <v>PA</v>
          </cell>
          <cell r="M1125">
            <v>17406</v>
          </cell>
          <cell r="N1125" t="str">
            <v>4450 Lincoln Hwy York, PA 17406</v>
          </cell>
        </row>
        <row r="1126">
          <cell r="G1126">
            <v>415509</v>
          </cell>
          <cell r="H1126" t="str">
            <v>HEGINS VALLEY FARMS</v>
          </cell>
          <cell r="I1126" t="str">
            <v>Hegins</v>
          </cell>
          <cell r="K1126" t="str">
            <v>824 Church Rd</v>
          </cell>
          <cell r="L1126" t="str">
            <v>PA</v>
          </cell>
          <cell r="M1126">
            <v>17938</v>
          </cell>
          <cell r="N1126" t="str">
            <v>824 Church Rd Hegins, PA 17938</v>
          </cell>
        </row>
        <row r="1127">
          <cell r="G1127">
            <v>240874</v>
          </cell>
          <cell r="H1127" t="str">
            <v>LESTER R SUMMERS INC</v>
          </cell>
          <cell r="I1127" t="str">
            <v>Ephrata</v>
          </cell>
          <cell r="K1127" t="str">
            <v>40 Garden Spot Rd</v>
          </cell>
          <cell r="L1127" t="str">
            <v>PA</v>
          </cell>
          <cell r="M1127">
            <v>17522</v>
          </cell>
          <cell r="N1127" t="str">
            <v>40 Garden Spot Rd Ephrata, PA 17522</v>
          </cell>
        </row>
        <row r="1128">
          <cell r="G1128">
            <v>471594</v>
          </cell>
          <cell r="H1128" t="str">
            <v>St Bernadette of Lourdes Churc</v>
          </cell>
          <cell r="I1128" t="str">
            <v>Drexel Hill</v>
          </cell>
          <cell r="K1128" t="str">
            <v>1025 Turner Ave</v>
          </cell>
          <cell r="L1128" t="str">
            <v>PA</v>
          </cell>
          <cell r="M1128">
            <v>19026</v>
          </cell>
          <cell r="N1128" t="str">
            <v>1025 Turner Ave Drexel Hill, PA 19026</v>
          </cell>
        </row>
        <row r="1129">
          <cell r="G1129">
            <v>418079</v>
          </cell>
          <cell r="H1129" t="str">
            <v>Metric Realty</v>
          </cell>
          <cell r="I1129" t="str">
            <v>Paoli</v>
          </cell>
          <cell r="K1129" t="str">
            <v>1776 E Lancaster Ave</v>
          </cell>
          <cell r="L1129" t="str">
            <v>PA</v>
          </cell>
          <cell r="M1129">
            <v>19301</v>
          </cell>
          <cell r="N1129" t="str">
            <v>1776 E Lancaster Ave Paoli, PA 19301</v>
          </cell>
        </row>
        <row r="1130">
          <cell r="G1130">
            <v>239289</v>
          </cell>
          <cell r="H1130" t="str">
            <v>BERKS CAREER &amp; TECHNOLOGY CNT#</v>
          </cell>
          <cell r="I1130" t="str">
            <v>Leesport</v>
          </cell>
          <cell r="K1130" t="str">
            <v>1057 County Rd</v>
          </cell>
          <cell r="L1130" t="str">
            <v>PA</v>
          </cell>
          <cell r="M1130">
            <v>19533</v>
          </cell>
          <cell r="N1130" t="str">
            <v>1057 County Rd Leesport, PA 19533</v>
          </cell>
        </row>
        <row r="1131">
          <cell r="G1131">
            <v>265980</v>
          </cell>
          <cell r="H1131" t="str">
            <v>PLANET FITNESS - CARERRA#</v>
          </cell>
          <cell r="I1131" t="str">
            <v>Lancaster</v>
          </cell>
          <cell r="K1131" t="str">
            <v>366 Carerra Dr</v>
          </cell>
          <cell r="L1131" t="str">
            <v>PA</v>
          </cell>
          <cell r="M1131">
            <v>17601</v>
          </cell>
          <cell r="N1131" t="str">
            <v>366 Carerra Dr Lancaster, PA 17601</v>
          </cell>
        </row>
        <row r="1132">
          <cell r="G1132">
            <v>440865</v>
          </cell>
          <cell r="H1132" t="str">
            <v>Pennfield Middle School</v>
          </cell>
          <cell r="I1132" t="str">
            <v>Hatfield</v>
          </cell>
          <cell r="K1132" t="str">
            <v>726 Forty Foot Rd</v>
          </cell>
          <cell r="L1132" t="str">
            <v>PA</v>
          </cell>
          <cell r="M1132">
            <v>19440</v>
          </cell>
          <cell r="N1132" t="str">
            <v>726 Forty Foot Rd Hatfield, PA 19440</v>
          </cell>
        </row>
        <row r="1133">
          <cell r="G1133">
            <v>306315</v>
          </cell>
          <cell r="H1133" t="str">
            <v>Bright New Scholars Academy</v>
          </cell>
          <cell r="I1133" t="str">
            <v>Newark</v>
          </cell>
          <cell r="K1133" t="str">
            <v>355 Corporate Blvd</v>
          </cell>
          <cell r="L1133" t="str">
            <v>DE</v>
          </cell>
          <cell r="M1133">
            <v>19702</v>
          </cell>
          <cell r="N1133" t="str">
            <v>355 Corporate Blvd Newark, DE 19702</v>
          </cell>
        </row>
        <row r="1134">
          <cell r="G1134">
            <v>241670</v>
          </cell>
          <cell r="H1134" t="str">
            <v>RUTTERS FARM STORES #26</v>
          </cell>
          <cell r="I1134" t="str">
            <v>Shrewsbury</v>
          </cell>
          <cell r="K1134" t="str">
            <v>615 S Main St</v>
          </cell>
          <cell r="L1134" t="str">
            <v>PA</v>
          </cell>
          <cell r="M1134">
            <v>17361</v>
          </cell>
          <cell r="N1134" t="str">
            <v>615 S Main St Shrewsbury, PA 17361</v>
          </cell>
        </row>
        <row r="1135">
          <cell r="G1135">
            <v>324139</v>
          </cell>
          <cell r="H1135" t="str">
            <v>Elizabethtown Community Fair I</v>
          </cell>
          <cell r="I1135" t="str">
            <v>ELIZABETHTOWN</v>
          </cell>
          <cell r="K1135" t="str">
            <v>900 E High St</v>
          </cell>
          <cell r="L1135" t="str">
            <v>PA</v>
          </cell>
          <cell r="M1135">
            <v>17022</v>
          </cell>
          <cell r="N1135" t="str">
            <v>900 E High St ELIZABETHTOWN, PA 17022</v>
          </cell>
        </row>
        <row r="1136">
          <cell r="G1136">
            <v>246473</v>
          </cell>
          <cell r="H1136" t="str">
            <v>Upper Moreland School District</v>
          </cell>
          <cell r="I1136" t="str">
            <v>WILLOW GROVE</v>
          </cell>
          <cell r="J1136" t="str">
            <v>Philly Suburbs - North</v>
          </cell>
          <cell r="K1136" t="str">
            <v>2900 Terwood Rd</v>
          </cell>
          <cell r="L1136" t="str">
            <v>PA</v>
          </cell>
          <cell r="M1136">
            <v>19090</v>
          </cell>
          <cell r="N1136" t="str">
            <v>2900 Terwood Rd WILLOW GROVE, PA 19090</v>
          </cell>
        </row>
        <row r="1137">
          <cell r="G1137">
            <v>241691</v>
          </cell>
          <cell r="H1137" t="str">
            <v>RUTTERS FARM STORES #51</v>
          </cell>
          <cell r="I1137" t="str">
            <v>Jacobus</v>
          </cell>
          <cell r="K1137" t="str">
            <v>35 N Main St</v>
          </cell>
          <cell r="L1137" t="str">
            <v>PA</v>
          </cell>
          <cell r="M1137">
            <v>17407</v>
          </cell>
          <cell r="N1137" t="str">
            <v>35 N Main St Jacobus, PA 17407</v>
          </cell>
        </row>
        <row r="1138">
          <cell r="G1138">
            <v>419206</v>
          </cell>
          <cell r="H1138" t="str">
            <v>Reeds Road Elementary School</v>
          </cell>
          <cell r="I1138" t="str">
            <v>Galloway</v>
          </cell>
          <cell r="K1138" t="str">
            <v>103 S Reeds Rd</v>
          </cell>
          <cell r="L1138" t="str">
            <v>NJ</v>
          </cell>
          <cell r="M1138">
            <v>8205</v>
          </cell>
          <cell r="N1138" t="str">
            <v>103 S Reeds Rd Galloway, NJ 08205</v>
          </cell>
        </row>
        <row r="1139">
          <cell r="G1139">
            <v>471187</v>
          </cell>
          <cell r="H1139" t="str">
            <v>Willow Creek Elementary School</v>
          </cell>
          <cell r="I1139" t="str">
            <v>Fleetwood</v>
          </cell>
          <cell r="K1139" t="str">
            <v>605 Crisscross Rd</v>
          </cell>
          <cell r="L1139" t="str">
            <v>PA</v>
          </cell>
          <cell r="M1139">
            <v>19522</v>
          </cell>
          <cell r="N1139" t="str">
            <v>605 Crisscross Rd Fleetwood, PA 19522</v>
          </cell>
        </row>
        <row r="1140">
          <cell r="G1140">
            <v>425222</v>
          </cell>
          <cell r="H1140" t="str">
            <v>ORE VALLEY ELEMENTARY SCHOOL</v>
          </cell>
          <cell r="I1140" t="str">
            <v>York</v>
          </cell>
          <cell r="K1140" t="str">
            <v>2620 Springwood Rd</v>
          </cell>
          <cell r="L1140" t="str">
            <v>PA</v>
          </cell>
          <cell r="M1140">
            <v>17402</v>
          </cell>
          <cell r="N1140" t="str">
            <v>2620 Springwood Rd York, PA 17402</v>
          </cell>
        </row>
        <row r="1141">
          <cell r="G1141">
            <v>268257</v>
          </cell>
          <cell r="H1141" t="str">
            <v>Lancaster Cty Solid Waste Man</v>
          </cell>
          <cell r="I1141" t="str">
            <v>Lancaster</v>
          </cell>
          <cell r="K1141" t="str">
            <v>1299 Harrisburg Ave</v>
          </cell>
          <cell r="L1141" t="str">
            <v>PA</v>
          </cell>
          <cell r="M1141">
            <v>17603</v>
          </cell>
          <cell r="N1141" t="str">
            <v>1299 Harrisburg Ave Lancaster, PA 17603</v>
          </cell>
        </row>
        <row r="1142">
          <cell r="G1142">
            <v>466038</v>
          </cell>
          <cell r="H1142" t="str">
            <v>Work Space Property-EMERGENT G</v>
          </cell>
          <cell r="I1142" t="str">
            <v>Horsham</v>
          </cell>
          <cell r="K1142" t="str">
            <v>100 Lakeside Dr Ste 150-EMERGENT GR</v>
          </cell>
          <cell r="L1142" t="str">
            <v>PA</v>
          </cell>
          <cell r="M1142">
            <v>19044</v>
          </cell>
          <cell r="N1142" t="str">
            <v>100 Lakeside Dr Ste 150-EMERGENT GR Horsham, PA 19044</v>
          </cell>
        </row>
        <row r="1143">
          <cell r="G1143">
            <v>341908</v>
          </cell>
          <cell r="H1143" t="str">
            <v>SIX FLAGS GREAT ADVENTURE , LL</v>
          </cell>
          <cell r="I1143" t="str">
            <v>Jackson</v>
          </cell>
          <cell r="J1143" t="str">
            <v>Jersey Shore - North</v>
          </cell>
          <cell r="K1143" t="str">
            <v>1 Six Flags Blvd</v>
          </cell>
          <cell r="L1143" t="str">
            <v>NJ</v>
          </cell>
          <cell r="M1143">
            <v>8527</v>
          </cell>
          <cell r="N1143" t="str">
            <v>1 Six Flags Blvd Jackson, NJ 08527</v>
          </cell>
        </row>
        <row r="1144">
          <cell r="G1144">
            <v>483516</v>
          </cell>
          <cell r="H1144" t="str">
            <v>CA-ENVIRONMENTAL - Hanover</v>
          </cell>
          <cell r="I1144" t="str">
            <v>Hanover</v>
          </cell>
          <cell r="K1144" t="str">
            <v>793 Baltimore St</v>
          </cell>
          <cell r="L1144" t="str">
            <v>PA</v>
          </cell>
          <cell r="M1144">
            <v>17331</v>
          </cell>
          <cell r="N1144" t="str">
            <v>793 Baltimore St Hanover, PA 17331</v>
          </cell>
        </row>
        <row r="1145">
          <cell r="G1145">
            <v>274393</v>
          </cell>
          <cell r="H1145" t="str">
            <v>Malvern Preparatory School</v>
          </cell>
          <cell r="I1145" t="str">
            <v>Malvern</v>
          </cell>
          <cell r="K1145" t="str">
            <v>418 S Warren Ave</v>
          </cell>
          <cell r="L1145" t="str">
            <v>PA</v>
          </cell>
          <cell r="M1145">
            <v>19355</v>
          </cell>
          <cell r="N1145" t="str">
            <v>418 S Warren Ave Malvern, PA 19355</v>
          </cell>
        </row>
        <row r="1146">
          <cell r="G1146">
            <v>239517</v>
          </cell>
          <cell r="H1146" t="str">
            <v>CENTRAL FULTON SCHOOL DISTRICT</v>
          </cell>
          <cell r="I1146" t="str">
            <v>McConnellsburg</v>
          </cell>
          <cell r="K1146" t="str">
            <v>151 E Cherry St</v>
          </cell>
          <cell r="L1146" t="str">
            <v>PA</v>
          </cell>
          <cell r="M1146">
            <v>17233</v>
          </cell>
          <cell r="N1146" t="str">
            <v>151 E Cherry St McConnellsburg, PA 17233</v>
          </cell>
        </row>
        <row r="1147">
          <cell r="G1147">
            <v>239753</v>
          </cell>
          <cell r="H1147" t="str">
            <v>CEMP</v>
          </cell>
          <cell r="I1147" t="str">
            <v>ELIZABETHTOWN</v>
          </cell>
          <cell r="K1147" t="str">
            <v>1595 S Mount Joy St</v>
          </cell>
          <cell r="L1147" t="str">
            <v>PA</v>
          </cell>
          <cell r="M1147">
            <v>17022</v>
          </cell>
          <cell r="N1147" t="str">
            <v>1595 S Mount Joy St ELIZABETHTOWN, PA 17022</v>
          </cell>
        </row>
        <row r="1148">
          <cell r="G1148">
            <v>483220</v>
          </cell>
          <cell r="H1148" t="str">
            <v>Queen of Angels Reg Cath Schoo</v>
          </cell>
          <cell r="I1148" t="str">
            <v>WILLOW GROVE</v>
          </cell>
          <cell r="J1148" t="str">
            <v>Philly Suburbs - North</v>
          </cell>
          <cell r="K1148" t="str">
            <v>401 EASTON RD</v>
          </cell>
          <cell r="L1148" t="str">
            <v>PA</v>
          </cell>
          <cell r="M1148">
            <v>19090</v>
          </cell>
          <cell r="N1148" t="str">
            <v>401 EASTON RD WILLOW GROVE, PA 19090</v>
          </cell>
        </row>
        <row r="1149">
          <cell r="G1149">
            <v>241624</v>
          </cell>
          <cell r="H1149" t="str">
            <v>ROHRERSTOWN FIRE COMPANY</v>
          </cell>
          <cell r="I1149" t="str">
            <v>Lancaster</v>
          </cell>
          <cell r="K1149" t="str">
            <v>500 Elizabeth St</v>
          </cell>
          <cell r="L1149" t="str">
            <v>PA</v>
          </cell>
          <cell r="M1149">
            <v>17603</v>
          </cell>
          <cell r="N1149" t="str">
            <v>500 Elizabeth St Lancaster, PA 17603</v>
          </cell>
        </row>
        <row r="1150">
          <cell r="G1150">
            <v>239053</v>
          </cell>
          <cell r="H1150" t="str">
            <v>PENN MANOR SCHOOL DISTRICT</v>
          </cell>
          <cell r="I1150" t="str">
            <v>Lancaster</v>
          </cell>
          <cell r="K1150" t="str">
            <v>2950 Charlestown Rd</v>
          </cell>
          <cell r="L1150" t="str">
            <v>PA</v>
          </cell>
          <cell r="M1150">
            <v>17603</v>
          </cell>
          <cell r="N1150" t="str">
            <v>2950 Charlestown Rd Lancaster, PA 17603</v>
          </cell>
        </row>
        <row r="1151">
          <cell r="G1151">
            <v>241438</v>
          </cell>
          <cell r="H1151" t="str">
            <v>PINCH POND FAMILY#</v>
          </cell>
          <cell r="I1151" t="str">
            <v>Manheim</v>
          </cell>
          <cell r="K1151" t="str">
            <v>3075 Pinch Rd</v>
          </cell>
          <cell r="L1151" t="str">
            <v>PA</v>
          </cell>
          <cell r="M1151">
            <v>17545</v>
          </cell>
          <cell r="N1151" t="str">
            <v>3075 Pinch Rd Manheim, PA 17545</v>
          </cell>
        </row>
        <row r="1152">
          <cell r="G1152">
            <v>240936</v>
          </cell>
          <cell r="H1152" t="str">
            <v>LOWER ALLEN TW HGY GARAGE</v>
          </cell>
          <cell r="I1152" t="str">
            <v>CAMP HILL</v>
          </cell>
          <cell r="K1152" t="str">
            <v>2233 Gettysburg Rd</v>
          </cell>
          <cell r="L1152" t="str">
            <v>PA</v>
          </cell>
          <cell r="M1152">
            <v>17011</v>
          </cell>
          <cell r="N1152" t="str">
            <v>2233 Gettysburg Rd CAMP HILL, PA 17011</v>
          </cell>
        </row>
        <row r="1153">
          <cell r="G1153">
            <v>295439</v>
          </cell>
          <cell r="H1153" t="str">
            <v>National Glass and Metal Co. I</v>
          </cell>
          <cell r="I1153" t="str">
            <v>Horsham</v>
          </cell>
          <cell r="J1153" t="str">
            <v>Philly Suburbs - North</v>
          </cell>
          <cell r="K1153" t="str">
            <v>1424 Easton Rd Ste 400</v>
          </cell>
          <cell r="L1153" t="str">
            <v>PA</v>
          </cell>
          <cell r="M1153">
            <v>19044</v>
          </cell>
          <cell r="N1153" t="str">
            <v>1424 Easton Rd Ste 400 Horsham, PA 19044</v>
          </cell>
        </row>
        <row r="1154">
          <cell r="G1154">
            <v>241148</v>
          </cell>
          <cell r="H1154" t="str">
            <v>MOCCASIN RUN GOLF</v>
          </cell>
          <cell r="I1154" t="str">
            <v>Atglen</v>
          </cell>
          <cell r="J1154" t="str">
            <v>Lancaster - SE</v>
          </cell>
          <cell r="K1154" t="str">
            <v>402 Schoff Rd</v>
          </cell>
          <cell r="L1154" t="str">
            <v>PA</v>
          </cell>
          <cell r="M1154">
            <v>19310</v>
          </cell>
          <cell r="N1154" t="str">
            <v>402 Schoff Rd Atglen, PA 19310</v>
          </cell>
        </row>
        <row r="1155">
          <cell r="G1155">
            <v>479953</v>
          </cell>
          <cell r="H1155" t="str">
            <v>Phoenixville Recreation Center</v>
          </cell>
          <cell r="I1155" t="str">
            <v>Phoenixville</v>
          </cell>
          <cell r="K1155" t="str">
            <v>501 Franklin Ave</v>
          </cell>
          <cell r="L1155" t="str">
            <v>PA</v>
          </cell>
          <cell r="M1155">
            <v>19460</v>
          </cell>
          <cell r="N1155" t="str">
            <v>501 Franklin Ave Phoenixville, PA 19460</v>
          </cell>
        </row>
        <row r="1156">
          <cell r="G1156">
            <v>240141</v>
          </cell>
          <cell r="H1156" t="str">
            <v>FRIENDSHIP COMMUNITY</v>
          </cell>
          <cell r="I1156" t="str">
            <v>Lititz</v>
          </cell>
          <cell r="K1156" t="str">
            <v>1149 E Oregon Rd</v>
          </cell>
          <cell r="L1156" t="str">
            <v>PA</v>
          </cell>
          <cell r="M1156">
            <v>17543</v>
          </cell>
          <cell r="N1156" t="str">
            <v>1149 E Oregon Rd Lititz, PA 17543</v>
          </cell>
        </row>
        <row r="1157">
          <cell r="G1157">
            <v>417064</v>
          </cell>
          <cell r="H1157" t="str">
            <v>Delsea Regional High School</v>
          </cell>
          <cell r="I1157" t="str">
            <v>Franklinville</v>
          </cell>
          <cell r="K1157" t="str">
            <v>242 Fries Mill Rd</v>
          </cell>
          <cell r="L1157" t="str">
            <v>NJ</v>
          </cell>
          <cell r="M1157">
            <v>8322</v>
          </cell>
          <cell r="N1157" t="str">
            <v>242 Fries Mill Rd Franklinville, NJ 08322</v>
          </cell>
        </row>
        <row r="1158">
          <cell r="G1158">
            <v>281212</v>
          </cell>
          <cell r="H1158" t="str">
            <v>Cardinal O'Hara High School</v>
          </cell>
          <cell r="I1158" t="str">
            <v>SPRINGFIELD</v>
          </cell>
          <cell r="K1158" t="str">
            <v>1701 Sproul Rd</v>
          </cell>
          <cell r="L1158" t="str">
            <v>PA</v>
          </cell>
          <cell r="M1158">
            <v>19064</v>
          </cell>
          <cell r="N1158" t="str">
            <v>1701 Sproul Rd SPRINGFIELD, PA 19064</v>
          </cell>
        </row>
        <row r="1159">
          <cell r="G1159">
            <v>480312</v>
          </cell>
          <cell r="H1159" t="str">
            <v>BCF Group Inc</v>
          </cell>
          <cell r="I1159" t="str">
            <v>Lancaster</v>
          </cell>
          <cell r="K1159" t="str">
            <v>2101 Oregon Pike Ste 300</v>
          </cell>
          <cell r="L1159" t="str">
            <v>PA</v>
          </cell>
          <cell r="M1159">
            <v>17601</v>
          </cell>
          <cell r="N1159" t="str">
            <v>2101 Oregon Pike Ste 300 Lancaster, PA 17601</v>
          </cell>
        </row>
        <row r="1160">
          <cell r="G1160">
            <v>284013</v>
          </cell>
          <cell r="H1160" t="str">
            <v>Melmark</v>
          </cell>
          <cell r="I1160" t="str">
            <v>Berwyn</v>
          </cell>
          <cell r="K1160" t="str">
            <v>2600 Wayland Rd</v>
          </cell>
          <cell r="L1160" t="str">
            <v>PA</v>
          </cell>
          <cell r="M1160">
            <v>19312</v>
          </cell>
          <cell r="N1160" t="str">
            <v>2600 Wayland Rd Berwyn, PA 19312</v>
          </cell>
        </row>
        <row r="1161">
          <cell r="G1161">
            <v>439461</v>
          </cell>
          <cell r="H1161" t="str">
            <v>LANC COUNTY BIBLE HARRISBURG</v>
          </cell>
          <cell r="I1161" t="str">
            <v>Harrisburg</v>
          </cell>
          <cell r="K1161" t="str">
            <v>4150 Chambers Hill Rd</v>
          </cell>
          <cell r="L1161" t="str">
            <v>PA</v>
          </cell>
          <cell r="M1161">
            <v>17111</v>
          </cell>
          <cell r="N1161" t="str">
            <v>4150 Chambers Hill Rd Harrisburg, PA 17111</v>
          </cell>
        </row>
        <row r="1162">
          <cell r="G1162">
            <v>246511</v>
          </cell>
          <cell r="H1162" t="str">
            <v>Warminster Township Police Dep</v>
          </cell>
          <cell r="I1162" t="str">
            <v>Warminster</v>
          </cell>
          <cell r="J1162" t="str">
            <v>Philly Suburbs - North</v>
          </cell>
          <cell r="K1162" t="str">
            <v>401 Gibson Ave</v>
          </cell>
          <cell r="L1162" t="str">
            <v>PA</v>
          </cell>
          <cell r="M1162">
            <v>18974</v>
          </cell>
          <cell r="N1162" t="str">
            <v>401 Gibson Ave Warminster, PA 18974</v>
          </cell>
        </row>
        <row r="1163">
          <cell r="G1163">
            <v>464215</v>
          </cell>
          <cell r="H1163" t="str">
            <v>SOUTH SIDE ELEMENTARY SCHOOL</v>
          </cell>
          <cell r="I1163" t="str">
            <v>Harrisburg</v>
          </cell>
          <cell r="K1163" t="str">
            <v>4525 Union Deposit Rd</v>
          </cell>
          <cell r="L1163" t="str">
            <v>PA</v>
          </cell>
          <cell r="M1163">
            <v>17111</v>
          </cell>
          <cell r="N1163" t="str">
            <v>4525 Union Deposit Rd Harrisburg, PA 17111</v>
          </cell>
        </row>
        <row r="1164">
          <cell r="G1164">
            <v>471161</v>
          </cell>
          <cell r="H1164" t="str">
            <v>The Parkesburg Point Youth Cen</v>
          </cell>
          <cell r="I1164" t="str">
            <v>Parkesburg</v>
          </cell>
          <cell r="K1164" t="str">
            <v>700 Main St</v>
          </cell>
          <cell r="L1164" t="str">
            <v>PA</v>
          </cell>
          <cell r="M1164">
            <v>19365</v>
          </cell>
          <cell r="N1164" t="str">
            <v>700 Main St Parkesburg, PA 19365</v>
          </cell>
        </row>
        <row r="1165">
          <cell r="G1165">
            <v>459967</v>
          </cell>
          <cell r="H1165" t="str">
            <v>Work Space Property Trust L.P</v>
          </cell>
          <cell r="I1165" t="str">
            <v>Horsham</v>
          </cell>
          <cell r="K1165" t="str">
            <v>120 Gibraltar Rd</v>
          </cell>
          <cell r="L1165" t="str">
            <v>PA</v>
          </cell>
          <cell r="M1165">
            <v>19044</v>
          </cell>
          <cell r="N1165" t="str">
            <v>120 Gibraltar Rd Horsham, PA 19044</v>
          </cell>
        </row>
        <row r="1166">
          <cell r="G1166">
            <v>416022</v>
          </cell>
          <cell r="H1166" t="str">
            <v>EAST PENN -Fleet Maintenance O</v>
          </cell>
          <cell r="I1166" t="str">
            <v>Lyon Station</v>
          </cell>
          <cell r="K1166" t="str">
            <v>102 Deka Rd</v>
          </cell>
          <cell r="L1166" t="str">
            <v>PA</v>
          </cell>
          <cell r="M1166">
            <v>19536</v>
          </cell>
          <cell r="N1166" t="str">
            <v>102 Deka Rd Lyon Station, PA 19536</v>
          </cell>
        </row>
        <row r="1167">
          <cell r="G1167">
            <v>469690</v>
          </cell>
          <cell r="H1167" t="str">
            <v>NNBC MRO WAREHOUSE</v>
          </cell>
          <cell r="I1167" t="str">
            <v>Lancaster</v>
          </cell>
          <cell r="K1167" t="str">
            <v>239 N Ann St</v>
          </cell>
          <cell r="L1167" t="str">
            <v>PA</v>
          </cell>
          <cell r="M1167">
            <v>17602</v>
          </cell>
          <cell r="N1167" t="str">
            <v>239 N Ann St Lancaster, PA 17602</v>
          </cell>
        </row>
        <row r="1168">
          <cell r="G1168">
            <v>333254</v>
          </cell>
          <cell r="H1168" t="str">
            <v>Conicelli Toyota</v>
          </cell>
          <cell r="I1168" t="str">
            <v>CONSHOHOCKEN</v>
          </cell>
          <cell r="K1168" t="str">
            <v>1580 Alan Wood Rd</v>
          </cell>
          <cell r="L1168" t="str">
            <v>PA</v>
          </cell>
          <cell r="M1168">
            <v>19428</v>
          </cell>
          <cell r="N1168" t="str">
            <v>1580 Alan Wood Rd CONSHOHOCKEN, PA 19428</v>
          </cell>
        </row>
        <row r="1169">
          <cell r="G1169">
            <v>241646</v>
          </cell>
          <cell r="H1169" t="str">
            <v>THE RUG BEATER#</v>
          </cell>
          <cell r="I1169" t="str">
            <v>Brownstown</v>
          </cell>
          <cell r="K1169" t="str">
            <v>327 N State St</v>
          </cell>
          <cell r="L1169" t="str">
            <v>PA</v>
          </cell>
          <cell r="M1169">
            <v>17508</v>
          </cell>
          <cell r="N1169" t="str">
            <v>327 N State St Brownstown, PA 17508</v>
          </cell>
        </row>
        <row r="1170">
          <cell r="G1170">
            <v>455462</v>
          </cell>
          <cell r="H1170" t="str">
            <v>Lansdowne Swim Club</v>
          </cell>
          <cell r="I1170" t="str">
            <v>Lansdowne</v>
          </cell>
          <cell r="K1170" t="str">
            <v>1 Burmont Dr</v>
          </cell>
          <cell r="L1170" t="str">
            <v>PA</v>
          </cell>
          <cell r="M1170">
            <v>19050</v>
          </cell>
          <cell r="N1170" t="str">
            <v>1 Burmont Dr Lansdowne, PA 19050</v>
          </cell>
        </row>
        <row r="1171">
          <cell r="G1171">
            <v>319103</v>
          </cell>
          <cell r="H1171" t="str">
            <v>Las Americas Aspira Academy</v>
          </cell>
          <cell r="I1171" t="str">
            <v>Newark</v>
          </cell>
          <cell r="K1171" t="str">
            <v>326 Ruthar Dr</v>
          </cell>
          <cell r="L1171" t="str">
            <v>DE</v>
          </cell>
          <cell r="M1171">
            <v>19711</v>
          </cell>
          <cell r="N1171" t="str">
            <v>326 Ruthar Dr Newark, DE 19711</v>
          </cell>
        </row>
        <row r="1172">
          <cell r="G1172">
            <v>424135</v>
          </cell>
          <cell r="H1172" t="str">
            <v>DISTRICT WAREHOUSE</v>
          </cell>
          <cell r="I1172" t="str">
            <v>West Chester</v>
          </cell>
          <cell r="K1172" t="str">
            <v>1181 McDermott Dr</v>
          </cell>
          <cell r="L1172" t="str">
            <v>PA</v>
          </cell>
          <cell r="M1172">
            <v>19380</v>
          </cell>
          <cell r="N1172" t="str">
            <v>1181 McDermott Dr West Chester, PA 19380</v>
          </cell>
        </row>
        <row r="1173">
          <cell r="G1173">
            <v>481367</v>
          </cell>
          <cell r="H1173" t="str">
            <v>Resurrection Catholic School-</v>
          </cell>
          <cell r="I1173" t="str">
            <v>Lancaster</v>
          </cell>
          <cell r="K1173" t="str">
            <v>521 E Orange St</v>
          </cell>
          <cell r="L1173" t="str">
            <v>PA</v>
          </cell>
          <cell r="M1173">
            <v>17602</v>
          </cell>
          <cell r="N1173" t="str">
            <v>521 E Orange St Lancaster, PA 17602</v>
          </cell>
        </row>
        <row r="1174">
          <cell r="G1174">
            <v>471886</v>
          </cell>
          <cell r="H1174" t="str">
            <v>Millersville- Wickersham Hall</v>
          </cell>
          <cell r="I1174" t="str">
            <v>Millersville</v>
          </cell>
          <cell r="K1174" t="str">
            <v>34 Dilworth Rd</v>
          </cell>
          <cell r="L1174" t="str">
            <v>PA</v>
          </cell>
          <cell r="M1174">
            <v>17551</v>
          </cell>
          <cell r="N1174" t="str">
            <v>34 Dilworth Rd Millersville, PA 17551</v>
          </cell>
        </row>
        <row r="1175">
          <cell r="G1175">
            <v>284763</v>
          </cell>
          <cell r="H1175" t="str">
            <v>KINDERHOOK EARLY LEARNING CNTR</v>
          </cell>
          <cell r="I1175" t="str">
            <v>Marietta</v>
          </cell>
          <cell r="K1175" t="str">
            <v>420 Coffee Goss Rd</v>
          </cell>
          <cell r="L1175" t="str">
            <v>PA</v>
          </cell>
          <cell r="M1175">
            <v>17547</v>
          </cell>
          <cell r="N1175" t="str">
            <v>420 Coffee Goss Rd Marietta, PA 17547</v>
          </cell>
        </row>
        <row r="1176">
          <cell r="G1176">
            <v>462356</v>
          </cell>
          <cell r="H1176" t="str">
            <v>TREEHOUSE PRIVATE BRANDS - LAN</v>
          </cell>
          <cell r="I1176" t="str">
            <v>Lancaster</v>
          </cell>
          <cell r="K1176" t="str">
            <v>2060 Old Philadelphia Pike</v>
          </cell>
          <cell r="L1176" t="str">
            <v>PA</v>
          </cell>
          <cell r="M1176">
            <v>17602</v>
          </cell>
          <cell r="N1176" t="str">
            <v>2060 Old Philadelphia Pike Lancaster, PA 17602</v>
          </cell>
        </row>
        <row r="1177">
          <cell r="G1177">
            <v>312004</v>
          </cell>
          <cell r="H1177" t="str">
            <v>Lumberton Township Schools</v>
          </cell>
          <cell r="I1177" t="str">
            <v>Lumberton</v>
          </cell>
          <cell r="J1177" t="str">
            <v>Cherry Hill</v>
          </cell>
          <cell r="K1177" t="str">
            <v>33 Municipal Dr</v>
          </cell>
          <cell r="L1177" t="str">
            <v>NJ</v>
          </cell>
          <cell r="M1177">
            <v>8048</v>
          </cell>
          <cell r="N1177" t="str">
            <v>33 Municipal Dr Lumberton, NJ 08048</v>
          </cell>
        </row>
        <row r="1178">
          <cell r="G1178">
            <v>342777</v>
          </cell>
          <cell r="H1178" t="str">
            <v>Marlin Nolt Trucking LLC</v>
          </cell>
          <cell r="I1178" t="str">
            <v>Peach Bottom</v>
          </cell>
          <cell r="K1178" t="str">
            <v>752 Nottingham Rd</v>
          </cell>
          <cell r="L1178" t="str">
            <v>PA</v>
          </cell>
          <cell r="M1178">
            <v>17563</v>
          </cell>
          <cell r="N1178" t="str">
            <v>752 Nottingham Rd Peach Bottom, PA 17563</v>
          </cell>
        </row>
        <row r="1179">
          <cell r="G1179">
            <v>241245</v>
          </cell>
          <cell r="H1179" t="str">
            <v>NEW LIFE ASSEMBLY OF GOD#</v>
          </cell>
          <cell r="I1179" t="str">
            <v>Lancaster</v>
          </cell>
          <cell r="K1179" t="str">
            <v>1991 Old Philadelphia Pike</v>
          </cell>
          <cell r="L1179" t="str">
            <v>PA</v>
          </cell>
          <cell r="M1179">
            <v>17602</v>
          </cell>
          <cell r="N1179" t="str">
            <v>1991 Old Philadelphia Pike Lancaster, PA 17602</v>
          </cell>
        </row>
        <row r="1180">
          <cell r="G1180">
            <v>241049</v>
          </cell>
          <cell r="H1180" t="str">
            <v>MARY GAULS QUALITY CLEANING#</v>
          </cell>
          <cell r="I1180" t="str">
            <v>Lancaster</v>
          </cell>
          <cell r="K1180" t="str">
            <v>816 State St</v>
          </cell>
          <cell r="L1180" t="str">
            <v>PA</v>
          </cell>
          <cell r="M1180">
            <v>17603</v>
          </cell>
          <cell r="N1180" t="str">
            <v>816 State St Lancaster, PA 17603</v>
          </cell>
        </row>
        <row r="1181">
          <cell r="G1181">
            <v>240907</v>
          </cell>
          <cell r="H1181" t="str">
            <v>LITITZ UNITED METHODIST CHURCH</v>
          </cell>
          <cell r="I1181" t="str">
            <v>Lititz</v>
          </cell>
          <cell r="K1181" t="str">
            <v>201 Market St</v>
          </cell>
          <cell r="L1181" t="str">
            <v>PA</v>
          </cell>
          <cell r="M1181">
            <v>17543</v>
          </cell>
          <cell r="N1181" t="str">
            <v>201 Market St Lititz, PA 17543</v>
          </cell>
        </row>
        <row r="1182">
          <cell r="G1182">
            <v>240091</v>
          </cell>
          <cell r="H1182" t="str">
            <v>FIRST PRESBYTERIAN CHURCH</v>
          </cell>
          <cell r="I1182" t="str">
            <v>Strasburg</v>
          </cell>
          <cell r="K1182" t="str">
            <v>101 S Decatur St</v>
          </cell>
          <cell r="L1182" t="str">
            <v>PA</v>
          </cell>
          <cell r="M1182">
            <v>17579</v>
          </cell>
          <cell r="N1182" t="str">
            <v>101 S Decatur St Strasburg, PA 17579</v>
          </cell>
        </row>
        <row r="1183">
          <cell r="G1183">
            <v>468581</v>
          </cell>
          <cell r="H1183" t="str">
            <v>TUSCARORA - SAINT THOMAS ELEM</v>
          </cell>
          <cell r="I1183" t="str">
            <v>Saint Thomas</v>
          </cell>
          <cell r="K1183" t="str">
            <v>70 School House Rd</v>
          </cell>
          <cell r="L1183" t="str">
            <v>PA</v>
          </cell>
          <cell r="M1183">
            <v>17252</v>
          </cell>
          <cell r="N1183" t="str">
            <v>70 School House Rd Saint Thomas, PA 17252</v>
          </cell>
        </row>
        <row r="1184">
          <cell r="G1184">
            <v>470370</v>
          </cell>
          <cell r="H1184" t="str">
            <v>EAST JUNIATA ELEMENTARY</v>
          </cell>
          <cell r="I1184" t="str">
            <v>Richfield</v>
          </cell>
          <cell r="J1184" t="str">
            <v>Lewistown</v>
          </cell>
          <cell r="K1184" t="str">
            <v>54 Main St</v>
          </cell>
          <cell r="L1184" t="str">
            <v>PA</v>
          </cell>
          <cell r="M1184">
            <v>17086</v>
          </cell>
          <cell r="N1184" t="str">
            <v>54 Main St Richfield, PA 17086</v>
          </cell>
        </row>
        <row r="1185">
          <cell r="G1185">
            <v>452178</v>
          </cell>
          <cell r="H1185" t="str">
            <v>Rutgers Camden Housing</v>
          </cell>
          <cell r="I1185" t="str">
            <v>Camden</v>
          </cell>
          <cell r="J1185" t="str">
            <v>Camden</v>
          </cell>
          <cell r="K1185" t="str">
            <v>215 N 3rd St</v>
          </cell>
          <cell r="L1185" t="str">
            <v>NJ</v>
          </cell>
          <cell r="M1185">
            <v>8102</v>
          </cell>
          <cell r="N1185" t="str">
            <v>215 N 3rd St Camden, NJ 08102</v>
          </cell>
        </row>
        <row r="1186">
          <cell r="G1186">
            <v>480996</v>
          </cell>
          <cell r="H1186" t="str">
            <v>BioTechnique</v>
          </cell>
          <cell r="I1186" t="str">
            <v>York</v>
          </cell>
          <cell r="K1186" t="str">
            <v>250 Cross Farm Ln</v>
          </cell>
          <cell r="L1186" t="str">
            <v>PA</v>
          </cell>
          <cell r="M1186">
            <v>17406</v>
          </cell>
          <cell r="N1186" t="str">
            <v>250 Cross Farm Ln York, PA 17406</v>
          </cell>
        </row>
        <row r="1187">
          <cell r="G1187">
            <v>424012</v>
          </cell>
          <cell r="H1187" t="str">
            <v>Captain James Laurence School</v>
          </cell>
          <cell r="I1187" t="str">
            <v>Burlington City</v>
          </cell>
          <cell r="J1187" t="str">
            <v>Cherry Hill</v>
          </cell>
          <cell r="K1187" t="str">
            <v>316 Barclay St</v>
          </cell>
          <cell r="L1187" t="str">
            <v>NJ</v>
          </cell>
          <cell r="M1187">
            <v>8016</v>
          </cell>
          <cell r="N1187" t="str">
            <v>316 Barclay St Burlington City, NJ 08016</v>
          </cell>
        </row>
        <row r="1188">
          <cell r="G1188">
            <v>442577</v>
          </cell>
          <cell r="H1188" t="str">
            <v>LUTHERCARE  NURSING BLDG</v>
          </cell>
          <cell r="I1188" t="str">
            <v>Lititz</v>
          </cell>
          <cell r="K1188" t="str">
            <v>400 Saint Luke Dr</v>
          </cell>
          <cell r="L1188" t="str">
            <v>PA</v>
          </cell>
          <cell r="M1188">
            <v>17543</v>
          </cell>
          <cell r="N1188" t="str">
            <v>400 Saint Luke Dr Lititz, PA 17543</v>
          </cell>
        </row>
        <row r="1189">
          <cell r="G1189">
            <v>242313</v>
          </cell>
          <cell r="H1189" t="str">
            <v>WARFEL CONSTRUCTION CO</v>
          </cell>
          <cell r="I1189" t="str">
            <v>East Petersburg</v>
          </cell>
          <cell r="K1189" t="str">
            <v>1110 Enterprise Rd</v>
          </cell>
          <cell r="L1189" t="str">
            <v>PA</v>
          </cell>
          <cell r="M1189">
            <v>17520</v>
          </cell>
          <cell r="N1189" t="str">
            <v>1110 Enterprise Rd East Petersburg, PA 17520</v>
          </cell>
        </row>
        <row r="1190">
          <cell r="G1190">
            <v>292303</v>
          </cell>
          <cell r="H1190" t="str">
            <v>ST JAMES CATHOLIC CHURCH</v>
          </cell>
          <cell r="I1190" t="str">
            <v>Lititz</v>
          </cell>
          <cell r="K1190" t="str">
            <v>505 Woodcrest Ave</v>
          </cell>
          <cell r="L1190" t="str">
            <v>PA</v>
          </cell>
          <cell r="M1190">
            <v>17543</v>
          </cell>
          <cell r="N1190" t="str">
            <v>505 Woodcrest Ave Lititz, PA 17543</v>
          </cell>
        </row>
        <row r="1191">
          <cell r="G1191">
            <v>240691</v>
          </cell>
          <cell r="H1191" t="str">
            <v>L D B INTERSTATE CORP</v>
          </cell>
          <cell r="I1191" t="str">
            <v>Pine Grove</v>
          </cell>
          <cell r="K1191" t="str">
            <v>418 Suedberg Rd</v>
          </cell>
          <cell r="L1191" t="str">
            <v>PA</v>
          </cell>
          <cell r="M1191">
            <v>17963</v>
          </cell>
          <cell r="N1191" t="str">
            <v>418 Suedberg Rd Pine Grove, PA 17963</v>
          </cell>
        </row>
        <row r="1192">
          <cell r="G1192">
            <v>453743</v>
          </cell>
          <cell r="H1192" t="str">
            <v>Bristol Amish Market</v>
          </cell>
          <cell r="I1192" t="str">
            <v>Bristol</v>
          </cell>
          <cell r="J1192" t="str">
            <v>Philly - NE</v>
          </cell>
          <cell r="K1192" t="str">
            <v>498 Green Ln</v>
          </cell>
          <cell r="L1192" t="str">
            <v>PA</v>
          </cell>
          <cell r="M1192">
            <v>19007</v>
          </cell>
          <cell r="N1192" t="str">
            <v>498 Green Ln Bristol, PA 19007</v>
          </cell>
        </row>
        <row r="1193">
          <cell r="G1193">
            <v>464142</v>
          </cell>
          <cell r="H1193" t="str">
            <v>Workspace Property Trust L.P</v>
          </cell>
          <cell r="I1193" t="str">
            <v>Malvern</v>
          </cell>
          <cell r="K1193" t="str">
            <v>425 Technology Dr Ste 100</v>
          </cell>
          <cell r="L1193" t="str">
            <v>PA</v>
          </cell>
          <cell r="M1193">
            <v>19355</v>
          </cell>
          <cell r="N1193" t="str">
            <v>425 Technology Dr Ste 100 Malvern, PA 19355</v>
          </cell>
        </row>
        <row r="1194">
          <cell r="G1194">
            <v>313451</v>
          </cell>
          <cell r="H1194" t="str">
            <v>FLEETWOOD BIBLE CHURCH</v>
          </cell>
          <cell r="I1194" t="str">
            <v>Fleetwood</v>
          </cell>
          <cell r="K1194" t="str">
            <v>2847 Moselem Springs Rd</v>
          </cell>
          <cell r="L1194" t="str">
            <v>PA</v>
          </cell>
          <cell r="M1194">
            <v>19522</v>
          </cell>
          <cell r="N1194" t="str">
            <v>2847 Moselem Springs Rd Fleetwood, PA 19522</v>
          </cell>
        </row>
        <row r="1195">
          <cell r="G1195">
            <v>416684</v>
          </cell>
          <cell r="H1195" t="str">
            <v>TARGET - SPRINGFIELD</v>
          </cell>
          <cell r="I1195" t="str">
            <v>SPRINGFIELD</v>
          </cell>
          <cell r="K1195" t="str">
            <v>857 Baltimore Pike</v>
          </cell>
          <cell r="L1195" t="str">
            <v>PA</v>
          </cell>
          <cell r="M1195">
            <v>19064</v>
          </cell>
          <cell r="N1195" t="str">
            <v>857 Baltimore Pike SPRINGFIELD, PA 19064</v>
          </cell>
        </row>
        <row r="1196">
          <cell r="G1196">
            <v>243501</v>
          </cell>
          <cell r="H1196" t="str">
            <v>BPAS and Manchester Advisors</v>
          </cell>
          <cell r="I1196" t="str">
            <v>Huntingdon Valley</v>
          </cell>
          <cell r="J1196" t="str">
            <v>Philly Suburbs - North</v>
          </cell>
          <cell r="K1196" t="str">
            <v>3401 Masons Mill Rd Ste 601</v>
          </cell>
          <cell r="L1196" t="str">
            <v>PA</v>
          </cell>
          <cell r="M1196">
            <v>19006</v>
          </cell>
          <cell r="N1196" t="str">
            <v>3401 Masons Mill Rd Ste 601 Huntingdon Valley, PA 19006</v>
          </cell>
        </row>
        <row r="1197">
          <cell r="G1197">
            <v>418904</v>
          </cell>
          <cell r="H1197" t="str">
            <v>Upper Moreland Swim Club</v>
          </cell>
          <cell r="I1197" t="str">
            <v>Hatboro</v>
          </cell>
          <cell r="J1197" t="str">
            <v>Philly Suburbs - North</v>
          </cell>
          <cell r="K1197" t="str">
            <v>3505 Moore Rd</v>
          </cell>
          <cell r="L1197" t="str">
            <v>PA</v>
          </cell>
          <cell r="M1197">
            <v>19040</v>
          </cell>
          <cell r="N1197" t="str">
            <v>3505 Moore Rd Hatboro, PA 19040</v>
          </cell>
        </row>
        <row r="1198">
          <cell r="G1198">
            <v>302442</v>
          </cell>
          <cell r="H1198" t="str">
            <v>Calvary Chapel of Central Buck</v>
          </cell>
          <cell r="I1198" t="str">
            <v>Chalfont</v>
          </cell>
          <cell r="K1198" t="str">
            <v>150 E Butler Ave</v>
          </cell>
          <cell r="L1198" t="str">
            <v>PA</v>
          </cell>
          <cell r="M1198">
            <v>18914</v>
          </cell>
          <cell r="N1198" t="str">
            <v>150 E Butler Ave Chalfont, PA 18914</v>
          </cell>
        </row>
        <row r="1199">
          <cell r="G1199">
            <v>243344</v>
          </cell>
          <cell r="H1199" t="str">
            <v>Doylestown United Methodist Ch</v>
          </cell>
          <cell r="I1199" t="str">
            <v>Doylestown</v>
          </cell>
          <cell r="J1199" t="str">
            <v>Philly Suburbs - North</v>
          </cell>
          <cell r="K1199" t="str">
            <v>320 E Swamp Rd</v>
          </cell>
          <cell r="L1199" t="str">
            <v>PA</v>
          </cell>
          <cell r="M1199">
            <v>18901</v>
          </cell>
          <cell r="N1199" t="str">
            <v>320 E Swamp Rd Doylestown, PA 18901</v>
          </cell>
        </row>
        <row r="1200">
          <cell r="G1200">
            <v>474615</v>
          </cell>
          <cell r="H1200" t="str">
            <v>USE ACCT# 340912 Friendship YM</v>
          </cell>
          <cell r="I1200" t="str">
            <v>Harrisburg</v>
          </cell>
          <cell r="K1200" t="str">
            <v>5000 Commons Dr</v>
          </cell>
          <cell r="L1200" t="str">
            <v>PA</v>
          </cell>
          <cell r="M1200">
            <v>17112</v>
          </cell>
          <cell r="N1200" t="str">
            <v>5000 Commons Dr Harrisburg, PA 17112</v>
          </cell>
        </row>
        <row r="1201">
          <cell r="G1201">
            <v>242103</v>
          </cell>
          <cell r="H1201" t="str">
            <v>NATIONAL CIVIL WAR MUSEUM</v>
          </cell>
          <cell r="I1201" t="str">
            <v>Harrisburg</v>
          </cell>
          <cell r="K1201" t="str">
            <v>1 Lincoln Cir</v>
          </cell>
          <cell r="L1201" t="str">
            <v>PA</v>
          </cell>
          <cell r="M1201">
            <v>17103</v>
          </cell>
          <cell r="N1201" t="str">
            <v>1 Lincoln Cir Harrisburg, PA 17103</v>
          </cell>
        </row>
        <row r="1202">
          <cell r="G1202">
            <v>243162</v>
          </cell>
          <cell r="H1202" t="str">
            <v>Church of The Annunciation</v>
          </cell>
          <cell r="I1202" t="str">
            <v>Elkins Park</v>
          </cell>
          <cell r="K1202" t="str">
            <v>7921 Old York Rd</v>
          </cell>
          <cell r="L1202" t="str">
            <v>PA</v>
          </cell>
          <cell r="M1202">
            <v>19027</v>
          </cell>
          <cell r="N1202" t="str">
            <v>7921 Old York Rd Elkins Park, PA 19027</v>
          </cell>
        </row>
        <row r="1203">
          <cell r="G1203">
            <v>243918</v>
          </cell>
          <cell r="H1203" t="str">
            <v>McGlinchey's Bar &amp; Grill</v>
          </cell>
          <cell r="I1203" t="str">
            <v>Philadelphia</v>
          </cell>
          <cell r="K1203" t="str">
            <v>259 S 15th St</v>
          </cell>
          <cell r="L1203" t="str">
            <v>PA</v>
          </cell>
          <cell r="M1203">
            <v>19102</v>
          </cell>
          <cell r="N1203" t="str">
            <v>259 S 15th St Philadelphia, PA 19102</v>
          </cell>
        </row>
        <row r="1204">
          <cell r="G1204">
            <v>239999</v>
          </cell>
          <cell r="H1204" t="str">
            <v>EPHRATA REC CENTER#</v>
          </cell>
          <cell r="I1204" t="str">
            <v>Ephrata</v>
          </cell>
          <cell r="K1204" t="str">
            <v>130 S Academy Dr</v>
          </cell>
          <cell r="L1204" t="str">
            <v>PA</v>
          </cell>
          <cell r="M1204">
            <v>17522</v>
          </cell>
          <cell r="N1204" t="str">
            <v>130 S Academy Dr Ephrata, PA 17522</v>
          </cell>
        </row>
        <row r="1205">
          <cell r="G1205">
            <v>448423</v>
          </cell>
          <cell r="H1205" t="str">
            <v>LANC COUNTY BIBLE  YORK CAMPUS</v>
          </cell>
          <cell r="I1205" t="str">
            <v>York</v>
          </cell>
          <cell r="K1205" t="str">
            <v>951 N Hills Rd</v>
          </cell>
          <cell r="L1205" t="str">
            <v>PA</v>
          </cell>
          <cell r="M1205">
            <v>17402</v>
          </cell>
          <cell r="N1205" t="str">
            <v>951 N Hills Rd York, PA 17402</v>
          </cell>
        </row>
        <row r="1206">
          <cell r="G1206">
            <v>343501</v>
          </cell>
          <cell r="H1206" t="str">
            <v>ARCADIA UNIVERSITY</v>
          </cell>
          <cell r="I1206" t="str">
            <v>Glenside</v>
          </cell>
          <cell r="K1206" t="str">
            <v>450 S Easton Rd</v>
          </cell>
          <cell r="L1206" t="str">
            <v>PA</v>
          </cell>
          <cell r="M1206">
            <v>19038</v>
          </cell>
          <cell r="N1206" t="str">
            <v>450 S Easton Rd Glenside, PA 19038</v>
          </cell>
        </row>
        <row r="1207">
          <cell r="G1207">
            <v>334885</v>
          </cell>
          <cell r="H1207" t="str">
            <v>KELLER CONTRACTING LLC</v>
          </cell>
          <cell r="I1207" t="str">
            <v>York</v>
          </cell>
          <cell r="K1207" t="str">
            <v>76 Willow Springs Cir</v>
          </cell>
          <cell r="L1207" t="str">
            <v>PA</v>
          </cell>
          <cell r="M1207">
            <v>17406</v>
          </cell>
          <cell r="N1207" t="str">
            <v>76 Willow Springs Cir York, PA 17406</v>
          </cell>
        </row>
        <row r="1208">
          <cell r="G1208">
            <v>345670</v>
          </cell>
          <cell r="H1208" t="str">
            <v>Hershey Farm Restaurant &amp; Inn</v>
          </cell>
          <cell r="I1208" t="str">
            <v>Ronks</v>
          </cell>
          <cell r="K1208" t="str">
            <v>240 Hartman Bridge Rd</v>
          </cell>
          <cell r="L1208" t="str">
            <v>PA</v>
          </cell>
          <cell r="M1208">
            <v>17572</v>
          </cell>
          <cell r="N1208" t="str">
            <v>240 Hartman Bridge Rd Ronks, PA 17572</v>
          </cell>
        </row>
        <row r="1209">
          <cell r="G1209">
            <v>345514</v>
          </cell>
          <cell r="H1209" t="str">
            <v>LSC Communications LLC Brands</v>
          </cell>
          <cell r="I1209" t="str">
            <v>York</v>
          </cell>
          <cell r="K1209" t="str">
            <v>301 Butterfly Commons Dr</v>
          </cell>
          <cell r="L1209" t="str">
            <v>PA</v>
          </cell>
          <cell r="M1209">
            <v>17402</v>
          </cell>
          <cell r="N1209" t="str">
            <v>301 Butterfly Commons Dr York, PA 17402</v>
          </cell>
        </row>
        <row r="1210">
          <cell r="G1210">
            <v>480986</v>
          </cell>
          <cell r="H1210" t="str">
            <v>City of Brigantine</v>
          </cell>
          <cell r="I1210" t="str">
            <v>Brigantine</v>
          </cell>
          <cell r="K1210" t="str">
            <v>265 42nd St S</v>
          </cell>
          <cell r="L1210" t="str">
            <v>NJ</v>
          </cell>
          <cell r="M1210">
            <v>8203</v>
          </cell>
          <cell r="N1210" t="str">
            <v>265 42nd St S Brigantine, NJ 08203</v>
          </cell>
        </row>
        <row r="1211">
          <cell r="G1211">
            <v>454537</v>
          </cell>
          <cell r="H1211" t="str">
            <v>St Joseph Parish</v>
          </cell>
          <cell r="I1211" t="str">
            <v>Downingtown</v>
          </cell>
          <cell r="K1211" t="str">
            <v>338 Manor Ave</v>
          </cell>
          <cell r="L1211" t="str">
            <v>PA</v>
          </cell>
          <cell r="M1211">
            <v>19335</v>
          </cell>
          <cell r="N1211" t="str">
            <v>338 Manor Ave Downingtown, PA 19335</v>
          </cell>
        </row>
        <row r="1212">
          <cell r="G1212">
            <v>240111</v>
          </cell>
          <cell r="H1212" t="str">
            <v>FORBES ROAD SCHOOL DISTRICT*</v>
          </cell>
          <cell r="I1212" t="str">
            <v>Waterfall</v>
          </cell>
          <cell r="K1212" t="str">
            <v>159 Red Bird Dr</v>
          </cell>
          <cell r="L1212" t="str">
            <v>PA</v>
          </cell>
          <cell r="M1212">
            <v>16689</v>
          </cell>
          <cell r="N1212" t="str">
            <v>159 Red Bird Dr Waterfall, PA 16689</v>
          </cell>
        </row>
        <row r="1213">
          <cell r="G1213">
            <v>305232</v>
          </cell>
          <cell r="H1213" t="str">
            <v>Sweetbriar Restaurant</v>
          </cell>
          <cell r="I1213" t="str">
            <v>Ambler</v>
          </cell>
          <cell r="J1213" t="str">
            <v>Philly Subrubs - Central</v>
          </cell>
          <cell r="K1213" t="str">
            <v>11 Lindenwold Ave</v>
          </cell>
          <cell r="L1213" t="str">
            <v>PA</v>
          </cell>
          <cell r="M1213">
            <v>19002</v>
          </cell>
          <cell r="N1213" t="str">
            <v>11 Lindenwold Ave Ambler, PA 19002</v>
          </cell>
        </row>
        <row r="1214">
          <cell r="G1214">
            <v>464212</v>
          </cell>
          <cell r="H1214" t="str">
            <v>PAXTONIA ELEMENTARY SCHOOL</v>
          </cell>
          <cell r="I1214" t="str">
            <v>Harrisburg</v>
          </cell>
          <cell r="K1214" t="str">
            <v>6135 Jonestown Rd</v>
          </cell>
          <cell r="L1214" t="str">
            <v>PA</v>
          </cell>
          <cell r="M1214">
            <v>17112</v>
          </cell>
          <cell r="N1214" t="str">
            <v>6135 Jonestown Rd Harrisburg, PA 17112</v>
          </cell>
        </row>
        <row r="1215">
          <cell r="G1215">
            <v>246516</v>
          </cell>
          <cell r="H1215" t="str">
            <v>Warminster Township Public Wor</v>
          </cell>
          <cell r="I1215" t="str">
            <v>Warminster</v>
          </cell>
          <cell r="J1215" t="str">
            <v>Philly Suburbs - North</v>
          </cell>
          <cell r="K1215" t="str">
            <v>910 W Bristol Rd</v>
          </cell>
          <cell r="L1215" t="str">
            <v>PA</v>
          </cell>
          <cell r="M1215">
            <v>18974</v>
          </cell>
          <cell r="N1215" t="str">
            <v>910 W Bristol Rd Warminster, PA 18974</v>
          </cell>
        </row>
        <row r="1216">
          <cell r="G1216">
            <v>434224</v>
          </cell>
          <cell r="H1216" t="str">
            <v>Townsend Early Childhood Cente</v>
          </cell>
          <cell r="I1216" t="str">
            <v>Townsend</v>
          </cell>
          <cell r="K1216" t="str">
            <v>10 Brook Ramble Ln</v>
          </cell>
          <cell r="L1216" t="str">
            <v>DE</v>
          </cell>
          <cell r="M1216">
            <v>19734</v>
          </cell>
          <cell r="N1216" t="str">
            <v>10 Brook Ramble Ln Townsend, DE 19734</v>
          </cell>
        </row>
        <row r="1217">
          <cell r="G1217">
            <v>336237</v>
          </cell>
          <cell r="H1217" t="str">
            <v>CC - Prevail Volleyball Club</v>
          </cell>
          <cell r="I1217" t="str">
            <v>Annville</v>
          </cell>
          <cell r="J1217" t="str">
            <v>Lebanon - West</v>
          </cell>
          <cell r="K1217" t="str">
            <v>11 Landings Dr</v>
          </cell>
          <cell r="L1217" t="str">
            <v>PA</v>
          </cell>
          <cell r="M1217">
            <v>17003</v>
          </cell>
          <cell r="N1217" t="str">
            <v>11 Landings Dr Annville, PA 17003</v>
          </cell>
        </row>
        <row r="1218">
          <cell r="G1218">
            <v>240641</v>
          </cell>
          <cell r="H1218" t="str">
            <v>KINGSTON CENTER</v>
          </cell>
          <cell r="I1218" t="str">
            <v>York</v>
          </cell>
          <cell r="K1218" t="str">
            <v>2550 Kingston Rd</v>
          </cell>
          <cell r="L1218" t="str">
            <v>PA</v>
          </cell>
          <cell r="M1218">
            <v>17402</v>
          </cell>
          <cell r="N1218" t="str">
            <v>2550 Kingston Rd York, PA 17402</v>
          </cell>
        </row>
        <row r="1219">
          <cell r="G1219">
            <v>238901</v>
          </cell>
          <cell r="H1219" t="str">
            <v>GARDEN SPOT FIRE RESCUE#</v>
          </cell>
          <cell r="I1219" t="str">
            <v>New Holland</v>
          </cell>
          <cell r="K1219" t="str">
            <v>339 E Main St</v>
          </cell>
          <cell r="L1219" t="str">
            <v>PA</v>
          </cell>
          <cell r="M1219">
            <v>17557</v>
          </cell>
          <cell r="N1219" t="str">
            <v>339 E Main St New Holland, PA 17557</v>
          </cell>
        </row>
        <row r="1220">
          <cell r="G1220">
            <v>418481</v>
          </cell>
          <cell r="H1220" t="str">
            <v>Ridge Park Elementary School</v>
          </cell>
          <cell r="I1220" t="str">
            <v>CONSHOHOCKEN</v>
          </cell>
          <cell r="K1220" t="str">
            <v>200 Karrs Ln</v>
          </cell>
          <cell r="L1220" t="str">
            <v>PA</v>
          </cell>
          <cell r="M1220">
            <v>19428</v>
          </cell>
          <cell r="N1220" t="str">
            <v>200 Karrs Ln CONSHOHOCKEN, PA 19428</v>
          </cell>
        </row>
        <row r="1221">
          <cell r="G1221">
            <v>481503</v>
          </cell>
          <cell r="H1221" t="str">
            <v>Phoenixville Fire Dept</v>
          </cell>
          <cell r="I1221" t="str">
            <v>Phoenixville</v>
          </cell>
          <cell r="K1221" t="str">
            <v>150 Paradise St</v>
          </cell>
          <cell r="L1221" t="str">
            <v>PA</v>
          </cell>
          <cell r="M1221">
            <v>19460</v>
          </cell>
          <cell r="N1221" t="str">
            <v>150 Paradise St Phoenixville, PA 19460</v>
          </cell>
        </row>
        <row r="1222">
          <cell r="G1222">
            <v>470001</v>
          </cell>
          <cell r="H1222" t="str">
            <v>LANC COUNTY BIBLE LEBANON CAMP</v>
          </cell>
          <cell r="I1222" t="str">
            <v>Lebanon</v>
          </cell>
          <cell r="K1222" t="str">
            <v>124 S 10th St</v>
          </cell>
          <cell r="L1222" t="str">
            <v>PA</v>
          </cell>
          <cell r="M1222">
            <v>17042</v>
          </cell>
          <cell r="N1222" t="str">
            <v>124 S 10th St Lebanon, PA 17042</v>
          </cell>
        </row>
        <row r="1223">
          <cell r="G1223">
            <v>241233</v>
          </cell>
          <cell r="H1223" t="str">
            <v>NEW COVENANT MENNONITE FELLOWS</v>
          </cell>
          <cell r="I1223" t="str">
            <v>New Holland</v>
          </cell>
          <cell r="K1223" t="str">
            <v>529 Farmersville Rd</v>
          </cell>
          <cell r="L1223" t="str">
            <v>PA</v>
          </cell>
          <cell r="M1223">
            <v>17557</v>
          </cell>
          <cell r="N1223" t="str">
            <v>529 Farmersville Rd New Holland, PA 17557</v>
          </cell>
        </row>
        <row r="1224">
          <cell r="G1224">
            <v>483514</v>
          </cell>
          <cell r="H1224" t="str">
            <v>Yellow Breeches Educational Ce</v>
          </cell>
          <cell r="I1224" t="str">
            <v>Fredericksburg</v>
          </cell>
          <cell r="K1224" t="str">
            <v>119 E Walnut St</v>
          </cell>
          <cell r="L1224" t="str">
            <v>PA</v>
          </cell>
          <cell r="M1224">
            <v>17026</v>
          </cell>
          <cell r="N1224" t="str">
            <v>119 E Walnut St Fredericksburg, PA 17026</v>
          </cell>
        </row>
        <row r="1225">
          <cell r="G1225">
            <v>240876</v>
          </cell>
          <cell r="H1225" t="str">
            <v>LEWISBURG AREA SCHOOL DISTRICT</v>
          </cell>
          <cell r="I1225" t="str">
            <v>Lewisburg</v>
          </cell>
          <cell r="K1225" t="str">
            <v>1951 Washington Ave Dept Co</v>
          </cell>
          <cell r="L1225" t="str">
            <v>PA</v>
          </cell>
          <cell r="M1225">
            <v>17837</v>
          </cell>
          <cell r="N1225" t="str">
            <v>1951 Washington Ave Dept Co Lewisburg, PA 17837</v>
          </cell>
        </row>
        <row r="1226">
          <cell r="G1226">
            <v>460534</v>
          </cell>
          <cell r="H1226" t="str">
            <v>Faith Tabernacle</v>
          </cell>
          <cell r="I1226" t="str">
            <v>Philadelphia</v>
          </cell>
          <cell r="K1226" t="str">
            <v>3618 N 5th St</v>
          </cell>
          <cell r="L1226" t="str">
            <v>PA</v>
          </cell>
          <cell r="M1226">
            <v>19140</v>
          </cell>
          <cell r="N1226" t="str">
            <v>3618 N 5th St Philadelphia, PA 19140</v>
          </cell>
        </row>
        <row r="1227">
          <cell r="G1227">
            <v>246418</v>
          </cell>
          <cell r="H1227" t="str">
            <v>Tri-Century Eye Care, P.C.</v>
          </cell>
          <cell r="I1227" t="str">
            <v>Southampton</v>
          </cell>
          <cell r="J1227" t="str">
            <v>Philly Suburbs - North</v>
          </cell>
          <cell r="K1227" t="str">
            <v>319 2nd Street Pike</v>
          </cell>
          <cell r="L1227" t="str">
            <v>PA</v>
          </cell>
          <cell r="M1227">
            <v>18966</v>
          </cell>
          <cell r="N1227" t="str">
            <v>319 2nd Street Pike Southampton, PA 18966</v>
          </cell>
        </row>
        <row r="1228">
          <cell r="G1228">
            <v>471880</v>
          </cell>
          <cell r="H1228" t="str">
            <v>Millersville - Lyle Hall</v>
          </cell>
          <cell r="I1228" t="str">
            <v>Millersville</v>
          </cell>
          <cell r="K1228" t="str">
            <v>40 Dilworth Rd</v>
          </cell>
          <cell r="L1228" t="str">
            <v>PA</v>
          </cell>
          <cell r="M1228">
            <v>17551</v>
          </cell>
          <cell r="N1228" t="str">
            <v>40 Dilworth Rd Millersville, PA 17551</v>
          </cell>
        </row>
        <row r="1229">
          <cell r="G1229">
            <v>246080</v>
          </cell>
          <cell r="H1229" t="str">
            <v>Faulkner Ford Mercury</v>
          </cell>
          <cell r="I1229" t="str">
            <v>Quakertown</v>
          </cell>
          <cell r="K1229" t="str">
            <v>1531 Park Ave</v>
          </cell>
          <cell r="L1229" t="str">
            <v>PA</v>
          </cell>
          <cell r="M1229">
            <v>18951</v>
          </cell>
          <cell r="N1229" t="str">
            <v>1531 Park Ave Quakertown, PA 18951</v>
          </cell>
        </row>
        <row r="1230">
          <cell r="G1230">
            <v>417148</v>
          </cell>
          <cell r="H1230" t="str">
            <v>Harry O. Eisenberg Elementary</v>
          </cell>
          <cell r="I1230" t="str">
            <v>New Castle</v>
          </cell>
          <cell r="K1230" t="str">
            <v>27 Landers Ln</v>
          </cell>
          <cell r="L1230" t="str">
            <v>DE</v>
          </cell>
          <cell r="M1230">
            <v>19720</v>
          </cell>
          <cell r="N1230" t="str">
            <v>27 Landers Ln New Castle, DE 19720</v>
          </cell>
        </row>
        <row r="1231">
          <cell r="G1231">
            <v>454898</v>
          </cell>
          <cell r="H1231" t="str">
            <v>JAMES GETTYS ELEMENTARY</v>
          </cell>
          <cell r="I1231" t="str">
            <v>Gettysburg</v>
          </cell>
          <cell r="K1231" t="str">
            <v>898 Biglerville Rd</v>
          </cell>
          <cell r="L1231" t="str">
            <v>PA</v>
          </cell>
          <cell r="M1231">
            <v>17325</v>
          </cell>
          <cell r="N1231" t="str">
            <v>898 Biglerville Rd Gettysburg, PA 17325</v>
          </cell>
        </row>
        <row r="1232">
          <cell r="G1232">
            <v>253983</v>
          </cell>
          <cell r="H1232" t="str">
            <v>Luther House</v>
          </cell>
          <cell r="I1232" t="str">
            <v>West Grove</v>
          </cell>
          <cell r="K1232" t="str">
            <v>122 Jenners Pond Rd</v>
          </cell>
          <cell r="L1232" t="str">
            <v>PA</v>
          </cell>
          <cell r="M1232">
            <v>19390</v>
          </cell>
          <cell r="N1232" t="str">
            <v>122 Jenners Pond Rd West Grove, PA 19390</v>
          </cell>
        </row>
        <row r="1233">
          <cell r="G1233">
            <v>282110</v>
          </cell>
          <cell r="H1233" t="str">
            <v>The Pennington School</v>
          </cell>
          <cell r="I1233" t="str">
            <v>Pennington</v>
          </cell>
          <cell r="K1233" t="str">
            <v>112 W Delaware Ave</v>
          </cell>
          <cell r="L1233" t="str">
            <v>NJ</v>
          </cell>
          <cell r="M1233">
            <v>8534</v>
          </cell>
          <cell r="N1233" t="str">
            <v>112 W Delaware Ave Pennington, NJ 08534</v>
          </cell>
        </row>
        <row r="1234">
          <cell r="G1234">
            <v>239704</v>
          </cell>
          <cell r="H1234" t="str">
            <v>CONESTOGA VALLEY SCHOOL</v>
          </cell>
          <cell r="I1234" t="str">
            <v>Leola</v>
          </cell>
          <cell r="K1234" t="str">
            <v>160 Newport Rd</v>
          </cell>
          <cell r="L1234" t="str">
            <v>PA</v>
          </cell>
          <cell r="M1234">
            <v>17540</v>
          </cell>
          <cell r="N1234" t="str">
            <v>160 Newport Rd Leola, PA 17540</v>
          </cell>
        </row>
        <row r="1235">
          <cell r="G1235">
            <v>283754</v>
          </cell>
          <cell r="H1235" t="str">
            <v>Puresyn Inc.</v>
          </cell>
          <cell r="I1235" t="str">
            <v>Malvern</v>
          </cell>
          <cell r="K1235" t="str">
            <v>87 Great Valley Pkwy</v>
          </cell>
          <cell r="L1235" t="str">
            <v>PA</v>
          </cell>
          <cell r="M1235">
            <v>19355</v>
          </cell>
          <cell r="N1235" t="str">
            <v>87 Great Valley Pkwy Malvern, PA 19355</v>
          </cell>
        </row>
        <row r="1236">
          <cell r="G1236">
            <v>483268</v>
          </cell>
          <cell r="H1236" t="str">
            <v>J.T. Lambert Intermediate Scho</v>
          </cell>
          <cell r="I1236" t="str">
            <v>East Stroudsburg</v>
          </cell>
          <cell r="K1236" t="str">
            <v>2000 Milford Rd</v>
          </cell>
          <cell r="L1236" t="str">
            <v>PA</v>
          </cell>
          <cell r="M1236">
            <v>18301</v>
          </cell>
          <cell r="N1236" t="str">
            <v>2000 Milford Rd East Stroudsburg, PA 18301</v>
          </cell>
        </row>
        <row r="1237">
          <cell r="G1237">
            <v>242139</v>
          </cell>
          <cell r="H1237" t="str">
            <v>TOWER INSURANCE SERVICES</v>
          </cell>
          <cell r="I1237" t="str">
            <v>Lancaster</v>
          </cell>
          <cell r="K1237" t="str">
            <v>8 Marticville Rd</v>
          </cell>
          <cell r="L1237" t="str">
            <v>PA</v>
          </cell>
          <cell r="M1237">
            <v>17603</v>
          </cell>
          <cell r="N1237" t="str">
            <v>8 Marticville Rd Lancaster, PA 17603</v>
          </cell>
        </row>
        <row r="1238">
          <cell r="G1238">
            <v>241680</v>
          </cell>
          <cell r="H1238" t="str">
            <v>RUTTERS FARM STORES #39</v>
          </cell>
          <cell r="I1238" t="str">
            <v>Windsor</v>
          </cell>
          <cell r="K1238" t="str">
            <v>179 W Main St</v>
          </cell>
          <cell r="L1238" t="str">
            <v>PA</v>
          </cell>
          <cell r="M1238">
            <v>17366</v>
          </cell>
          <cell r="N1238" t="str">
            <v>179 W Main St Windsor, PA 17366</v>
          </cell>
        </row>
        <row r="1239">
          <cell r="G1239">
            <v>302364</v>
          </cell>
          <cell r="H1239" t="str">
            <v>MILLET PLASTICS#</v>
          </cell>
          <cell r="I1239" t="str">
            <v>Lebanon</v>
          </cell>
          <cell r="K1239" t="str">
            <v>21 Lebanon Valley Pkwy</v>
          </cell>
          <cell r="L1239" t="str">
            <v>PA</v>
          </cell>
          <cell r="M1239">
            <v>17042</v>
          </cell>
          <cell r="N1239" t="str">
            <v>21 Lebanon Valley Pkwy Lebanon, PA 17042</v>
          </cell>
        </row>
        <row r="1240">
          <cell r="G1240">
            <v>264881</v>
          </cell>
          <cell r="H1240" t="str">
            <v>NEW PROVIDENCE CHURCH OF GOD</v>
          </cell>
          <cell r="I1240" t="str">
            <v>New Providence</v>
          </cell>
          <cell r="K1240" t="str">
            <v>269 Cinder Rd</v>
          </cell>
          <cell r="L1240" t="str">
            <v>PA</v>
          </cell>
          <cell r="M1240">
            <v>17560</v>
          </cell>
          <cell r="N1240" t="str">
            <v>269 Cinder Rd New Providence, PA 17560</v>
          </cell>
        </row>
        <row r="1241">
          <cell r="G1241">
            <v>418977</v>
          </cell>
          <cell r="H1241" t="str">
            <v>Warehouse / Maintenance</v>
          </cell>
          <cell r="I1241" t="str">
            <v>Pennsauken</v>
          </cell>
          <cell r="J1241" t="str">
            <v>Camden</v>
          </cell>
          <cell r="K1241" t="str">
            <v>1695 Hylton Rd</v>
          </cell>
          <cell r="L1241" t="str">
            <v>NJ</v>
          </cell>
          <cell r="M1241">
            <v>8110</v>
          </cell>
          <cell r="N1241" t="str">
            <v>1695 Hylton Rd Pennsauken, NJ 08110</v>
          </cell>
        </row>
        <row r="1242">
          <cell r="G1242">
            <v>293285</v>
          </cell>
          <cell r="H1242" t="str">
            <v>HAMBURG AREA SCHOOL DISTRICT</v>
          </cell>
          <cell r="I1242" t="str">
            <v>Hamburg</v>
          </cell>
          <cell r="K1242" t="str">
            <v>701 Windsor St</v>
          </cell>
          <cell r="L1242" t="str">
            <v>PA</v>
          </cell>
          <cell r="M1242">
            <v>19526</v>
          </cell>
          <cell r="N1242" t="str">
            <v>701 Windsor St Hamburg, PA 19526</v>
          </cell>
        </row>
        <row r="1243">
          <cell r="G1243">
            <v>286504</v>
          </cell>
          <cell r="H1243" t="str">
            <v>MARY MOTHER OF THE CHURCH PARI</v>
          </cell>
          <cell r="I1243" t="str">
            <v>Mount Joy</v>
          </cell>
          <cell r="K1243" t="str">
            <v>625 Union School Rd</v>
          </cell>
          <cell r="L1243" t="str">
            <v>PA</v>
          </cell>
          <cell r="M1243">
            <v>17552</v>
          </cell>
          <cell r="N1243" t="str">
            <v>625 Union School Rd Mount Joy, PA 17552</v>
          </cell>
        </row>
        <row r="1244">
          <cell r="G1244">
            <v>482465</v>
          </cell>
          <cell r="H1244" t="str">
            <v>Bayhealth</v>
          </cell>
          <cell r="I1244" t="str">
            <v>Milton</v>
          </cell>
          <cell r="K1244" t="str">
            <v>18383 Hudson Rd</v>
          </cell>
          <cell r="L1244" t="str">
            <v>DE</v>
          </cell>
          <cell r="M1244">
            <v>19968</v>
          </cell>
          <cell r="N1244" t="str">
            <v>18383 Hudson Rd Milton, DE 19968</v>
          </cell>
        </row>
        <row r="1245">
          <cell r="G1245">
            <v>241605</v>
          </cell>
          <cell r="H1245" t="str">
            <v>RISSERS POULTRY INC</v>
          </cell>
          <cell r="I1245" t="str">
            <v>Lititz</v>
          </cell>
          <cell r="K1245" t="str">
            <v>12 Wynfield Dr</v>
          </cell>
          <cell r="L1245" t="str">
            <v>PA</v>
          </cell>
          <cell r="M1245">
            <v>17543</v>
          </cell>
          <cell r="N1245" t="str">
            <v>12 Wynfield Dr Lititz, PA 17543</v>
          </cell>
        </row>
        <row r="1246">
          <cell r="G1246">
            <v>481475</v>
          </cell>
          <cell r="H1246" t="str">
            <v>Fleetwood Area High School</v>
          </cell>
          <cell r="I1246" t="str">
            <v>Fleetwood</v>
          </cell>
          <cell r="K1246" t="str">
            <v>803 North Richmond St</v>
          </cell>
          <cell r="L1246" t="str">
            <v>PA</v>
          </cell>
          <cell r="M1246">
            <v>19522</v>
          </cell>
          <cell r="N1246" t="str">
            <v>803 North Richmond St Fleetwood, PA 19522</v>
          </cell>
        </row>
        <row r="1247">
          <cell r="G1247">
            <v>479177</v>
          </cell>
          <cell r="H1247" t="str">
            <v>Middleburg Elementary School</v>
          </cell>
          <cell r="I1247" t="str">
            <v>Middleburg</v>
          </cell>
          <cell r="K1247" t="str">
            <v>600 Wagenseller St</v>
          </cell>
          <cell r="L1247" t="str">
            <v>PA</v>
          </cell>
          <cell r="M1247">
            <v>17842</v>
          </cell>
          <cell r="N1247" t="str">
            <v>600 Wagenseller St Middleburg, PA 17842</v>
          </cell>
        </row>
        <row r="1248">
          <cell r="G1248">
            <v>470504</v>
          </cell>
          <cell r="H1248" t="str">
            <v>TWIN VALLEY ELEMENTARY CENTER</v>
          </cell>
          <cell r="I1248" t="str">
            <v>Elverson</v>
          </cell>
          <cell r="K1248" t="str">
            <v>50 Mast Dr</v>
          </cell>
          <cell r="L1248" t="str">
            <v>PA</v>
          </cell>
          <cell r="M1248">
            <v>19520</v>
          </cell>
          <cell r="N1248" t="str">
            <v>50 Mast Dr Elverson, PA 19520</v>
          </cell>
        </row>
        <row r="1249">
          <cell r="G1249">
            <v>241082</v>
          </cell>
          <cell r="H1249" t="str">
            <v>MECHANIC GROVE CHURCH #</v>
          </cell>
          <cell r="I1249" t="str">
            <v>Quarryville</v>
          </cell>
          <cell r="K1249" t="str">
            <v>1392 Robert Fulton Hwy</v>
          </cell>
          <cell r="L1249" t="str">
            <v>PA</v>
          </cell>
          <cell r="M1249">
            <v>17566</v>
          </cell>
          <cell r="N1249" t="str">
            <v>1392 Robert Fulton Hwy Quarryville, PA 17566</v>
          </cell>
        </row>
        <row r="1250">
          <cell r="G1250">
            <v>245041</v>
          </cell>
          <cell r="H1250" t="str">
            <v>Great Valley School District</v>
          </cell>
          <cell r="I1250" t="str">
            <v>Malvern</v>
          </cell>
          <cell r="K1250" t="str">
            <v>301 Lindenwood Dr</v>
          </cell>
          <cell r="L1250" t="str">
            <v>PA</v>
          </cell>
          <cell r="M1250">
            <v>19355</v>
          </cell>
          <cell r="N1250" t="str">
            <v>301 Lindenwood Dr Malvern, PA 19355</v>
          </cell>
        </row>
        <row r="1251">
          <cell r="G1251">
            <v>240444</v>
          </cell>
          <cell r="H1251" t="str">
            <v>HOPEWELL CHRISTIAN FELLOWSHIP</v>
          </cell>
          <cell r="I1251" t="str">
            <v>Elverson</v>
          </cell>
          <cell r="K1251" t="str">
            <v>2286 Hopewell Rd</v>
          </cell>
          <cell r="L1251" t="str">
            <v>PA</v>
          </cell>
          <cell r="M1251">
            <v>19520</v>
          </cell>
          <cell r="N1251" t="str">
            <v>2286 Hopewell Rd Elverson, PA 19520</v>
          </cell>
        </row>
        <row r="1252">
          <cell r="G1252">
            <v>449886</v>
          </cell>
          <cell r="H1252" t="str">
            <v>HAMILTON HEALTH CENTER</v>
          </cell>
          <cell r="I1252" t="str">
            <v>Harrisburg</v>
          </cell>
          <cell r="K1252" t="str">
            <v>110 S 17th St</v>
          </cell>
          <cell r="L1252" t="str">
            <v>PA</v>
          </cell>
          <cell r="M1252">
            <v>17104</v>
          </cell>
          <cell r="N1252" t="str">
            <v>110 S 17th St Harrisburg, PA 17104</v>
          </cell>
        </row>
        <row r="1253">
          <cell r="G1253">
            <v>449489</v>
          </cell>
          <cell r="H1253" t="str">
            <v>Ivy Hill Cemetery</v>
          </cell>
          <cell r="I1253" t="str">
            <v>Philadelphia</v>
          </cell>
          <cell r="K1253" t="str">
            <v>1201 Easton Rd</v>
          </cell>
          <cell r="L1253" t="str">
            <v>PA</v>
          </cell>
          <cell r="M1253">
            <v>19150</v>
          </cell>
          <cell r="N1253" t="str">
            <v>1201 Easton Rd Philadelphia, PA 19150</v>
          </cell>
        </row>
        <row r="1254">
          <cell r="G1254">
            <v>474412</v>
          </cell>
          <cell r="H1254" t="str">
            <v>BLUE MOUNTAIN HIGH SCHOOL</v>
          </cell>
          <cell r="I1254" t="str">
            <v>Schuylkill Haven</v>
          </cell>
          <cell r="K1254" t="str">
            <v>1076 W Market St</v>
          </cell>
          <cell r="L1254" t="str">
            <v>PA</v>
          </cell>
          <cell r="M1254">
            <v>17972</v>
          </cell>
          <cell r="N1254" t="str">
            <v>1076 W Market St Schuylkill Haven, PA 17972</v>
          </cell>
        </row>
        <row r="1255">
          <cell r="G1255">
            <v>418197</v>
          </cell>
          <cell r="H1255" t="str">
            <v>North Penn High School</v>
          </cell>
          <cell r="I1255" t="str">
            <v>Lansdale</v>
          </cell>
          <cell r="K1255" t="str">
            <v>1340 S Valley Forge Rd</v>
          </cell>
          <cell r="L1255" t="str">
            <v>PA</v>
          </cell>
          <cell r="M1255">
            <v>19446</v>
          </cell>
          <cell r="N1255" t="str">
            <v>1340 S Valley Forge Rd Lansdale, PA 19446</v>
          </cell>
        </row>
        <row r="1256">
          <cell r="G1256">
            <v>479158</v>
          </cell>
          <cell r="H1256" t="str">
            <v>Sharon Hill HS</v>
          </cell>
          <cell r="I1256" t="str">
            <v>Sharon Hill</v>
          </cell>
          <cell r="K1256" t="str">
            <v>1016 School St</v>
          </cell>
          <cell r="L1256" t="str">
            <v>PA</v>
          </cell>
          <cell r="M1256">
            <v>19079</v>
          </cell>
          <cell r="N1256" t="str">
            <v>1016 School St Sharon Hill, PA 19079</v>
          </cell>
        </row>
        <row r="1257">
          <cell r="G1257">
            <v>479161</v>
          </cell>
          <cell r="H1257" t="str">
            <v>CTR HS</v>
          </cell>
          <cell r="I1257" t="str">
            <v>Chester</v>
          </cell>
          <cell r="K1257" t="str">
            <v>2730 Bethel Rd</v>
          </cell>
          <cell r="L1257" t="str">
            <v>PA</v>
          </cell>
          <cell r="M1257">
            <v>19013</v>
          </cell>
          <cell r="N1257" t="str">
            <v>2730 Bethel Rd Chester, PA 19013</v>
          </cell>
        </row>
        <row r="1258">
          <cell r="G1258">
            <v>441284</v>
          </cell>
          <cell r="H1258" t="str">
            <v>W W EVANS ELEMENTARY</v>
          </cell>
          <cell r="I1258" t="str">
            <v>Bloomsburg</v>
          </cell>
          <cell r="K1258" t="str">
            <v>59 Perry Ave</v>
          </cell>
          <cell r="L1258" t="str">
            <v>PA</v>
          </cell>
          <cell r="M1258">
            <v>17815</v>
          </cell>
          <cell r="N1258" t="str">
            <v>59 Perry Ave Bloomsburg, PA 17815</v>
          </cell>
        </row>
        <row r="1259">
          <cell r="G1259">
            <v>457721</v>
          </cell>
          <cell r="H1259" t="str">
            <v>ELMA Electronic Inc.</v>
          </cell>
          <cell r="I1259" t="str">
            <v>Horsham</v>
          </cell>
          <cell r="J1259" t="str">
            <v>Philly Suburbs - North</v>
          </cell>
          <cell r="K1259" t="str">
            <v>235 Gibraltar Rd</v>
          </cell>
          <cell r="L1259" t="str">
            <v>PA</v>
          </cell>
          <cell r="M1259">
            <v>19044</v>
          </cell>
          <cell r="N1259" t="str">
            <v>235 Gibraltar Rd Horsham, PA 19044</v>
          </cell>
        </row>
        <row r="1260">
          <cell r="G1260">
            <v>441248</v>
          </cell>
          <cell r="H1260" t="str">
            <v>HV-2</v>
          </cell>
          <cell r="I1260" t="str">
            <v>Huntingdon Valley</v>
          </cell>
          <cell r="J1260" t="str">
            <v>Philly Suburbs - North</v>
          </cell>
          <cell r="K1260" t="str">
            <v>1438 County Line Rd</v>
          </cell>
          <cell r="L1260" t="str">
            <v>PA</v>
          </cell>
          <cell r="M1260">
            <v>19006</v>
          </cell>
          <cell r="N1260" t="str">
            <v>1438 County Line Rd Huntingdon Valley, PA 19006</v>
          </cell>
        </row>
        <row r="1261">
          <cell r="G1261">
            <v>343785</v>
          </cell>
          <cell r="H1261" t="str">
            <v>Saint Monica Saint Augustine C</v>
          </cell>
          <cell r="I1261" t="str">
            <v>ELIZABETHTOWN</v>
          </cell>
          <cell r="K1261" t="str">
            <v>144 S Market St</v>
          </cell>
          <cell r="L1261" t="str">
            <v>PA</v>
          </cell>
          <cell r="M1261">
            <v>17022</v>
          </cell>
          <cell r="N1261" t="str">
            <v>144 S Market St ELIZABETHTOWN, PA 17022</v>
          </cell>
        </row>
        <row r="1262">
          <cell r="G1262">
            <v>243586</v>
          </cell>
          <cell r="H1262" t="str">
            <v>Bergey's Truck Center</v>
          </cell>
          <cell r="I1262" t="str">
            <v>New Castle</v>
          </cell>
          <cell r="K1262" t="str">
            <v>29 E Commons Blvd Ste 3</v>
          </cell>
          <cell r="L1262" t="str">
            <v>DE</v>
          </cell>
          <cell r="M1262">
            <v>19720</v>
          </cell>
          <cell r="N1262" t="str">
            <v>29 E Commons Blvd Ste 3 New Castle, DE 19720</v>
          </cell>
        </row>
        <row r="1263">
          <cell r="G1263">
            <v>464211</v>
          </cell>
          <cell r="H1263" t="str">
            <v>PAXTANG ELEMENTARY SCHOOL</v>
          </cell>
          <cell r="I1263" t="str">
            <v>Harrisburg</v>
          </cell>
          <cell r="K1263" t="str">
            <v>3530 Rutherford St</v>
          </cell>
          <cell r="L1263" t="str">
            <v>PA</v>
          </cell>
          <cell r="M1263">
            <v>17111</v>
          </cell>
          <cell r="N1263" t="str">
            <v>3530 Rutherford St Harrisburg, PA 17111</v>
          </cell>
        </row>
        <row r="1264">
          <cell r="G1264">
            <v>468887</v>
          </cell>
          <cell r="H1264" t="str">
            <v>MT PENN Elementary Center</v>
          </cell>
          <cell r="I1264" t="str">
            <v>Reading</v>
          </cell>
          <cell r="K1264" t="str">
            <v>2310 Cumberland Ave</v>
          </cell>
          <cell r="L1264" t="str">
            <v>PA</v>
          </cell>
          <cell r="M1264">
            <v>19606</v>
          </cell>
          <cell r="N1264" t="str">
            <v>2310 Cumberland Ave Reading, PA 19606</v>
          </cell>
        </row>
        <row r="1265">
          <cell r="G1265">
            <v>241697</v>
          </cell>
          <cell r="H1265" t="str">
            <v>RUTTERS FARM STORES #74</v>
          </cell>
          <cell r="I1265" t="str">
            <v>Fayetteville</v>
          </cell>
          <cell r="K1265" t="str">
            <v>4030 Lincoln Way E</v>
          </cell>
          <cell r="L1265" t="str">
            <v>PA</v>
          </cell>
          <cell r="M1265">
            <v>17222</v>
          </cell>
          <cell r="N1265" t="str">
            <v>4030 Lincoln Way E Fayetteville, PA 17222</v>
          </cell>
        </row>
        <row r="1266">
          <cell r="G1266">
            <v>242077</v>
          </cell>
          <cell r="H1266" t="str">
            <v>TERRE HILL MENN SCHOOL DIST#</v>
          </cell>
          <cell r="I1266" t="str">
            <v>TERRE HILL</v>
          </cell>
          <cell r="K1266" t="str">
            <v>1416 Union Grove Rd</v>
          </cell>
          <cell r="L1266" t="str">
            <v>PA</v>
          </cell>
          <cell r="M1266">
            <v>17581</v>
          </cell>
          <cell r="N1266" t="str">
            <v>1416 Union Grove Rd TERRE HILL, PA 17581</v>
          </cell>
        </row>
        <row r="1267">
          <cell r="G1267">
            <v>480899</v>
          </cell>
          <cell r="H1267" t="str">
            <v>Atomic Design Inc.</v>
          </cell>
          <cell r="I1267" t="str">
            <v>ELIZABETHTOWN</v>
          </cell>
          <cell r="K1267" t="str">
            <v>33 Industrial Road</v>
          </cell>
          <cell r="L1267" t="str">
            <v>PA</v>
          </cell>
          <cell r="M1267">
            <v>17022</v>
          </cell>
          <cell r="N1267" t="str">
            <v>33 Industrial Road ELIZABETHTOWN, PA 17022</v>
          </cell>
        </row>
        <row r="1268">
          <cell r="G1268">
            <v>239352</v>
          </cell>
          <cell r="H1268" t="str">
            <v>BOROUGH OF AKRON</v>
          </cell>
          <cell r="I1268" t="str">
            <v>AKRON</v>
          </cell>
          <cell r="J1268" t="str">
            <v>Lancaster - NE</v>
          </cell>
          <cell r="K1268" t="str">
            <v>117 S 7th St</v>
          </cell>
          <cell r="L1268" t="str">
            <v>PA</v>
          </cell>
          <cell r="M1268">
            <v>17501</v>
          </cell>
          <cell r="N1268" t="str">
            <v>117 S 7th St AKRON, PA 17501</v>
          </cell>
        </row>
        <row r="1269">
          <cell r="G1269">
            <v>240765</v>
          </cell>
          <cell r="H1269" t="str">
            <v>LANC PLUMBING &amp; HEATING#</v>
          </cell>
          <cell r="I1269" t="str">
            <v>East Petersburg</v>
          </cell>
          <cell r="K1269" t="str">
            <v>1184 Enterprise Rd</v>
          </cell>
          <cell r="L1269" t="str">
            <v>PA</v>
          </cell>
          <cell r="M1269">
            <v>17520</v>
          </cell>
          <cell r="N1269" t="str">
            <v>1184 Enterprise Rd East Petersburg, PA 17520</v>
          </cell>
        </row>
        <row r="1270">
          <cell r="G1270">
            <v>437511</v>
          </cell>
          <cell r="H1270" t="str">
            <v>Supplee Presbyterian Church</v>
          </cell>
          <cell r="I1270" t="str">
            <v>Maple Glen</v>
          </cell>
          <cell r="K1270" t="str">
            <v>855 E Welsh Rd</v>
          </cell>
          <cell r="L1270" t="str">
            <v>PA</v>
          </cell>
          <cell r="M1270">
            <v>19002</v>
          </cell>
          <cell r="N1270" t="str">
            <v>855 E Welsh Rd Maple Glen, PA 19002</v>
          </cell>
        </row>
        <row r="1271">
          <cell r="G1271">
            <v>452323</v>
          </cell>
          <cell r="H1271" t="str">
            <v>100 S. West Associates LLC</v>
          </cell>
          <cell r="I1271" t="str">
            <v>Wilmington</v>
          </cell>
          <cell r="K1271" t="str">
            <v>300 Water St</v>
          </cell>
          <cell r="L1271" t="str">
            <v>DE</v>
          </cell>
          <cell r="M1271">
            <v>19801</v>
          </cell>
          <cell r="N1271" t="str">
            <v>300 Water St Wilmington, DE 19801</v>
          </cell>
        </row>
        <row r="1272">
          <cell r="G1272">
            <v>241236</v>
          </cell>
          <cell r="H1272" t="str">
            <v>NEW HOLLAND AMBULANCE</v>
          </cell>
          <cell r="I1272" t="str">
            <v>New Holland</v>
          </cell>
          <cell r="K1272" t="str">
            <v>101 E Franklin St</v>
          </cell>
          <cell r="L1272" t="str">
            <v>PA</v>
          </cell>
          <cell r="M1272">
            <v>17557</v>
          </cell>
          <cell r="N1272" t="str">
            <v>101 E Franklin St New Holland, PA 17557</v>
          </cell>
        </row>
        <row r="1273">
          <cell r="G1273">
            <v>292196</v>
          </cell>
          <cell r="H1273" t="str">
            <v>St Peters Evangelical Lutheran</v>
          </cell>
          <cell r="I1273" t="str">
            <v>North Wales</v>
          </cell>
          <cell r="K1273" t="str">
            <v>211 S Main St</v>
          </cell>
          <cell r="L1273" t="str">
            <v>PA</v>
          </cell>
          <cell r="M1273">
            <v>19454</v>
          </cell>
          <cell r="N1273" t="str">
            <v>211 S Main St North Wales, PA 19454</v>
          </cell>
        </row>
        <row r="1274">
          <cell r="G1274">
            <v>464143</v>
          </cell>
          <cell r="H1274" t="str">
            <v>Workspace Property Trust L.P</v>
          </cell>
          <cell r="I1274" t="str">
            <v>Malvern</v>
          </cell>
          <cell r="K1274" t="str">
            <v>490 Lapp Rd</v>
          </cell>
          <cell r="L1274" t="str">
            <v>PA</v>
          </cell>
          <cell r="M1274">
            <v>19355</v>
          </cell>
          <cell r="N1274" t="str">
            <v>490 Lapp Rd Malvern, PA 19355</v>
          </cell>
        </row>
        <row r="1275">
          <cell r="G1275">
            <v>479426</v>
          </cell>
          <cell r="H1275" t="str">
            <v>MANHEIM TWP SCHOOL MAINTENANCE</v>
          </cell>
          <cell r="I1275" t="str">
            <v>Lancaster</v>
          </cell>
          <cell r="K1275" t="str">
            <v>75 Valley Rd</v>
          </cell>
          <cell r="L1275" t="str">
            <v>PA</v>
          </cell>
          <cell r="M1275">
            <v>17601</v>
          </cell>
          <cell r="N1275" t="str">
            <v>75 Valley Rd Lancaster, PA 17601</v>
          </cell>
        </row>
        <row r="1276">
          <cell r="G1276">
            <v>240040</v>
          </cell>
          <cell r="H1276" t="str">
            <v>FAITH EVANG CONG CHURCH</v>
          </cell>
          <cell r="I1276" t="str">
            <v>Lancaster</v>
          </cell>
          <cell r="K1276" t="str">
            <v>2124 Old Philadelphia Pike</v>
          </cell>
          <cell r="L1276" t="str">
            <v>PA</v>
          </cell>
          <cell r="M1276">
            <v>17602</v>
          </cell>
          <cell r="N1276" t="str">
            <v>2124 Old Philadelphia Pike Lancaster, PA 17602</v>
          </cell>
        </row>
        <row r="1277">
          <cell r="G1277">
            <v>239367</v>
          </cell>
          <cell r="H1277" t="str">
            <v>BOYD WILSON PROPERTY#</v>
          </cell>
          <cell r="I1277" t="str">
            <v>Lancaster</v>
          </cell>
          <cell r="K1277" t="str">
            <v>600 Olde Hickory Rd Ste 100</v>
          </cell>
          <cell r="L1277" t="str">
            <v>PA</v>
          </cell>
          <cell r="M1277">
            <v>17601</v>
          </cell>
          <cell r="N1277" t="str">
            <v>600 Olde Hickory Rd Ste 100 Lancaster, PA 17601</v>
          </cell>
        </row>
        <row r="1278">
          <cell r="G1278">
            <v>463918</v>
          </cell>
          <cell r="H1278" t="str">
            <v>Workspace Property Trust Thera</v>
          </cell>
          <cell r="I1278" t="str">
            <v>Horsham</v>
          </cell>
          <cell r="K1278" t="str">
            <v>555 Business Center Dr</v>
          </cell>
          <cell r="L1278" t="str">
            <v>PA</v>
          </cell>
          <cell r="M1278">
            <v>19044</v>
          </cell>
          <cell r="N1278" t="str">
            <v>555 Business Center Dr Horsham, PA 19044</v>
          </cell>
        </row>
        <row r="1279">
          <cell r="G1279">
            <v>241140</v>
          </cell>
          <cell r="H1279" t="str">
            <v>MILLERSVILLE UNIVERSITY #</v>
          </cell>
          <cell r="I1279" t="str">
            <v>Millersville</v>
          </cell>
          <cell r="K1279" t="str">
            <v>153 S CREEK DR</v>
          </cell>
          <cell r="L1279" t="str">
            <v>PA</v>
          </cell>
          <cell r="M1279">
            <v>17551</v>
          </cell>
          <cell r="N1279" t="str">
            <v>153 S CREEK DR Millersville, PA 17551</v>
          </cell>
        </row>
        <row r="1280">
          <cell r="G1280">
            <v>452764</v>
          </cell>
          <cell r="H1280" t="str">
            <v>Brandywine Grace Church</v>
          </cell>
          <cell r="I1280" t="str">
            <v>Downingtown</v>
          </cell>
          <cell r="K1280" t="str">
            <v>40 W Pennsylvania Ave</v>
          </cell>
          <cell r="L1280" t="str">
            <v>PA</v>
          </cell>
          <cell r="M1280">
            <v>19335</v>
          </cell>
          <cell r="N1280" t="str">
            <v>40 W Pennsylvania Ave Downingtown, PA 19335</v>
          </cell>
        </row>
        <row r="1281">
          <cell r="G1281">
            <v>253611</v>
          </cell>
          <cell r="H1281" t="str">
            <v>CC - Johnstone Supply</v>
          </cell>
          <cell r="I1281" t="str">
            <v>Warminster</v>
          </cell>
          <cell r="J1281" t="str">
            <v>Philly Suburbs - North</v>
          </cell>
          <cell r="K1281" t="str">
            <v>73 Ash Cir</v>
          </cell>
          <cell r="L1281" t="str">
            <v>PA</v>
          </cell>
          <cell r="M1281">
            <v>18974</v>
          </cell>
          <cell r="N1281" t="str">
            <v>73 Ash Cir Warminster, PA 18974</v>
          </cell>
        </row>
        <row r="1282">
          <cell r="G1282">
            <v>481668</v>
          </cell>
          <cell r="H1282" t="str">
            <v>Central Square Apartments</v>
          </cell>
          <cell r="I1282" t="str">
            <v>Doylestown</v>
          </cell>
          <cell r="J1282" t="str">
            <v>Philly Suburbs - North</v>
          </cell>
          <cell r="K1282" t="str">
            <v>555 N Broad St</v>
          </cell>
          <cell r="L1282" t="str">
            <v>PA</v>
          </cell>
          <cell r="M1282">
            <v>18901</v>
          </cell>
          <cell r="N1282" t="str">
            <v>555 N Broad St Doylestown, PA 18901</v>
          </cell>
        </row>
        <row r="1283">
          <cell r="G1283">
            <v>240757</v>
          </cell>
          <cell r="H1283" t="str">
            <v>LANCASTER NISSAN</v>
          </cell>
          <cell r="I1283" t="str">
            <v>East Petersburg</v>
          </cell>
          <cell r="K1283" t="str">
            <v>5340 Main St</v>
          </cell>
          <cell r="L1283" t="str">
            <v>PA</v>
          </cell>
          <cell r="M1283">
            <v>17520</v>
          </cell>
          <cell r="N1283" t="str">
            <v>5340 Main St East Petersburg, PA 17520</v>
          </cell>
        </row>
        <row r="1284">
          <cell r="G1284">
            <v>268071</v>
          </cell>
          <cell r="H1284" t="str">
            <v>ARCOBALENO PASTA MACHINES#</v>
          </cell>
          <cell r="I1284" t="str">
            <v>Lancaster</v>
          </cell>
          <cell r="K1284" t="str">
            <v>160 GREENFIELD RD</v>
          </cell>
          <cell r="L1284" t="str">
            <v>PA</v>
          </cell>
          <cell r="M1284">
            <v>17601</v>
          </cell>
          <cell r="N1284" t="str">
            <v>160 GREENFIELD RD Lancaster, PA 17601</v>
          </cell>
        </row>
        <row r="1285">
          <cell r="G1285">
            <v>316850</v>
          </cell>
          <cell r="H1285" t="str">
            <v>KAREN WHITTINGTON</v>
          </cell>
          <cell r="I1285" t="str">
            <v>Paradise</v>
          </cell>
          <cell r="K1285" t="str">
            <v>16 Bethany Ave</v>
          </cell>
          <cell r="L1285" t="str">
            <v>PA</v>
          </cell>
          <cell r="M1285">
            <v>17562</v>
          </cell>
          <cell r="N1285" t="str">
            <v>16 Bethany Ave Paradise, PA 17562</v>
          </cell>
        </row>
        <row r="1286">
          <cell r="G1286">
            <v>240746</v>
          </cell>
          <cell r="H1286" t="str">
            <v>LANC HOUSING AUTHORITY</v>
          </cell>
          <cell r="I1286" t="str">
            <v>Lancaster</v>
          </cell>
          <cell r="K1286" t="str">
            <v>325 Church St</v>
          </cell>
          <cell r="L1286" t="str">
            <v>PA</v>
          </cell>
          <cell r="M1286">
            <v>17602</v>
          </cell>
          <cell r="N1286" t="str">
            <v>325 Church St Lancaster, PA 17602</v>
          </cell>
        </row>
        <row r="1287">
          <cell r="G1287">
            <v>240902</v>
          </cell>
          <cell r="H1287" t="str">
            <v>LITITZ MORAVIAN CHURCH</v>
          </cell>
          <cell r="I1287" t="str">
            <v>Lititz</v>
          </cell>
          <cell r="K1287" t="str">
            <v>8 Church Sq</v>
          </cell>
          <cell r="L1287" t="str">
            <v>PA</v>
          </cell>
          <cell r="M1287">
            <v>17543</v>
          </cell>
          <cell r="N1287" t="str">
            <v>8 Church Sq Lititz, PA 17543</v>
          </cell>
        </row>
        <row r="1288">
          <cell r="G1288">
            <v>239726</v>
          </cell>
          <cell r="H1288" t="str">
            <v>COUNTY OF LEBANON TRANSIT AUTH</v>
          </cell>
          <cell r="I1288" t="str">
            <v>Lebanon</v>
          </cell>
          <cell r="K1288" t="str">
            <v>200 WILLOW ST</v>
          </cell>
          <cell r="L1288" t="str">
            <v>PA</v>
          </cell>
          <cell r="M1288">
            <v>17046</v>
          </cell>
          <cell r="N1288" t="str">
            <v>200 WILLOW ST Lebanon, PA 17046</v>
          </cell>
        </row>
        <row r="1289">
          <cell r="G1289">
            <v>464207</v>
          </cell>
          <cell r="H1289" t="str">
            <v>LINGLESTOWN ELEMENTARY SCHOOL</v>
          </cell>
          <cell r="I1289" t="str">
            <v>Harrisburg</v>
          </cell>
          <cell r="K1289" t="str">
            <v>1044 N Mountain Rd</v>
          </cell>
          <cell r="L1289" t="str">
            <v>PA</v>
          </cell>
          <cell r="M1289">
            <v>17112</v>
          </cell>
          <cell r="N1289" t="str">
            <v>1044 N Mountain Rd Harrisburg, PA 17112</v>
          </cell>
        </row>
        <row r="1290">
          <cell r="G1290">
            <v>243123</v>
          </cell>
          <cell r="H1290" t="str">
            <v>Central Bucks School of Gymnas</v>
          </cell>
          <cell r="I1290" t="str">
            <v>Doylestown</v>
          </cell>
          <cell r="J1290" t="str">
            <v>Philly Suburbs - North</v>
          </cell>
          <cell r="K1290" t="str">
            <v>929 N Easton Rd</v>
          </cell>
          <cell r="L1290" t="str">
            <v>PA</v>
          </cell>
          <cell r="M1290">
            <v>18902</v>
          </cell>
          <cell r="N1290" t="str">
            <v>929 N Easton Rd Doylestown, PA 18902</v>
          </cell>
        </row>
        <row r="1291">
          <cell r="G1291">
            <v>264398</v>
          </cell>
          <cell r="H1291" t="str">
            <v>Lambs Terrace Fire Company</v>
          </cell>
          <cell r="I1291" t="str">
            <v>Sicklerville</v>
          </cell>
          <cell r="J1291" t="str">
            <v>Washington Twp</v>
          </cell>
          <cell r="K1291" t="str">
            <v>1781 Sicklerville Rd</v>
          </cell>
          <cell r="L1291" t="str">
            <v>NJ</v>
          </cell>
          <cell r="M1291">
            <v>8081</v>
          </cell>
          <cell r="N1291" t="str">
            <v>1781 Sicklerville Rd Sicklerville, NJ 08081</v>
          </cell>
        </row>
        <row r="1292">
          <cell r="G1292">
            <v>297630</v>
          </cell>
          <cell r="H1292" t="str">
            <v>KEPIRO COMPANY INC</v>
          </cell>
          <cell r="I1292" t="str">
            <v>Willow Street</v>
          </cell>
          <cell r="K1292" t="str">
            <v>2850 WILLOW STREET PIKE SUITE B</v>
          </cell>
          <cell r="L1292" t="str">
            <v>PA</v>
          </cell>
          <cell r="M1292">
            <v>17584</v>
          </cell>
          <cell r="N1292" t="str">
            <v>2850 WILLOW STREET PIKE SUITE B Willow Street, PA 17584</v>
          </cell>
        </row>
        <row r="1293">
          <cell r="G1293">
            <v>241273</v>
          </cell>
          <cell r="H1293" t="str">
            <v>NORTH STAR MAINTENANCE</v>
          </cell>
          <cell r="I1293" t="str">
            <v>Lancaster</v>
          </cell>
          <cell r="K1293" t="str">
            <v>449 Longmeadow Rd</v>
          </cell>
          <cell r="L1293" t="str">
            <v>PA</v>
          </cell>
          <cell r="M1293">
            <v>17601</v>
          </cell>
          <cell r="N1293" t="str">
            <v>449 Longmeadow Rd Lancaster, PA 17601</v>
          </cell>
        </row>
        <row r="1294">
          <cell r="G1294">
            <v>297734</v>
          </cell>
          <cell r="H1294" t="str">
            <v>CC - COCALICO CLEANING SERVICE</v>
          </cell>
          <cell r="I1294" t="str">
            <v>ELIZABETHTOWN</v>
          </cell>
          <cell r="K1294" t="str">
            <v>325 N POPLAR ST</v>
          </cell>
          <cell r="L1294" t="str">
            <v>PA</v>
          </cell>
          <cell r="M1294">
            <v>17022</v>
          </cell>
          <cell r="N1294" t="str">
            <v>325 N POPLAR ST ELIZABETHTOWN, PA 17022</v>
          </cell>
        </row>
        <row r="1295">
          <cell r="G1295">
            <v>468732</v>
          </cell>
          <cell r="H1295" t="str">
            <v>Holmdel High School</v>
          </cell>
          <cell r="I1295" t="str">
            <v>Holmdel</v>
          </cell>
          <cell r="K1295" t="str">
            <v>36 Crawfords Corner Rd</v>
          </cell>
          <cell r="L1295" t="str">
            <v>NJ</v>
          </cell>
          <cell r="M1295">
            <v>7733</v>
          </cell>
          <cell r="N1295" t="str">
            <v>36 Crawfords Corner Rd Holmdel, NJ 07733</v>
          </cell>
        </row>
        <row r="1296">
          <cell r="G1296">
            <v>468734</v>
          </cell>
          <cell r="H1296" t="str">
            <v>Indian Hill School</v>
          </cell>
          <cell r="I1296" t="str">
            <v>Holmdel</v>
          </cell>
          <cell r="K1296" t="str">
            <v>735 Holmdel Rd</v>
          </cell>
          <cell r="L1296" t="str">
            <v>NJ</v>
          </cell>
          <cell r="M1296">
            <v>7733</v>
          </cell>
          <cell r="N1296" t="str">
            <v>735 Holmdel Rd Holmdel, NJ 07733</v>
          </cell>
        </row>
        <row r="1297">
          <cell r="G1297">
            <v>468736</v>
          </cell>
          <cell r="H1297" t="str">
            <v>Village Elementary School</v>
          </cell>
          <cell r="I1297" t="str">
            <v>Holmdel</v>
          </cell>
          <cell r="K1297" t="str">
            <v>67 McCampbell Rd</v>
          </cell>
          <cell r="L1297" t="str">
            <v>NJ</v>
          </cell>
          <cell r="M1297">
            <v>7733</v>
          </cell>
          <cell r="N1297" t="str">
            <v>67 McCampbell Rd Holmdel, NJ 07733</v>
          </cell>
        </row>
        <row r="1298">
          <cell r="G1298">
            <v>240716</v>
          </cell>
          <cell r="H1298" t="str">
            <v>LANC BRETHREN IN CHRIST</v>
          </cell>
          <cell r="I1298" t="str">
            <v>Lancaster</v>
          </cell>
          <cell r="K1298" t="str">
            <v>1865 Fruitville Pike</v>
          </cell>
          <cell r="L1298" t="str">
            <v>PA</v>
          </cell>
          <cell r="M1298">
            <v>17601</v>
          </cell>
          <cell r="N1298" t="str">
            <v>1865 Fruitville Pike Lancaster, PA 17601</v>
          </cell>
        </row>
        <row r="1299">
          <cell r="G1299">
            <v>470516</v>
          </cell>
          <cell r="H1299" t="str">
            <v>TWIN VALLEY ROBESON ELEMENTARY</v>
          </cell>
          <cell r="I1299" t="str">
            <v>Birdsboro</v>
          </cell>
          <cell r="K1299" t="str">
            <v>801 White Bear Rd</v>
          </cell>
          <cell r="L1299" t="str">
            <v>PA</v>
          </cell>
          <cell r="M1299">
            <v>19508</v>
          </cell>
          <cell r="N1299" t="str">
            <v>801 White Bear Rd Birdsboro, PA 19508</v>
          </cell>
        </row>
        <row r="1300">
          <cell r="G1300">
            <v>425366</v>
          </cell>
          <cell r="H1300" t="str">
            <v>Chelsea Heights School</v>
          </cell>
          <cell r="I1300" t="str">
            <v>Atlantic City</v>
          </cell>
          <cell r="J1300" t="str">
            <v>Atlantic City</v>
          </cell>
          <cell r="K1300" t="str">
            <v>4101 Filbert Ave</v>
          </cell>
          <cell r="L1300" t="str">
            <v>NJ</v>
          </cell>
          <cell r="M1300">
            <v>8401</v>
          </cell>
          <cell r="N1300" t="str">
            <v>4101 Filbert Ave Atlantic City, NJ 08401</v>
          </cell>
        </row>
        <row r="1301">
          <cell r="G1301">
            <v>425224</v>
          </cell>
          <cell r="H1301" t="str">
            <v>LOGANVILLE SPRINGFIELD ELEMENT</v>
          </cell>
          <cell r="I1301" t="str">
            <v>York</v>
          </cell>
          <cell r="K1301" t="str">
            <v>169 N Main St</v>
          </cell>
          <cell r="L1301" t="str">
            <v>PA</v>
          </cell>
          <cell r="M1301">
            <v>17403</v>
          </cell>
          <cell r="N1301" t="str">
            <v>169 N Main St York, PA 17403</v>
          </cell>
        </row>
        <row r="1302">
          <cell r="G1302">
            <v>424710</v>
          </cell>
          <cell r="H1302" t="str">
            <v>Public Works Department</v>
          </cell>
          <cell r="I1302" t="str">
            <v>Jamison</v>
          </cell>
          <cell r="K1302" t="str">
            <v>2045 Guinea Ln</v>
          </cell>
          <cell r="L1302" t="str">
            <v>PA</v>
          </cell>
          <cell r="M1302">
            <v>18929</v>
          </cell>
          <cell r="N1302" t="str">
            <v>2045 Guinea Ln Jamison, PA 18929</v>
          </cell>
        </row>
        <row r="1303">
          <cell r="G1303">
            <v>241571</v>
          </cell>
          <cell r="H1303" t="str">
            <v>REGENCY EXECUTIVE OFF #1#</v>
          </cell>
          <cell r="I1303" t="str">
            <v>Lancaster</v>
          </cell>
          <cell r="K1303" t="str">
            <v>2173 Embassy Dr</v>
          </cell>
          <cell r="L1303" t="str">
            <v>PA</v>
          </cell>
          <cell r="M1303">
            <v>17603</v>
          </cell>
          <cell r="N1303" t="str">
            <v>2173 Embassy Dr Lancaster, PA 17603</v>
          </cell>
        </row>
        <row r="1304">
          <cell r="G1304">
            <v>328728</v>
          </cell>
          <cell r="H1304" t="str">
            <v>Budget Janitorial Service</v>
          </cell>
          <cell r="I1304" t="str">
            <v>Lebanon</v>
          </cell>
          <cell r="K1304" t="str">
            <v>2640 Cumberland St</v>
          </cell>
          <cell r="L1304" t="str">
            <v>PA</v>
          </cell>
          <cell r="M1304">
            <v>17042</v>
          </cell>
          <cell r="N1304" t="str">
            <v>2640 Cumberland St Lebanon, PA 17042</v>
          </cell>
        </row>
        <row r="1305">
          <cell r="G1305">
            <v>421568</v>
          </cell>
          <cell r="H1305" t="str">
            <v>INDIAN ROCK ELEMENTARY</v>
          </cell>
          <cell r="I1305" t="str">
            <v>York</v>
          </cell>
          <cell r="K1305" t="str">
            <v>1500 Indian Rock Dam Rd</v>
          </cell>
          <cell r="L1305" t="str">
            <v>PA</v>
          </cell>
          <cell r="M1305">
            <v>17403</v>
          </cell>
          <cell r="N1305" t="str">
            <v>1500 Indian Rock Dam Rd York, PA 17403</v>
          </cell>
        </row>
        <row r="1306">
          <cell r="G1306">
            <v>305680</v>
          </cell>
          <cell r="H1306" t="str">
            <v>ANGIES CUSTOM CLEANING V</v>
          </cell>
          <cell r="I1306" t="str">
            <v>Lancaster</v>
          </cell>
          <cell r="K1306" t="str">
            <v>340 Abbeyville Rd</v>
          </cell>
          <cell r="L1306" t="str">
            <v>PA</v>
          </cell>
          <cell r="M1306">
            <v>17603</v>
          </cell>
          <cell r="N1306" t="str">
            <v>340 Abbeyville Rd Lancaster, PA 17603</v>
          </cell>
        </row>
        <row r="1307">
          <cell r="G1307">
            <v>283207</v>
          </cell>
          <cell r="H1307" t="str">
            <v>OAK TREE DEVELOPMENT#</v>
          </cell>
          <cell r="I1307" t="str">
            <v>Lancaster</v>
          </cell>
          <cell r="K1307" t="str">
            <v>1650 Manhiem Pike, Suite 201</v>
          </cell>
          <cell r="L1307" t="str">
            <v>PA</v>
          </cell>
          <cell r="M1307">
            <v>17603</v>
          </cell>
          <cell r="N1307" t="str">
            <v>1650 Manhiem Pike, Suite 201 Lancaster, PA 17603</v>
          </cell>
        </row>
        <row r="1308">
          <cell r="G1308">
            <v>481490</v>
          </cell>
          <cell r="H1308" t="str">
            <v>Exeter Lorane Elementary</v>
          </cell>
          <cell r="I1308" t="str">
            <v>Reading</v>
          </cell>
          <cell r="K1308" t="str">
            <v>699 Rittenhouse Dr</v>
          </cell>
          <cell r="L1308" t="str">
            <v>PA</v>
          </cell>
          <cell r="M1308">
            <v>19606</v>
          </cell>
          <cell r="N1308" t="str">
            <v>699 Rittenhouse Dr Reading, PA 19606</v>
          </cell>
        </row>
        <row r="1309">
          <cell r="G1309">
            <v>415851</v>
          </cell>
          <cell r="H1309" t="str">
            <v>White Oak Church</v>
          </cell>
          <cell r="I1309" t="str">
            <v>Manheim</v>
          </cell>
          <cell r="K1309" t="str">
            <v>1211 N Penryn Rd</v>
          </cell>
          <cell r="L1309" t="str">
            <v>PA</v>
          </cell>
          <cell r="M1309">
            <v>17545</v>
          </cell>
          <cell r="N1309" t="str">
            <v>1211 N Penryn Rd Manheim, PA 17545</v>
          </cell>
        </row>
        <row r="1310">
          <cell r="G1310">
            <v>254248</v>
          </cell>
          <cell r="H1310" t="str">
            <v>Talk Institute and School</v>
          </cell>
          <cell r="I1310" t="str">
            <v>Newtown Square</v>
          </cell>
          <cell r="K1310" t="str">
            <v>6 Campus Blvd</v>
          </cell>
          <cell r="L1310" t="str">
            <v>PA</v>
          </cell>
          <cell r="M1310">
            <v>19073</v>
          </cell>
          <cell r="N1310" t="str">
            <v>6 Campus Blvd Newtown Square, PA 19073</v>
          </cell>
        </row>
        <row r="1311">
          <cell r="G1311">
            <v>307454</v>
          </cell>
          <cell r="H1311" t="str">
            <v>Pillar of Fire d/b/a</v>
          </cell>
          <cell r="I1311" t="str">
            <v>Zarephath</v>
          </cell>
          <cell r="K1311" t="str">
            <v>2 Ministry Center Dr</v>
          </cell>
          <cell r="L1311" t="str">
            <v>NJ</v>
          </cell>
          <cell r="M1311">
            <v>8890</v>
          </cell>
          <cell r="N1311" t="str">
            <v>2 Ministry Center Dr Zarephath, NJ 08890</v>
          </cell>
        </row>
        <row r="1312">
          <cell r="G1312">
            <v>304671</v>
          </cell>
          <cell r="H1312" t="str">
            <v>SAINT FRANCIS XAVIER CHURCH#</v>
          </cell>
          <cell r="I1312" t="str">
            <v>Gettysburg</v>
          </cell>
          <cell r="K1312" t="str">
            <v>465 Table Rock Rd</v>
          </cell>
          <cell r="L1312" t="str">
            <v>PA</v>
          </cell>
          <cell r="M1312">
            <v>17325</v>
          </cell>
          <cell r="N1312" t="str">
            <v>465 Table Rock Rd Gettysburg, PA 17325</v>
          </cell>
        </row>
        <row r="1313">
          <cell r="G1313">
            <v>300984</v>
          </cell>
          <cell r="H1313" t="str">
            <v>MELLINGER MENNONITE CHURCH#</v>
          </cell>
          <cell r="I1313" t="str">
            <v>Lancaster</v>
          </cell>
          <cell r="K1313" t="str">
            <v>1916 Lincoln Hwy E</v>
          </cell>
          <cell r="L1313" t="str">
            <v>PA</v>
          </cell>
          <cell r="M1313">
            <v>17602</v>
          </cell>
          <cell r="N1313" t="str">
            <v>1916 Lincoln Hwy E Lancaster, PA 17602</v>
          </cell>
        </row>
        <row r="1314">
          <cell r="G1314">
            <v>295619</v>
          </cell>
          <cell r="H1314" t="str">
            <v>NATIONAL NOVELTY BRUSH CO#</v>
          </cell>
          <cell r="I1314" t="str">
            <v>Lancaster</v>
          </cell>
          <cell r="K1314" t="str">
            <v>505 E Fulton St</v>
          </cell>
          <cell r="L1314" t="str">
            <v>PA</v>
          </cell>
          <cell r="M1314">
            <v>17602</v>
          </cell>
          <cell r="N1314" t="str">
            <v>505 E Fulton St Lancaster, PA 17602</v>
          </cell>
        </row>
        <row r="1315">
          <cell r="G1315">
            <v>281154</v>
          </cell>
          <cell r="H1315" t="str">
            <v>LANCASTER PHYSICAL THERAPY &amp; S</v>
          </cell>
          <cell r="I1315" t="str">
            <v>Lancaster</v>
          </cell>
          <cell r="K1315" t="str">
            <v>117 Millersville Rd</v>
          </cell>
          <cell r="L1315" t="str">
            <v>PA</v>
          </cell>
          <cell r="M1315">
            <v>17603</v>
          </cell>
          <cell r="N1315" t="str">
            <v>117 Millersville Rd Lancaster, PA 17603</v>
          </cell>
        </row>
        <row r="1316">
          <cell r="G1316">
            <v>418522</v>
          </cell>
          <cell r="H1316" t="str">
            <v>Rupert Elementary School</v>
          </cell>
          <cell r="I1316" t="str">
            <v>Pottstown</v>
          </cell>
          <cell r="K1316" t="str">
            <v>1230 South St</v>
          </cell>
          <cell r="L1316" t="str">
            <v>PA</v>
          </cell>
          <cell r="M1316">
            <v>19464</v>
          </cell>
          <cell r="N1316" t="str">
            <v>1230 South St Pottstown, PA 19464</v>
          </cell>
        </row>
        <row r="1317">
          <cell r="G1317">
            <v>239904</v>
          </cell>
          <cell r="H1317" t="str">
            <v>DUTCHWAY FARM MARKET#</v>
          </cell>
          <cell r="I1317" t="str">
            <v>Schaefferstown</v>
          </cell>
          <cell r="K1317" t="str">
            <v>2495 Stiegel Pike</v>
          </cell>
          <cell r="L1317" t="str">
            <v>PA</v>
          </cell>
          <cell r="M1317">
            <v>17088</v>
          </cell>
          <cell r="N1317" t="str">
            <v>2495 Stiegel Pike Schaefferstown, PA 17088</v>
          </cell>
        </row>
        <row r="1318">
          <cell r="G1318">
            <v>240914</v>
          </cell>
          <cell r="H1318" t="str">
            <v>LIVING HOPE COMMUNITY CHURCH</v>
          </cell>
          <cell r="I1318" t="str">
            <v>Lancaster</v>
          </cell>
          <cell r="K1318" t="str">
            <v>2823 Columbia Ave</v>
          </cell>
          <cell r="L1318" t="str">
            <v>PA</v>
          </cell>
          <cell r="M1318">
            <v>17603</v>
          </cell>
          <cell r="N1318" t="str">
            <v>2823 Columbia Ave Lancaster, PA 17603</v>
          </cell>
        </row>
        <row r="1319">
          <cell r="G1319">
            <v>340867</v>
          </cell>
          <cell r="H1319" t="str">
            <v>CC-Five Star Swim School</v>
          </cell>
          <cell r="I1319" t="str">
            <v>Galloway</v>
          </cell>
          <cell r="K1319" t="str">
            <v>323 S Pitney Rd</v>
          </cell>
          <cell r="L1319" t="str">
            <v>NJ</v>
          </cell>
          <cell r="M1319">
            <v>8205</v>
          </cell>
          <cell r="N1319" t="str">
            <v>323 S Pitney Rd Galloway, NJ 08205</v>
          </cell>
        </row>
        <row r="1320">
          <cell r="G1320">
            <v>283078</v>
          </cell>
          <cell r="H1320" t="str">
            <v>GARBER METROLOGY</v>
          </cell>
          <cell r="I1320" t="str">
            <v>Lititz</v>
          </cell>
          <cell r="K1320" t="str">
            <v>520 E Oregon Rd Ste 101</v>
          </cell>
          <cell r="L1320" t="str">
            <v>PA</v>
          </cell>
          <cell r="M1320">
            <v>17543</v>
          </cell>
          <cell r="N1320" t="str">
            <v>520 E Oregon Rd Ste 101 Lititz, PA 17543</v>
          </cell>
        </row>
        <row r="1321">
          <cell r="G1321">
            <v>432864</v>
          </cell>
          <cell r="H1321" t="str">
            <v>MIDD WEST - MIDDLEBURG MIDDLE</v>
          </cell>
          <cell r="I1321" t="str">
            <v>Middleburg</v>
          </cell>
          <cell r="K1321" t="str">
            <v>10 Dock Hill Rd</v>
          </cell>
          <cell r="L1321" t="str">
            <v>PA</v>
          </cell>
          <cell r="M1321">
            <v>17842</v>
          </cell>
          <cell r="N1321" t="str">
            <v>10 Dock Hill Rd Middleburg, PA 17842</v>
          </cell>
        </row>
        <row r="1322">
          <cell r="G1322">
            <v>239192</v>
          </cell>
          <cell r="H1322" t="str">
            <v>APEX ADVERTISING INC</v>
          </cell>
          <cell r="I1322" t="str">
            <v>Lancaster</v>
          </cell>
          <cell r="K1322" t="str">
            <v>2959 Old Tree Dr</v>
          </cell>
          <cell r="L1322" t="str">
            <v>PA</v>
          </cell>
          <cell r="M1322">
            <v>17603</v>
          </cell>
          <cell r="N1322" t="str">
            <v>2959 Old Tree Dr Lancaster, PA 17603</v>
          </cell>
        </row>
        <row r="1323">
          <cell r="G1323">
            <v>342036</v>
          </cell>
          <cell r="H1323" t="str">
            <v>SAINTS PETER AND PAUL CHURCH</v>
          </cell>
          <cell r="I1323" t="str">
            <v>West Chester</v>
          </cell>
          <cell r="K1323" t="str">
            <v>1325 E Boot Rd</v>
          </cell>
          <cell r="L1323" t="str">
            <v>PA</v>
          </cell>
          <cell r="M1323">
            <v>19380</v>
          </cell>
          <cell r="N1323" t="str">
            <v>1325 E Boot Rd West Chester, PA 19380</v>
          </cell>
        </row>
        <row r="1324">
          <cell r="G1324">
            <v>243862</v>
          </cell>
          <cell r="H1324" t="str">
            <v>Lutheran Community at Telford</v>
          </cell>
          <cell r="I1324" t="str">
            <v>Telford</v>
          </cell>
          <cell r="K1324" t="str">
            <v>235 N Washington St</v>
          </cell>
          <cell r="L1324" t="str">
            <v>PA</v>
          </cell>
          <cell r="M1324">
            <v>18969</v>
          </cell>
          <cell r="N1324" t="str">
            <v>235 N Washington St Telford, PA 18969</v>
          </cell>
        </row>
        <row r="1325">
          <cell r="G1325">
            <v>336669</v>
          </cell>
          <cell r="H1325" t="str">
            <v>Wright's Cleaning Services</v>
          </cell>
          <cell r="I1325" t="str">
            <v>Ephrata</v>
          </cell>
          <cell r="K1325" t="str">
            <v>245 Riverview Dr</v>
          </cell>
          <cell r="L1325" t="str">
            <v>PA</v>
          </cell>
          <cell r="M1325">
            <v>17522</v>
          </cell>
          <cell r="N1325" t="str">
            <v>245 Riverview Dr Ephrata, PA 17522</v>
          </cell>
        </row>
        <row r="1326">
          <cell r="G1326">
            <v>433295</v>
          </cell>
          <cell r="H1326" t="str">
            <v>MILLERSVILLE BIBLE CHURCH</v>
          </cell>
          <cell r="I1326" t="str">
            <v>Lancaster</v>
          </cell>
          <cell r="K1326" t="str">
            <v>1940 New Danville Pike</v>
          </cell>
          <cell r="L1326" t="str">
            <v>PA</v>
          </cell>
          <cell r="M1326">
            <v>17603</v>
          </cell>
          <cell r="N1326" t="str">
            <v>1940 New Danville Pike Lancaster, PA 17603</v>
          </cell>
        </row>
        <row r="1327">
          <cell r="G1327">
            <v>282591</v>
          </cell>
          <cell r="H1327" t="str">
            <v>Coatesville Moose Lodge</v>
          </cell>
          <cell r="I1327" t="str">
            <v>Coatesville</v>
          </cell>
          <cell r="K1327" t="str">
            <v>1200 Airport Rd</v>
          </cell>
          <cell r="L1327" t="str">
            <v>PA</v>
          </cell>
          <cell r="M1327">
            <v>19320</v>
          </cell>
          <cell r="N1327" t="str">
            <v>1200 Airport Rd Coatesville, PA 19320</v>
          </cell>
        </row>
        <row r="1328">
          <cell r="G1328">
            <v>269975</v>
          </cell>
          <cell r="H1328" t="str">
            <v>Ciocca Chevrolet</v>
          </cell>
          <cell r="I1328" t="str">
            <v>Quakertown</v>
          </cell>
          <cell r="K1328" t="str">
            <v>855 S West End Blvd Apt 309</v>
          </cell>
          <cell r="L1328" t="str">
            <v>PA</v>
          </cell>
          <cell r="M1328">
            <v>18951</v>
          </cell>
          <cell r="N1328" t="str">
            <v>855 S West End Blvd Apt 309 Quakertown, PA 18951</v>
          </cell>
        </row>
        <row r="1329">
          <cell r="G1329">
            <v>239133</v>
          </cell>
          <cell r="H1329" t="str">
            <v>AGGREGATES EQUIPMENT#</v>
          </cell>
          <cell r="I1329" t="str">
            <v>Leola</v>
          </cell>
          <cell r="K1329" t="str">
            <v>9 Horseshoe Rd</v>
          </cell>
          <cell r="L1329" t="str">
            <v>PA</v>
          </cell>
          <cell r="M1329">
            <v>17540</v>
          </cell>
          <cell r="N1329" t="str">
            <v>9 Horseshoe Rd Leola, PA 17540</v>
          </cell>
        </row>
        <row r="1330">
          <cell r="G1330">
            <v>345521</v>
          </cell>
          <cell r="H1330" t="str">
            <v>Ron Hopp</v>
          </cell>
          <cell r="I1330" t="str">
            <v>Hatboro</v>
          </cell>
          <cell r="J1330" t="str">
            <v>Philly Suburbs - North</v>
          </cell>
          <cell r="K1330" t="str">
            <v>501 Fitch Rd</v>
          </cell>
          <cell r="L1330" t="str">
            <v>PA</v>
          </cell>
          <cell r="M1330">
            <v>19040</v>
          </cell>
          <cell r="N1330" t="str">
            <v>501 Fitch Rd Hatboro, PA 19040</v>
          </cell>
        </row>
        <row r="1331">
          <cell r="G1331">
            <v>418382</v>
          </cell>
          <cell r="H1331" t="str">
            <v>Pleasant Valley Elementary Sch</v>
          </cell>
          <cell r="I1331" t="str">
            <v>Mullica Hill</v>
          </cell>
          <cell r="K1331" t="str">
            <v>401 Cedar Rd</v>
          </cell>
          <cell r="L1331" t="str">
            <v>NJ</v>
          </cell>
          <cell r="M1331">
            <v>8062</v>
          </cell>
          <cell r="N1331" t="str">
            <v>401 Cedar Rd Mullica Hill, NJ 08062</v>
          </cell>
        </row>
        <row r="1332">
          <cell r="G1332">
            <v>419016</v>
          </cell>
          <cell r="H1332" t="str">
            <v>Whitemarsh Elementary School</v>
          </cell>
          <cell r="I1332" t="str">
            <v>Lafayette Hill</v>
          </cell>
          <cell r="K1332" t="str">
            <v>4120 Joshua Rd</v>
          </cell>
          <cell r="L1332" t="str">
            <v>PA</v>
          </cell>
          <cell r="M1332">
            <v>19444</v>
          </cell>
          <cell r="N1332" t="str">
            <v>4120 Joshua Rd Lafayette Hill, PA 19444</v>
          </cell>
        </row>
        <row r="1333">
          <cell r="G1333">
            <v>334669</v>
          </cell>
          <cell r="H1333" t="str">
            <v>Church of the Good Shepherd</v>
          </cell>
          <cell r="I1333" t="str">
            <v>Lebanon</v>
          </cell>
          <cell r="K1333" t="str">
            <v>1500 Quentin Rd</v>
          </cell>
          <cell r="L1333" t="str">
            <v>PA</v>
          </cell>
          <cell r="M1333">
            <v>17042</v>
          </cell>
          <cell r="N1333" t="str">
            <v>1500 Quentin Rd Lebanon, PA 17042</v>
          </cell>
        </row>
        <row r="1334">
          <cell r="G1334">
            <v>242110</v>
          </cell>
          <cell r="H1334" t="str">
            <v>THE SALVATION ARMY#</v>
          </cell>
          <cell r="I1334" t="str">
            <v>Lancaster</v>
          </cell>
          <cell r="K1334" t="str">
            <v>131 S Queen St</v>
          </cell>
          <cell r="L1334" t="str">
            <v>PA</v>
          </cell>
          <cell r="M1334">
            <v>17603</v>
          </cell>
          <cell r="N1334" t="str">
            <v>131 S Queen St Lancaster, PA 17603</v>
          </cell>
        </row>
        <row r="1335">
          <cell r="G1335">
            <v>246370</v>
          </cell>
          <cell r="H1335" t="str">
            <v>Teamsters Union Local # 115</v>
          </cell>
          <cell r="I1335" t="str">
            <v>Philadelphia</v>
          </cell>
          <cell r="K1335" t="str">
            <v>10965 Decatur Rd</v>
          </cell>
          <cell r="L1335" t="str">
            <v>PA</v>
          </cell>
          <cell r="M1335">
            <v>19154</v>
          </cell>
          <cell r="N1335" t="str">
            <v>10965 Decatur Rd Philadelphia, PA 19154</v>
          </cell>
        </row>
        <row r="1336">
          <cell r="G1336">
            <v>416668</v>
          </cell>
          <cell r="H1336" t="str">
            <v>Clara B. Worth Elementary Scho</v>
          </cell>
          <cell r="I1336" t="str">
            <v>Bayville</v>
          </cell>
          <cell r="J1336" t="str">
            <v>Jersey Shore - North</v>
          </cell>
          <cell r="K1336" t="str">
            <v>57 Central Pkwy</v>
          </cell>
          <cell r="L1336" t="str">
            <v>NJ</v>
          </cell>
          <cell r="M1336">
            <v>8721</v>
          </cell>
          <cell r="N1336" t="str">
            <v>57 Central Pkwy Bayville, NJ 08721</v>
          </cell>
        </row>
        <row r="1337">
          <cell r="G1337">
            <v>417419</v>
          </cell>
          <cell r="H1337" t="str">
            <v>H &amp; M Potter Elementary School</v>
          </cell>
          <cell r="I1337" t="str">
            <v>Bayville</v>
          </cell>
          <cell r="J1337" t="str">
            <v>Jersey Shore - North</v>
          </cell>
          <cell r="K1337" t="str">
            <v>60 Veeder Ln</v>
          </cell>
          <cell r="L1337" t="str">
            <v>NJ</v>
          </cell>
          <cell r="M1337">
            <v>8721</v>
          </cell>
          <cell r="N1337" t="str">
            <v>60 Veeder Ln Bayville, NJ 08721</v>
          </cell>
        </row>
        <row r="1338">
          <cell r="G1338">
            <v>418511</v>
          </cell>
          <cell r="H1338" t="str">
            <v>Bayville Elementary School</v>
          </cell>
          <cell r="I1338" t="str">
            <v>Bayville</v>
          </cell>
          <cell r="J1338" t="str">
            <v>Jersey Shore - North</v>
          </cell>
          <cell r="K1338" t="str">
            <v>356 Atlantic City Blvd</v>
          </cell>
          <cell r="L1338" t="str">
            <v>NJ</v>
          </cell>
          <cell r="M1338">
            <v>8721</v>
          </cell>
          <cell r="N1338" t="str">
            <v>356 Atlantic City Blvd Bayville, NJ 08721</v>
          </cell>
        </row>
        <row r="1339">
          <cell r="G1339">
            <v>241643</v>
          </cell>
          <cell r="H1339" t="str">
            <v>LSC COM-Use Acct# 345514</v>
          </cell>
          <cell r="I1339" t="str">
            <v>Lancaster</v>
          </cell>
          <cell r="K1339" t="str">
            <v>1375 Harrisburg Pike</v>
          </cell>
          <cell r="L1339" t="str">
            <v>PA</v>
          </cell>
          <cell r="M1339">
            <v>17601</v>
          </cell>
          <cell r="N1339" t="str">
            <v>1375 Harrisburg Pike Lancaster, PA 17601</v>
          </cell>
        </row>
        <row r="1340">
          <cell r="G1340">
            <v>483193</v>
          </cell>
          <cell r="H1340" t="str">
            <v>Willow Lane Elementary</v>
          </cell>
          <cell r="I1340" t="str">
            <v>Macungie</v>
          </cell>
          <cell r="K1340" t="str">
            <v>6135 Sauerkraut Ln</v>
          </cell>
          <cell r="L1340" t="str">
            <v>PA</v>
          </cell>
          <cell r="M1340">
            <v>18062</v>
          </cell>
          <cell r="N1340" t="str">
            <v>6135 Sauerkraut Ln Macungie, PA 18062</v>
          </cell>
        </row>
        <row r="1341">
          <cell r="G1341">
            <v>483136</v>
          </cell>
          <cell r="H1341" t="str">
            <v>KRAYBILL MENNONITE SCHOOL</v>
          </cell>
          <cell r="I1341" t="str">
            <v>Mount Joy</v>
          </cell>
          <cell r="K1341" t="str">
            <v>598 Kraybill Church Rd</v>
          </cell>
          <cell r="L1341" t="str">
            <v>PA</v>
          </cell>
          <cell r="M1341">
            <v>17552</v>
          </cell>
          <cell r="N1341" t="str">
            <v>598 Kraybill Church Rd Mount Joy, PA 17552</v>
          </cell>
        </row>
        <row r="1342">
          <cell r="G1342">
            <v>247051</v>
          </cell>
          <cell r="H1342" t="str">
            <v>CALVARY MONUMENT BIBLE CHURCH#</v>
          </cell>
          <cell r="I1342" t="str">
            <v>Paradise</v>
          </cell>
          <cell r="K1342" t="str">
            <v>1660 Mine Rd</v>
          </cell>
          <cell r="L1342" t="str">
            <v>PA</v>
          </cell>
          <cell r="M1342">
            <v>17562</v>
          </cell>
          <cell r="N1342" t="str">
            <v>1660 Mine Rd Paradise, PA 17562</v>
          </cell>
        </row>
        <row r="1343">
          <cell r="G1343">
            <v>481583</v>
          </cell>
          <cell r="H1343" t="str">
            <v>TWP of Buckingham Public Works</v>
          </cell>
          <cell r="I1343" t="str">
            <v>Buckingham</v>
          </cell>
          <cell r="K1343" t="str">
            <v>4991 Upper Mountain Rd</v>
          </cell>
          <cell r="L1343" t="str">
            <v>PA</v>
          </cell>
          <cell r="M1343">
            <v>18912</v>
          </cell>
          <cell r="N1343" t="str">
            <v>4991 Upper Mountain Rd Buckingham, PA 18912</v>
          </cell>
        </row>
        <row r="1344">
          <cell r="G1344">
            <v>415384</v>
          </cell>
          <cell r="H1344" t="str">
            <v>BRICKERVILLE MENNONITE SCHOOL</v>
          </cell>
          <cell r="I1344" t="str">
            <v>Lititz</v>
          </cell>
          <cell r="K1344" t="str">
            <v>145 Sleepy Hollow Rd</v>
          </cell>
          <cell r="L1344" t="str">
            <v>PA</v>
          </cell>
          <cell r="M1344">
            <v>17543</v>
          </cell>
          <cell r="N1344" t="str">
            <v>145 Sleepy Hollow Rd Lititz, PA 17543</v>
          </cell>
        </row>
        <row r="1345">
          <cell r="G1345">
            <v>239767</v>
          </cell>
          <cell r="H1345" t="str">
            <v>DAN C WOOLLEY#</v>
          </cell>
          <cell r="I1345" t="str">
            <v>Lititz</v>
          </cell>
          <cell r="K1345" t="str">
            <v>309 Regent Dr</v>
          </cell>
          <cell r="L1345" t="str">
            <v>PA</v>
          </cell>
          <cell r="M1345">
            <v>17543</v>
          </cell>
          <cell r="N1345" t="str">
            <v>309 Regent Dr Lititz, PA 17543</v>
          </cell>
        </row>
        <row r="1346">
          <cell r="G1346">
            <v>471706</v>
          </cell>
          <cell r="H1346" t="str">
            <v>Arthur Rann Elementary</v>
          </cell>
          <cell r="I1346" t="str">
            <v>Galloway</v>
          </cell>
          <cell r="K1346" t="str">
            <v>515 8th Ave</v>
          </cell>
          <cell r="L1346" t="str">
            <v>NJ</v>
          </cell>
          <cell r="M1346">
            <v>8205</v>
          </cell>
          <cell r="N1346" t="str">
            <v>515 8th Ave Galloway, NJ 08205</v>
          </cell>
        </row>
        <row r="1347">
          <cell r="G1347">
            <v>483291</v>
          </cell>
          <cell r="H1347" t="str">
            <v>BYRON ENTERPRISES</v>
          </cell>
          <cell r="I1347" t="str">
            <v>Pottsville</v>
          </cell>
          <cell r="K1347" t="str">
            <v>2125 W Norwegian St</v>
          </cell>
          <cell r="L1347" t="str">
            <v>PA</v>
          </cell>
          <cell r="M1347">
            <v>17901</v>
          </cell>
          <cell r="N1347" t="str">
            <v>2125 W Norwegian St Pottsville, PA 17901</v>
          </cell>
        </row>
        <row r="1348">
          <cell r="G1348">
            <v>464209</v>
          </cell>
          <cell r="H1348" t="str">
            <v>MOUNTAIN VIEW ELEMENTARY SCHOO</v>
          </cell>
          <cell r="I1348" t="str">
            <v>Harrisburg</v>
          </cell>
          <cell r="K1348" t="str">
            <v>400 Gibbel Rd</v>
          </cell>
          <cell r="L1348" t="str">
            <v>PA</v>
          </cell>
          <cell r="M1348">
            <v>17112</v>
          </cell>
          <cell r="N1348" t="str">
            <v>400 Gibbel Rd Harrisburg, PA 17112</v>
          </cell>
        </row>
        <row r="1349">
          <cell r="G1349">
            <v>266748</v>
          </cell>
          <cell r="H1349" t="str">
            <v>Elite Air Systems</v>
          </cell>
          <cell r="I1349" t="str">
            <v>Warminster</v>
          </cell>
          <cell r="J1349" t="str">
            <v>Philly Suburbs - North</v>
          </cell>
          <cell r="K1349" t="str">
            <v>57 Ash Cir</v>
          </cell>
          <cell r="L1349" t="str">
            <v>PA</v>
          </cell>
          <cell r="M1349">
            <v>18974</v>
          </cell>
          <cell r="N1349" t="str">
            <v>57 Ash Cir Warminster, PA 18974</v>
          </cell>
        </row>
        <row r="1350">
          <cell r="G1350">
            <v>243366</v>
          </cell>
          <cell r="H1350" t="str">
            <v>East Greenville Fire Company</v>
          </cell>
          <cell r="I1350" t="str">
            <v>EAST GREENVILLE</v>
          </cell>
          <cell r="K1350" t="str">
            <v>401 WASHINGTON ST</v>
          </cell>
          <cell r="L1350" t="str">
            <v>PA</v>
          </cell>
          <cell r="M1350">
            <v>18041</v>
          </cell>
          <cell r="N1350" t="str">
            <v>401 WASHINGTON ST EAST GREENVILLE, PA 18041</v>
          </cell>
        </row>
        <row r="1351">
          <cell r="G1351">
            <v>243866</v>
          </cell>
          <cell r="H1351" t="str">
            <v>Tri County Collision Center</v>
          </cell>
          <cell r="I1351" t="str">
            <v>Southampton</v>
          </cell>
          <cell r="J1351" t="str">
            <v>Philly Suburbs - North</v>
          </cell>
          <cell r="K1351" t="str">
            <v>995 Jaymor Rd</v>
          </cell>
          <cell r="L1351" t="str">
            <v>PA</v>
          </cell>
          <cell r="M1351">
            <v>18966</v>
          </cell>
          <cell r="N1351" t="str">
            <v>995 Jaymor Rd Southampton, PA 18966</v>
          </cell>
        </row>
        <row r="1352">
          <cell r="G1352">
            <v>469979</v>
          </cell>
          <cell r="H1352" t="str">
            <v>Urbane Management</v>
          </cell>
          <cell r="I1352" t="str">
            <v>CONSHOHOCKEN</v>
          </cell>
          <cell r="K1352" t="str">
            <v>401 E Elm St</v>
          </cell>
          <cell r="L1352" t="str">
            <v>PA</v>
          </cell>
          <cell r="M1352">
            <v>19428</v>
          </cell>
          <cell r="N1352" t="str">
            <v>401 E Elm St CONSHOHOCKEN, PA 19428</v>
          </cell>
        </row>
        <row r="1353">
          <cell r="G1353">
            <v>418085</v>
          </cell>
          <cell r="H1353" t="str">
            <v>Middle Township Elementary # 1</v>
          </cell>
          <cell r="I1353" t="str">
            <v>Cape May Court House</v>
          </cell>
          <cell r="K1353" t="str">
            <v>215 Eldredge Rd</v>
          </cell>
          <cell r="L1353" t="str">
            <v>NJ</v>
          </cell>
          <cell r="M1353">
            <v>8210</v>
          </cell>
          <cell r="N1353" t="str">
            <v>215 Eldredge Rd Cape May Court House, NJ 08210</v>
          </cell>
        </row>
        <row r="1354">
          <cell r="G1354">
            <v>466041</v>
          </cell>
          <cell r="H1354" t="str">
            <v>CULBERTSON MENNONITE SCHOOL</v>
          </cell>
          <cell r="I1354" t="str">
            <v>Chambersburg</v>
          </cell>
          <cell r="K1354" t="str">
            <v>5992 Rowe Run Rd</v>
          </cell>
          <cell r="L1354" t="str">
            <v>PA</v>
          </cell>
          <cell r="M1354">
            <v>17202</v>
          </cell>
          <cell r="N1354" t="str">
            <v>5992 Rowe Run Rd Chambersburg, PA 17202</v>
          </cell>
        </row>
        <row r="1355">
          <cell r="G1355">
            <v>298530</v>
          </cell>
          <cell r="H1355" t="str">
            <v>ATOMIC DESIGN INC#</v>
          </cell>
          <cell r="I1355" t="str">
            <v>Lititz</v>
          </cell>
          <cell r="K1355" t="str">
            <v>10 Wynfield Dr</v>
          </cell>
          <cell r="L1355" t="str">
            <v>PA</v>
          </cell>
          <cell r="M1355">
            <v>17543</v>
          </cell>
          <cell r="N1355" t="str">
            <v>10 Wynfield Dr Lititz, PA 17543</v>
          </cell>
        </row>
        <row r="1356">
          <cell r="G1356">
            <v>440578</v>
          </cell>
          <cell r="H1356" t="str">
            <v>Gateway Kia of North Brunswick</v>
          </cell>
          <cell r="I1356" t="str">
            <v>North Brunswick</v>
          </cell>
          <cell r="K1356" t="str">
            <v>720 Carolier Ln</v>
          </cell>
          <cell r="L1356" t="str">
            <v>NJ</v>
          </cell>
          <cell r="M1356">
            <v>8902</v>
          </cell>
          <cell r="N1356" t="str">
            <v>720 Carolier Ln North Brunswick, NJ 08902</v>
          </cell>
        </row>
        <row r="1357">
          <cell r="G1357">
            <v>243627</v>
          </cell>
          <cell r="H1357" t="str">
            <v>HOLY FAMILY CHURCH</v>
          </cell>
          <cell r="I1357" t="str">
            <v>Newark</v>
          </cell>
          <cell r="K1357" t="str">
            <v>15 Gender Rd</v>
          </cell>
          <cell r="L1357" t="str">
            <v>DE</v>
          </cell>
          <cell r="M1357">
            <v>19713</v>
          </cell>
          <cell r="N1357" t="str">
            <v>15 Gender Rd Newark, DE 19713</v>
          </cell>
        </row>
        <row r="1358">
          <cell r="G1358">
            <v>297010</v>
          </cell>
          <cell r="H1358" t="str">
            <v>PARADISE CONCRETE SOLUTIONS#</v>
          </cell>
          <cell r="I1358" t="str">
            <v>Ronks</v>
          </cell>
          <cell r="K1358" t="str">
            <v>2771 Lincoln Hwy E</v>
          </cell>
          <cell r="L1358" t="str">
            <v>PA</v>
          </cell>
          <cell r="M1358">
            <v>17572</v>
          </cell>
          <cell r="N1358" t="str">
            <v>2771 Lincoln Hwy E Ronks, PA 17572</v>
          </cell>
        </row>
        <row r="1359">
          <cell r="G1359">
            <v>300465</v>
          </cell>
          <cell r="H1359" t="str">
            <v>Faulkner Ciocca Chevrolet Coll</v>
          </cell>
          <cell r="I1359" t="str">
            <v>Quakertown</v>
          </cell>
          <cell r="K1359" t="str">
            <v>780 S West End Blvd</v>
          </cell>
          <cell r="L1359" t="str">
            <v>PA</v>
          </cell>
          <cell r="M1359">
            <v>18951</v>
          </cell>
          <cell r="N1359" t="str">
            <v>780 S West End Blvd Quakertown, PA 18951</v>
          </cell>
        </row>
        <row r="1360">
          <cell r="G1360">
            <v>238984</v>
          </cell>
          <cell r="H1360" t="str">
            <v>LANC ORTHODONIST ASSOC</v>
          </cell>
          <cell r="I1360" t="str">
            <v>Lancaster</v>
          </cell>
          <cell r="K1360" t="str">
            <v>1801 Fruitville Pike Ste 100</v>
          </cell>
          <cell r="L1360" t="str">
            <v>PA</v>
          </cell>
          <cell r="M1360">
            <v>17601</v>
          </cell>
          <cell r="N1360" t="str">
            <v>1801 Fruitville Pike Ste 100 Lancaster, PA 17601</v>
          </cell>
        </row>
        <row r="1361">
          <cell r="G1361">
            <v>240722</v>
          </cell>
          <cell r="H1361" t="str">
            <v>LANC COUNTY ASSOC OF REALTORS#</v>
          </cell>
          <cell r="I1361" t="str">
            <v>Lancaster</v>
          </cell>
          <cell r="K1361" t="str">
            <v>1930 Harrington Dr</v>
          </cell>
          <cell r="L1361" t="str">
            <v>PA</v>
          </cell>
          <cell r="M1361">
            <v>17601</v>
          </cell>
          <cell r="N1361" t="str">
            <v>1930 Harrington Dr Lancaster, PA 17601</v>
          </cell>
        </row>
        <row r="1362">
          <cell r="G1362">
            <v>240999</v>
          </cell>
          <cell r="H1362" t="str">
            <v>MAJIK RENT TO OWN#</v>
          </cell>
          <cell r="I1362" t="str">
            <v>Mountville</v>
          </cell>
          <cell r="K1362" t="str">
            <v>150 N Donnerville Rd</v>
          </cell>
          <cell r="L1362" t="str">
            <v>PA</v>
          </cell>
          <cell r="M1362">
            <v>17554</v>
          </cell>
          <cell r="N1362" t="str">
            <v>150 N Donnerville Rd Mountville, PA 17554</v>
          </cell>
        </row>
        <row r="1363">
          <cell r="G1363">
            <v>417225</v>
          </cell>
          <cell r="H1363" t="str">
            <v>Fisher Middle School</v>
          </cell>
          <cell r="I1363" t="str">
            <v>Trenton</v>
          </cell>
          <cell r="K1363" t="str">
            <v>1325 Lower Ferry Rd</v>
          </cell>
          <cell r="L1363" t="str">
            <v>NJ</v>
          </cell>
          <cell r="M1363">
            <v>8618</v>
          </cell>
          <cell r="N1363" t="str">
            <v>1325 Lower Ferry Rd Trenton, NJ 08618</v>
          </cell>
        </row>
        <row r="1364">
          <cell r="G1364">
            <v>425319</v>
          </cell>
          <cell r="H1364" t="str">
            <v>Mom's Cleaning Service</v>
          </cell>
          <cell r="I1364" t="str">
            <v>Wilmington</v>
          </cell>
          <cell r="K1364" t="str">
            <v>5517 E Timberview Ct</v>
          </cell>
          <cell r="L1364" t="str">
            <v>DE</v>
          </cell>
          <cell r="M1364">
            <v>19808</v>
          </cell>
          <cell r="N1364" t="str">
            <v>5517 E Timberview Ct Wilmington, DE 19808</v>
          </cell>
        </row>
        <row r="1365">
          <cell r="G1365">
            <v>481459</v>
          </cell>
          <cell r="H1365" t="str">
            <v>Fleetwood Area Middle School</v>
          </cell>
          <cell r="I1365" t="str">
            <v>Fleetwood</v>
          </cell>
          <cell r="K1365" t="str">
            <v>407 North Richmond</v>
          </cell>
          <cell r="L1365" t="str">
            <v>PA</v>
          </cell>
          <cell r="M1365">
            <v>19522</v>
          </cell>
          <cell r="N1365" t="str">
            <v>407 North Richmond Fleetwood, PA 19522</v>
          </cell>
        </row>
        <row r="1366">
          <cell r="G1366">
            <v>325982</v>
          </cell>
          <cell r="H1366" t="str">
            <v>MASONIC VILLAGE MED LANDSCAPE#</v>
          </cell>
          <cell r="I1366" t="str">
            <v>ELIZABETHTOWN</v>
          </cell>
          <cell r="K1366" t="str">
            <v>137 Pump House Ln</v>
          </cell>
          <cell r="L1366" t="str">
            <v>PA</v>
          </cell>
          <cell r="M1366">
            <v>17022</v>
          </cell>
          <cell r="N1366" t="str">
            <v>137 Pump House Ln ELIZABETHTOWN, PA 17022</v>
          </cell>
        </row>
        <row r="1367">
          <cell r="G1367">
            <v>242876</v>
          </cell>
          <cell r="H1367" t="str">
            <v>Air Products - Semi Conductor</v>
          </cell>
          <cell r="I1367" t="str">
            <v>Allentown</v>
          </cell>
          <cell r="J1367" t="str">
            <v>Allentown</v>
          </cell>
          <cell r="K1367" t="str">
            <v>1919 Vultee St</v>
          </cell>
          <cell r="L1367" t="str">
            <v>PA</v>
          </cell>
          <cell r="M1367">
            <v>18103</v>
          </cell>
          <cell r="N1367" t="str">
            <v>1919 Vultee St Allentown, PA 18103</v>
          </cell>
        </row>
        <row r="1368">
          <cell r="G1368">
            <v>473595</v>
          </cell>
          <cell r="H1368" t="str">
            <v>Pitman Middle School</v>
          </cell>
          <cell r="I1368" t="str">
            <v>Pitman</v>
          </cell>
          <cell r="K1368" t="str">
            <v>138 E Holly Ave</v>
          </cell>
          <cell r="L1368" t="str">
            <v>NJ</v>
          </cell>
          <cell r="M1368">
            <v>8071</v>
          </cell>
          <cell r="N1368" t="str">
            <v>138 E Holly Ave Pitman, NJ 08071</v>
          </cell>
        </row>
        <row r="1369">
          <cell r="G1369">
            <v>241584</v>
          </cell>
          <cell r="H1369" t="str">
            <v>RESURRECTION CATHOLIC SHOOL</v>
          </cell>
          <cell r="I1369" t="str">
            <v>Lancaster</v>
          </cell>
          <cell r="K1369" t="str">
            <v>521 E Orange St</v>
          </cell>
          <cell r="L1369" t="str">
            <v>PA</v>
          </cell>
          <cell r="M1369">
            <v>17602</v>
          </cell>
          <cell r="N1369" t="str">
            <v>521 E Orange St Lancaster, PA 17602</v>
          </cell>
        </row>
        <row r="1370">
          <cell r="G1370">
            <v>483849</v>
          </cell>
          <cell r="H1370" t="str">
            <v>LONGENECKERS HATCHERY INC</v>
          </cell>
          <cell r="I1370" t="str">
            <v>Duncannon</v>
          </cell>
          <cell r="J1370" t="str">
            <v>Harrisburg - N</v>
          </cell>
          <cell r="K1370" t="str">
            <v>10 Duncannon Drive</v>
          </cell>
          <cell r="L1370" t="str">
            <v>PA</v>
          </cell>
          <cell r="M1370">
            <v>17020</v>
          </cell>
          <cell r="N1370" t="str">
            <v>10 Duncannon Drive Duncannon, PA 17020</v>
          </cell>
        </row>
        <row r="1371">
          <cell r="G1371">
            <v>415601</v>
          </cell>
          <cell r="H1371" t="str">
            <v>MARTIN MEYLIN MIDDLE SCHOOL</v>
          </cell>
          <cell r="I1371" t="str">
            <v>Lancaster</v>
          </cell>
          <cell r="K1371" t="str">
            <v>1600 Book Rd</v>
          </cell>
          <cell r="L1371" t="str">
            <v>PA</v>
          </cell>
          <cell r="M1371">
            <v>17602</v>
          </cell>
          <cell r="N1371" t="str">
            <v>1600 Book Rd Lancaster, PA 17602</v>
          </cell>
        </row>
        <row r="1372">
          <cell r="G1372">
            <v>241629</v>
          </cell>
          <cell r="H1372" t="str">
            <v>ROMAN MOSAIC &amp; TILE CO</v>
          </cell>
          <cell r="I1372" t="str">
            <v>Manheim</v>
          </cell>
          <cell r="K1372" t="str">
            <v>2039 Mountain Rd</v>
          </cell>
          <cell r="L1372" t="str">
            <v>PA</v>
          </cell>
          <cell r="M1372">
            <v>17545</v>
          </cell>
          <cell r="N1372" t="str">
            <v>2039 Mountain Rd Manheim, PA 17545</v>
          </cell>
        </row>
        <row r="1373">
          <cell r="G1373">
            <v>416731</v>
          </cell>
          <cell r="H1373" t="str">
            <v>CONCORD HIGH SCHOOL</v>
          </cell>
          <cell r="I1373" t="str">
            <v>Wilmington</v>
          </cell>
          <cell r="K1373" t="str">
            <v>2501 Ebright Rd</v>
          </cell>
          <cell r="L1373" t="str">
            <v>DE</v>
          </cell>
          <cell r="M1373">
            <v>19810</v>
          </cell>
          <cell r="N1373" t="str">
            <v>2501 Ebright Rd Wilmington, DE 19810</v>
          </cell>
        </row>
        <row r="1374">
          <cell r="G1374">
            <v>459943</v>
          </cell>
          <cell r="H1374" t="str">
            <v>Work Space Property Trust L.P</v>
          </cell>
          <cell r="I1374" t="str">
            <v>Horsham</v>
          </cell>
          <cell r="K1374" t="str">
            <v>455 Business Center Dr 2ND FLOOR</v>
          </cell>
          <cell r="L1374" t="str">
            <v>PA</v>
          </cell>
          <cell r="M1374">
            <v>19044</v>
          </cell>
          <cell r="N1374" t="str">
            <v>455 Business Center Dr 2ND FLOOR Horsham, PA 19044</v>
          </cell>
        </row>
        <row r="1375">
          <cell r="G1375">
            <v>243341</v>
          </cell>
          <cell r="H1375" t="str">
            <v>Downingtown Area School Dist</v>
          </cell>
          <cell r="I1375" t="str">
            <v>Downingtown</v>
          </cell>
          <cell r="K1375" t="str">
            <v>540 Trestle Pl</v>
          </cell>
          <cell r="L1375" t="str">
            <v>PA</v>
          </cell>
          <cell r="M1375">
            <v>19335</v>
          </cell>
          <cell r="N1375" t="str">
            <v>540 Trestle Pl Downingtown, PA 19335</v>
          </cell>
        </row>
        <row r="1376">
          <cell r="G1376">
            <v>240267</v>
          </cell>
          <cell r="H1376" t="str">
            <v>GRAYBILL TOOL &amp; DIE</v>
          </cell>
          <cell r="I1376" t="str">
            <v>Manheim</v>
          </cell>
          <cell r="K1376" t="str">
            <v>147 W High St</v>
          </cell>
          <cell r="L1376" t="str">
            <v>PA</v>
          </cell>
          <cell r="M1376">
            <v>17545</v>
          </cell>
          <cell r="N1376" t="str">
            <v>147 W High St Manheim, PA 17545</v>
          </cell>
        </row>
        <row r="1377">
          <cell r="G1377">
            <v>481484</v>
          </cell>
          <cell r="H1377" t="str">
            <v>Exeter Jacksonwald Elementary</v>
          </cell>
          <cell r="I1377" t="str">
            <v>Reading</v>
          </cell>
          <cell r="K1377" t="str">
            <v>100 CHURCH RD</v>
          </cell>
          <cell r="L1377" t="str">
            <v>PA</v>
          </cell>
          <cell r="M1377">
            <v>19606</v>
          </cell>
          <cell r="N1377" t="str">
            <v>100 CHURCH RD Reading, PA 19606</v>
          </cell>
        </row>
        <row r="1378">
          <cell r="G1378">
            <v>242957</v>
          </cell>
          <cell r="H1378" t="str">
            <v>Harold Beck &amp; Sons Inc.</v>
          </cell>
          <cell r="I1378" t="str">
            <v>Newtown</v>
          </cell>
          <cell r="K1378" t="str">
            <v>11 Terry Dr</v>
          </cell>
          <cell r="L1378" t="str">
            <v>PA</v>
          </cell>
          <cell r="M1378">
            <v>18940</v>
          </cell>
          <cell r="N1378" t="str">
            <v>11 Terry Dr Newtown, PA 18940</v>
          </cell>
        </row>
        <row r="1379">
          <cell r="G1379">
            <v>418098</v>
          </cell>
          <cell r="H1379" t="str">
            <v>Millville Support Services</v>
          </cell>
          <cell r="I1379" t="str">
            <v>Millville</v>
          </cell>
          <cell r="K1379" t="str">
            <v>701 Orange St</v>
          </cell>
          <cell r="L1379" t="str">
            <v>NJ</v>
          </cell>
          <cell r="M1379">
            <v>8332</v>
          </cell>
          <cell r="N1379" t="str">
            <v>701 Orange St Millville, NJ 08332</v>
          </cell>
        </row>
        <row r="1380">
          <cell r="G1380">
            <v>240868</v>
          </cell>
          <cell r="H1380" t="str">
            <v>LEOLA PRODUCE AUCTION INC</v>
          </cell>
          <cell r="I1380" t="str">
            <v>Leola</v>
          </cell>
          <cell r="K1380" t="str">
            <v>135 Brethren Church Rd</v>
          </cell>
          <cell r="L1380" t="str">
            <v>PA</v>
          </cell>
          <cell r="M1380">
            <v>17540</v>
          </cell>
          <cell r="N1380" t="str">
            <v>135 Brethren Church Rd Leola, PA 17540</v>
          </cell>
        </row>
        <row r="1381">
          <cell r="G1381">
            <v>415620</v>
          </cell>
          <cell r="H1381" t="str">
            <v>MILTON HERSHEY SCHOOL</v>
          </cell>
          <cell r="I1381" t="str">
            <v>Hershey</v>
          </cell>
          <cell r="K1381" t="str">
            <v>1201 Homestead Ln</v>
          </cell>
          <cell r="L1381" t="str">
            <v>PA</v>
          </cell>
          <cell r="M1381">
            <v>17033</v>
          </cell>
          <cell r="N1381" t="str">
            <v>1201 Homestead Ln Hershey, PA 17033</v>
          </cell>
        </row>
        <row r="1382">
          <cell r="G1382">
            <v>480324</v>
          </cell>
          <cell r="H1382" t="str">
            <v>OUR MOTHER PERPETUAL SCHOOL- I</v>
          </cell>
          <cell r="I1382" t="str">
            <v>Ephrata</v>
          </cell>
          <cell r="K1382" t="str">
            <v>330 Church Ave</v>
          </cell>
          <cell r="L1382" t="str">
            <v>PA</v>
          </cell>
          <cell r="M1382">
            <v>17522</v>
          </cell>
          <cell r="N1382" t="str">
            <v>330 Church Ave Ephrata, PA 17522</v>
          </cell>
        </row>
        <row r="1383">
          <cell r="G1383">
            <v>472993</v>
          </cell>
          <cell r="H1383" t="str">
            <v>Metropolitan Communications</v>
          </cell>
          <cell r="I1383" t="str">
            <v>EXTON</v>
          </cell>
          <cell r="K1383" t="str">
            <v>309 Commerce Dr Ste 100</v>
          </cell>
          <cell r="L1383" t="str">
            <v>PA</v>
          </cell>
          <cell r="M1383">
            <v>19341</v>
          </cell>
          <cell r="N1383" t="str">
            <v>309 Commerce Dr Ste 100 EXTON, PA 19341</v>
          </cell>
        </row>
        <row r="1384">
          <cell r="G1384">
            <v>246082</v>
          </cell>
          <cell r="H1384" t="str">
            <v>Quaker Woods Campground</v>
          </cell>
          <cell r="I1384" t="str">
            <v>Quakertown</v>
          </cell>
          <cell r="K1384" t="str">
            <v>2225 Rosedale Rd</v>
          </cell>
          <cell r="L1384" t="str">
            <v>PA</v>
          </cell>
          <cell r="M1384">
            <v>18951</v>
          </cell>
          <cell r="N1384" t="str">
            <v>2225 Rosedale Rd Quakertown, PA 18951</v>
          </cell>
        </row>
        <row r="1385">
          <cell r="G1385">
            <v>453536</v>
          </cell>
          <cell r="H1385" t="str">
            <v>LANC COUNTY BIBLE BRANCH CREEK</v>
          </cell>
          <cell r="I1385" t="str">
            <v>Harleysville</v>
          </cell>
          <cell r="K1385" t="str">
            <v>100 Main St</v>
          </cell>
          <cell r="L1385" t="str">
            <v>PA</v>
          </cell>
          <cell r="M1385">
            <v>19438</v>
          </cell>
          <cell r="N1385" t="str">
            <v>100 Main St Harleysville, PA 19438</v>
          </cell>
        </row>
        <row r="1386">
          <cell r="G1386">
            <v>241286</v>
          </cell>
          <cell r="H1386" t="str">
            <v>NOTTINGHAM MISSIONARY</v>
          </cell>
          <cell r="I1386" t="str">
            <v>Nottingham</v>
          </cell>
          <cell r="K1386" t="str">
            <v>303 W Christine Rd</v>
          </cell>
          <cell r="L1386" t="str">
            <v>PA</v>
          </cell>
          <cell r="M1386">
            <v>19362</v>
          </cell>
          <cell r="N1386" t="str">
            <v>303 W Christine Rd Nottingham, PA 19362</v>
          </cell>
        </row>
        <row r="1387">
          <cell r="G1387">
            <v>471875</v>
          </cell>
          <cell r="H1387" t="str">
            <v>Millersville - Dilworth Buildi</v>
          </cell>
          <cell r="I1387" t="str">
            <v>Millersville</v>
          </cell>
          <cell r="K1387" t="str">
            <v>20 Dilworth Rd</v>
          </cell>
          <cell r="L1387" t="str">
            <v>PA</v>
          </cell>
          <cell r="M1387">
            <v>17551</v>
          </cell>
          <cell r="N1387" t="str">
            <v>20 Dilworth Rd Millersville, PA 17551</v>
          </cell>
        </row>
        <row r="1388">
          <cell r="G1388">
            <v>434880</v>
          </cell>
          <cell r="H1388" t="str">
            <v>St Ephrem School</v>
          </cell>
          <cell r="I1388" t="str">
            <v>Bensalem</v>
          </cell>
          <cell r="J1388" t="str">
            <v>Philly - NE</v>
          </cell>
          <cell r="K1388" t="str">
            <v>5340 Hulmeville Rd</v>
          </cell>
          <cell r="L1388" t="str">
            <v>PA</v>
          </cell>
          <cell r="M1388">
            <v>19020</v>
          </cell>
          <cell r="N1388" t="str">
            <v>5340 Hulmeville Rd Bensalem, PA 19020</v>
          </cell>
        </row>
        <row r="1389">
          <cell r="G1389">
            <v>481895</v>
          </cell>
          <cell r="H1389" t="str">
            <v>NORTHERN YORK SD FOOD SERV</v>
          </cell>
          <cell r="I1389" t="str">
            <v>Dillsburg</v>
          </cell>
          <cell r="K1389" t="str">
            <v>653 S Baltimore St</v>
          </cell>
          <cell r="L1389" t="str">
            <v>PA</v>
          </cell>
          <cell r="M1389">
            <v>17019</v>
          </cell>
          <cell r="N1389" t="str">
            <v>653 S Baltimore St Dillsburg, PA 17019</v>
          </cell>
        </row>
        <row r="1390">
          <cell r="G1390">
            <v>241005</v>
          </cell>
          <cell r="H1390" t="str">
            <v>MANHEIM BRETHREN IN CHRIST CHU</v>
          </cell>
          <cell r="I1390" t="str">
            <v>Manheim</v>
          </cell>
          <cell r="K1390" t="str">
            <v>54 N Penryn Rd</v>
          </cell>
          <cell r="L1390" t="str">
            <v>PA</v>
          </cell>
          <cell r="M1390">
            <v>17545</v>
          </cell>
          <cell r="N1390" t="str">
            <v>54 N Penryn Rd Manheim, PA 17545</v>
          </cell>
        </row>
        <row r="1391">
          <cell r="G1391">
            <v>247750</v>
          </cell>
          <cell r="H1391" t="str">
            <v>St Frances Cabrini Church</v>
          </cell>
          <cell r="I1391" t="str">
            <v>Fairless Hills</v>
          </cell>
          <cell r="K1391" t="str">
            <v>325 S Oxford Valley Rd</v>
          </cell>
          <cell r="L1391" t="str">
            <v>PA</v>
          </cell>
          <cell r="M1391">
            <v>19030</v>
          </cell>
          <cell r="N1391" t="str">
            <v>325 S Oxford Valley Rd Fairless Hills, PA 19030</v>
          </cell>
        </row>
        <row r="1392">
          <cell r="G1392">
            <v>484070</v>
          </cell>
          <cell r="H1392" t="str">
            <v>NOTTINGHAM VILLAGE Nursing Cen</v>
          </cell>
          <cell r="I1392" t="str">
            <v>NORTHUMBERLAND</v>
          </cell>
          <cell r="K1392" t="str">
            <v>58 NEITZ RD</v>
          </cell>
          <cell r="L1392" t="str">
            <v>PA</v>
          </cell>
          <cell r="M1392">
            <v>17857</v>
          </cell>
          <cell r="N1392" t="str">
            <v>58 NEITZ RD NORTHUMBERLAND, PA 17857</v>
          </cell>
        </row>
        <row r="1393">
          <cell r="G1393">
            <v>415759</v>
          </cell>
          <cell r="H1393" t="str">
            <v>THE GLEN @ WILLOW VALLEY HSK</v>
          </cell>
          <cell r="I1393" t="str">
            <v>Willow Street</v>
          </cell>
          <cell r="K1393" t="str">
            <v>71 Locust Ln</v>
          </cell>
          <cell r="L1393" t="str">
            <v>PA</v>
          </cell>
          <cell r="M1393">
            <v>17584</v>
          </cell>
          <cell r="N1393" t="str">
            <v>71 Locust Ln Willow Street, PA 17584</v>
          </cell>
        </row>
        <row r="1394">
          <cell r="G1394">
            <v>294816</v>
          </cell>
          <cell r="H1394" t="str">
            <v>YOHN PROPERTY MANAGEMENT#</v>
          </cell>
          <cell r="I1394" t="str">
            <v>York</v>
          </cell>
          <cell r="K1394" t="str">
            <v>96 S George St</v>
          </cell>
          <cell r="L1394" t="str">
            <v>PA</v>
          </cell>
          <cell r="M1394">
            <v>17401</v>
          </cell>
          <cell r="N1394" t="str">
            <v>96 S George St York, PA 17401</v>
          </cell>
        </row>
        <row r="1395">
          <cell r="G1395">
            <v>483248</v>
          </cell>
          <cell r="H1395" t="str">
            <v>Centinel Spine</v>
          </cell>
          <cell r="I1395" t="str">
            <v>West Chester</v>
          </cell>
          <cell r="K1395" t="str">
            <v>900 Airport Rd</v>
          </cell>
          <cell r="L1395" t="str">
            <v>PA</v>
          </cell>
          <cell r="M1395">
            <v>19380</v>
          </cell>
          <cell r="N1395" t="str">
            <v>900 Airport Rd West Chester, PA 19380</v>
          </cell>
        </row>
        <row r="1396">
          <cell r="G1396">
            <v>455570</v>
          </cell>
          <cell r="H1396" t="str">
            <v>Penn Oaks Golf Club</v>
          </cell>
          <cell r="I1396" t="str">
            <v>West Chester</v>
          </cell>
          <cell r="K1396" t="str">
            <v>150 Penn Oaks Dr</v>
          </cell>
          <cell r="L1396" t="str">
            <v>PA</v>
          </cell>
          <cell r="M1396">
            <v>19382</v>
          </cell>
          <cell r="N1396" t="str">
            <v>150 Penn Oaks Dr West Chester, PA 19382</v>
          </cell>
        </row>
        <row r="1397">
          <cell r="G1397">
            <v>240239</v>
          </cell>
          <cell r="H1397" t="str">
            <v>GOODWIN MEMORIAL BAPTIST</v>
          </cell>
          <cell r="I1397" t="str">
            <v>Harrisburg</v>
          </cell>
          <cell r="K1397" t="str">
            <v>2447 Green St</v>
          </cell>
          <cell r="L1397" t="str">
            <v>PA</v>
          </cell>
          <cell r="M1397">
            <v>17110</v>
          </cell>
          <cell r="N1397" t="str">
            <v>2447 Green St Harrisburg, PA 17110</v>
          </cell>
        </row>
        <row r="1398">
          <cell r="G1398">
            <v>298005</v>
          </cell>
          <cell r="H1398" t="str">
            <v>Queen of Angels Reg Catholic S</v>
          </cell>
          <cell r="I1398" t="str">
            <v>WILLOW GROVE</v>
          </cell>
          <cell r="J1398" t="str">
            <v>Philly Suburbs - North</v>
          </cell>
          <cell r="K1398" t="str">
            <v>401 EASTON RD</v>
          </cell>
          <cell r="L1398" t="str">
            <v>PA</v>
          </cell>
          <cell r="M1398">
            <v>19090</v>
          </cell>
          <cell r="N1398" t="str">
            <v>401 EASTON RD WILLOW GROVE, PA 19090</v>
          </cell>
        </row>
        <row r="1399">
          <cell r="G1399">
            <v>268256</v>
          </cell>
          <cell r="H1399" t="str">
            <v>EUREKA VOLUNTEER FIRE &amp; AMBULA</v>
          </cell>
          <cell r="I1399" t="str">
            <v>Stewartstown</v>
          </cell>
          <cell r="K1399" t="str">
            <v>82 N Main St</v>
          </cell>
          <cell r="L1399" t="str">
            <v>PA</v>
          </cell>
          <cell r="M1399">
            <v>17363</v>
          </cell>
          <cell r="N1399" t="str">
            <v>82 N Main St Stewartstown, PA 17363</v>
          </cell>
        </row>
        <row r="1400">
          <cell r="G1400">
            <v>479454</v>
          </cell>
          <cell r="H1400" t="str">
            <v>Clair Global Integration</v>
          </cell>
          <cell r="I1400" t="str">
            <v>Litltz</v>
          </cell>
          <cell r="K1400" t="str">
            <v>201 Rock Lititz Blvd Dock 20 A</v>
          </cell>
          <cell r="L1400" t="str">
            <v>PA</v>
          </cell>
          <cell r="M1400">
            <v>17543</v>
          </cell>
          <cell r="N1400" t="str">
            <v>201 Rock Lititz Blvd Dock 20 A Litltz, PA 17543</v>
          </cell>
        </row>
        <row r="1401">
          <cell r="G1401">
            <v>459054</v>
          </cell>
          <cell r="H1401" t="str">
            <v>Bucks County Justice Center</v>
          </cell>
          <cell r="I1401" t="str">
            <v>Doylestown</v>
          </cell>
          <cell r="J1401" t="str">
            <v>Philly Suburbs - North</v>
          </cell>
          <cell r="K1401" t="str">
            <v>100 N Main St Fl 2</v>
          </cell>
          <cell r="L1401" t="str">
            <v>PA</v>
          </cell>
          <cell r="M1401">
            <v>18901</v>
          </cell>
          <cell r="N1401" t="str">
            <v>100 N Main St Fl 2 Doylestown, PA 18901</v>
          </cell>
        </row>
        <row r="1402">
          <cell r="G1402">
            <v>239280</v>
          </cell>
          <cell r="H1402" t="str">
            <v>BELLEVUE PRESBYTERAN CHURCH</v>
          </cell>
          <cell r="I1402" t="str">
            <v>Gap</v>
          </cell>
          <cell r="K1402" t="str">
            <v>810 Newport Ave</v>
          </cell>
          <cell r="L1402" t="str">
            <v>PA</v>
          </cell>
          <cell r="M1402">
            <v>17527</v>
          </cell>
          <cell r="N1402" t="str">
            <v>810 Newport Ave Gap, PA 17527</v>
          </cell>
        </row>
        <row r="1403">
          <cell r="G1403">
            <v>415724</v>
          </cell>
          <cell r="H1403" t="str">
            <v>SKH N/OUTLET HBURG</v>
          </cell>
          <cell r="I1403" t="str">
            <v>Harrisburg</v>
          </cell>
          <cell r="K1403" t="str">
            <v>5350 Linglestown Rd</v>
          </cell>
          <cell r="L1403" t="str">
            <v>PA</v>
          </cell>
          <cell r="M1403">
            <v>17112</v>
          </cell>
          <cell r="N1403" t="str">
            <v>5350 Linglestown Rd Harrisburg, PA 17112</v>
          </cell>
        </row>
        <row r="1404">
          <cell r="G1404">
            <v>449399</v>
          </cell>
          <cell r="H1404" t="str">
            <v>Our Lady of the Sacred Heart</v>
          </cell>
          <cell r="I1404" t="str">
            <v>Hilltown</v>
          </cell>
          <cell r="K1404" t="str">
            <v>100 Broad St</v>
          </cell>
          <cell r="L1404" t="str">
            <v>PA</v>
          </cell>
          <cell r="M1404">
            <v>18927</v>
          </cell>
          <cell r="N1404" t="str">
            <v>100 Broad St Hilltown, PA 18927</v>
          </cell>
        </row>
        <row r="1405">
          <cell r="G1405">
            <v>423994</v>
          </cell>
          <cell r="H1405" t="str">
            <v>THE PHOENIX ACADEMY</v>
          </cell>
          <cell r="I1405" t="str">
            <v>Lancaster</v>
          </cell>
          <cell r="K1405" t="str">
            <v>630 Rockland St</v>
          </cell>
          <cell r="L1405" t="str">
            <v>PA</v>
          </cell>
          <cell r="M1405">
            <v>17602</v>
          </cell>
          <cell r="N1405" t="str">
            <v>630 Rockland St Lancaster, PA 17602</v>
          </cell>
        </row>
        <row r="1406">
          <cell r="G1406">
            <v>247395</v>
          </cell>
          <cell r="H1406" t="str">
            <v>GREEN HILLS FARM DISCOUNT GROC</v>
          </cell>
          <cell r="I1406" t="str">
            <v>Lititz</v>
          </cell>
          <cell r="K1406" t="str">
            <v>615 E Newport Rd</v>
          </cell>
          <cell r="L1406" t="str">
            <v>PA</v>
          </cell>
          <cell r="M1406">
            <v>17543</v>
          </cell>
          <cell r="N1406" t="str">
            <v>615 E Newport Rd Lititz, PA 17543</v>
          </cell>
        </row>
        <row r="1407">
          <cell r="G1407">
            <v>423320</v>
          </cell>
          <cell r="H1407" t="str">
            <v>Ukranian American Sports Cente</v>
          </cell>
          <cell r="I1407" t="str">
            <v>Horsham township</v>
          </cell>
          <cell r="J1407" t="str">
            <v>Philly Suburbs - North</v>
          </cell>
          <cell r="K1407" t="str">
            <v>1 Lower State ROAD</v>
          </cell>
          <cell r="L1407" t="str">
            <v>PA</v>
          </cell>
          <cell r="M1407">
            <v>19044</v>
          </cell>
          <cell r="N1407" t="str">
            <v>1 Lower State ROAD Horsham township, PA 19044</v>
          </cell>
        </row>
        <row r="1408">
          <cell r="G1408">
            <v>341662</v>
          </cell>
          <cell r="H1408" t="str">
            <v>Mike Mussina</v>
          </cell>
          <cell r="I1408" t="str">
            <v>Muncy</v>
          </cell>
          <cell r="K1408" t="str">
            <v>737 White Church Rd</v>
          </cell>
          <cell r="L1408" t="str">
            <v>PA</v>
          </cell>
          <cell r="M1408">
            <v>17756</v>
          </cell>
          <cell r="N1408" t="str">
            <v>737 White Church Rd Muncy, PA 17756</v>
          </cell>
        </row>
        <row r="1409">
          <cell r="G1409">
            <v>264372</v>
          </cell>
          <cell r="H1409" t="str">
            <v>HENDRIX ISA LLC#</v>
          </cell>
          <cell r="I1409" t="str">
            <v>Ephrata</v>
          </cell>
          <cell r="K1409" t="str">
            <v>621 Stevens Rd</v>
          </cell>
          <cell r="L1409" t="str">
            <v>PA</v>
          </cell>
          <cell r="M1409">
            <v>17522</v>
          </cell>
          <cell r="N1409" t="str">
            <v>621 Stevens Rd Ephrata, PA 17522</v>
          </cell>
        </row>
        <row r="1410">
          <cell r="G1410">
            <v>474410</v>
          </cell>
          <cell r="H1410" t="str">
            <v>BLUE MOUNTAIN WEST ELEMENTARY</v>
          </cell>
          <cell r="I1410" t="str">
            <v>Schuylkill Haven</v>
          </cell>
          <cell r="K1410" t="str">
            <v>20 N Front Street</v>
          </cell>
          <cell r="L1410" t="str">
            <v>PA</v>
          </cell>
          <cell r="M1410">
            <v>17972</v>
          </cell>
          <cell r="N1410" t="str">
            <v>20 N Front Street Schuylkill Haven, PA 17972</v>
          </cell>
        </row>
        <row r="1411">
          <cell r="G1411">
            <v>243823</v>
          </cell>
          <cell r="H1411" t="str">
            <v>Le Papillon Hair Salon</v>
          </cell>
          <cell r="I1411" t="str">
            <v>Jenkintown</v>
          </cell>
          <cell r="K1411" t="str">
            <v>1597 The Fairway</v>
          </cell>
          <cell r="L1411" t="str">
            <v>PA</v>
          </cell>
          <cell r="M1411">
            <v>19046</v>
          </cell>
          <cell r="N1411" t="str">
            <v>1597 The Fairway Jenkintown, PA 19046</v>
          </cell>
        </row>
        <row r="1412">
          <cell r="G1412">
            <v>418290</v>
          </cell>
          <cell r="H1412" t="str">
            <v>Pennbrook Middle School</v>
          </cell>
          <cell r="I1412" t="str">
            <v>North Wales</v>
          </cell>
          <cell r="K1412" t="str">
            <v>1201 N Wales Rd</v>
          </cell>
          <cell r="L1412" t="str">
            <v>PA</v>
          </cell>
          <cell r="M1412">
            <v>19454</v>
          </cell>
          <cell r="N1412" t="str">
            <v>1201 N Wales Rd North Wales, PA 19454</v>
          </cell>
        </row>
        <row r="1413">
          <cell r="G1413">
            <v>459673</v>
          </cell>
          <cell r="H1413" t="str">
            <v>LANC COUNTY BIBLE LEESPORT CAM</v>
          </cell>
          <cell r="I1413" t="str">
            <v>Leesport</v>
          </cell>
          <cell r="K1413" t="str">
            <v>130 Redners Way</v>
          </cell>
          <cell r="L1413" t="str">
            <v>PA</v>
          </cell>
          <cell r="M1413">
            <v>19533</v>
          </cell>
          <cell r="N1413" t="str">
            <v>130 Redners Way Leesport, PA 19533</v>
          </cell>
        </row>
        <row r="1414">
          <cell r="G1414">
            <v>480154</v>
          </cell>
          <cell r="H1414" t="str">
            <v>Masonic Village Maintenance</v>
          </cell>
          <cell r="I1414" t="str">
            <v>ELIZABETHTOWN</v>
          </cell>
          <cell r="K1414" t="str">
            <v>10 Cowbarn Ln</v>
          </cell>
          <cell r="L1414" t="str">
            <v>PA</v>
          </cell>
          <cell r="M1414">
            <v>17022</v>
          </cell>
          <cell r="N1414" t="str">
            <v>10 Cowbarn Ln ELIZABETHTOWN, PA 17022</v>
          </cell>
        </row>
        <row r="1415">
          <cell r="G1415">
            <v>264275</v>
          </cell>
          <cell r="H1415" t="str">
            <v>JACKSONS WINDOW SHOPPE INC#</v>
          </cell>
          <cell r="I1415" t="str">
            <v>Lancaster</v>
          </cell>
          <cell r="K1415" t="str">
            <v>633 Lausch Ln</v>
          </cell>
          <cell r="L1415" t="str">
            <v>PA</v>
          </cell>
          <cell r="M1415">
            <v>17601</v>
          </cell>
          <cell r="N1415" t="str">
            <v>633 Lausch Ln Lancaster, PA 17601</v>
          </cell>
        </row>
        <row r="1416">
          <cell r="G1416">
            <v>471708</v>
          </cell>
          <cell r="H1416" t="str">
            <v>Reeds Road Elementary School</v>
          </cell>
          <cell r="I1416" t="str">
            <v>Galloway</v>
          </cell>
          <cell r="K1416" t="str">
            <v>103 S Reeds Rd</v>
          </cell>
          <cell r="L1416" t="str">
            <v>NJ</v>
          </cell>
          <cell r="M1416">
            <v>8205</v>
          </cell>
          <cell r="N1416" t="str">
            <v>103 S Reeds Rd Galloway, NJ 08205</v>
          </cell>
        </row>
        <row r="1417">
          <cell r="G1417">
            <v>330672</v>
          </cell>
          <cell r="H1417" t="str">
            <v>Spring Home at Galloway</v>
          </cell>
          <cell r="I1417" t="str">
            <v>Galloway</v>
          </cell>
          <cell r="K1417" t="str">
            <v>42 W Jimmie Leeds Rd</v>
          </cell>
          <cell r="L1417" t="str">
            <v>NJ</v>
          </cell>
          <cell r="M1417">
            <v>8205</v>
          </cell>
          <cell r="N1417" t="str">
            <v>42 W Jimmie Leeds Rd Galloway, NJ 08205</v>
          </cell>
        </row>
        <row r="1418">
          <cell r="G1418">
            <v>240090</v>
          </cell>
          <cell r="H1418" t="str">
            <v>FIRST PRESBYTERIAN CHURCH#</v>
          </cell>
          <cell r="I1418" t="str">
            <v>Lancaster</v>
          </cell>
          <cell r="K1418" t="str">
            <v>140 E Orange St</v>
          </cell>
          <cell r="L1418" t="str">
            <v>PA</v>
          </cell>
          <cell r="M1418">
            <v>17602</v>
          </cell>
          <cell r="N1418" t="str">
            <v>140 E Orange St Lancaster, PA 17602</v>
          </cell>
        </row>
        <row r="1419">
          <cell r="G1419">
            <v>417692</v>
          </cell>
          <cell r="H1419" t="str">
            <v>Kimberly - Clark Chester Mill</v>
          </cell>
          <cell r="I1419" t="str">
            <v>Chester</v>
          </cell>
          <cell r="K1419" t="str">
            <v>1 Avenue of the States</v>
          </cell>
          <cell r="L1419" t="str">
            <v>PA</v>
          </cell>
          <cell r="M1419">
            <v>19013</v>
          </cell>
          <cell r="N1419" t="str">
            <v>1 Avenue of the States Chester, PA 19013</v>
          </cell>
        </row>
        <row r="1420">
          <cell r="G1420">
            <v>241424</v>
          </cell>
          <cell r="H1420" t="str">
            <v>PETRA CHRISTIAN FELLOWSHIP</v>
          </cell>
          <cell r="I1420" t="str">
            <v>New Holland</v>
          </cell>
          <cell r="K1420" t="str">
            <v>565 Airport Rd</v>
          </cell>
          <cell r="L1420" t="str">
            <v>PA</v>
          </cell>
          <cell r="M1420">
            <v>17557</v>
          </cell>
          <cell r="N1420" t="str">
            <v>565 Airport Rd New Holland, PA 17557</v>
          </cell>
        </row>
        <row r="1421">
          <cell r="G1421">
            <v>341016</v>
          </cell>
          <cell r="H1421" t="str">
            <v>CC-Philly Pretzel Factory</v>
          </cell>
          <cell r="I1421" t="str">
            <v>Richboro</v>
          </cell>
          <cell r="J1421" t="str">
            <v>Philly Suburbs - North</v>
          </cell>
          <cell r="K1421" t="str">
            <v>741 2nd Street Pike</v>
          </cell>
          <cell r="L1421" t="str">
            <v>PA</v>
          </cell>
          <cell r="M1421">
            <v>18954</v>
          </cell>
          <cell r="N1421" t="str">
            <v>741 2nd Street Pike Richboro, PA 18954</v>
          </cell>
        </row>
        <row r="1422">
          <cell r="G1422">
            <v>417267</v>
          </cell>
          <cell r="H1422" t="str">
            <v>Roland Rogers Elementary Schoo</v>
          </cell>
          <cell r="I1422" t="str">
            <v>Galloway</v>
          </cell>
          <cell r="K1422" t="str">
            <v>101 S Reeds Rd</v>
          </cell>
          <cell r="L1422" t="str">
            <v>NJ</v>
          </cell>
          <cell r="M1422">
            <v>8205</v>
          </cell>
          <cell r="N1422" t="str">
            <v>101 S Reeds Rd Galloway, NJ 08205</v>
          </cell>
        </row>
        <row r="1423">
          <cell r="G1423">
            <v>471707</v>
          </cell>
          <cell r="H1423" t="str">
            <v>Galloway Township Middle Schoo</v>
          </cell>
          <cell r="I1423" t="str">
            <v>Galloway</v>
          </cell>
          <cell r="K1423" t="str">
            <v>100 S Reeds Rd</v>
          </cell>
          <cell r="L1423" t="str">
            <v>NJ</v>
          </cell>
          <cell r="M1423">
            <v>8205</v>
          </cell>
          <cell r="N1423" t="str">
            <v>100 S Reeds Rd Galloway, NJ 08205</v>
          </cell>
        </row>
        <row r="1424">
          <cell r="G1424">
            <v>416048</v>
          </cell>
          <cell r="H1424" t="str">
            <v>EAST PENN - INJECTION MOLDING</v>
          </cell>
          <cell r="I1424" t="str">
            <v>Lyon Station</v>
          </cell>
          <cell r="K1424" t="str">
            <v>102 Deka Rd</v>
          </cell>
          <cell r="L1424" t="str">
            <v>PA</v>
          </cell>
          <cell r="M1424">
            <v>19536</v>
          </cell>
          <cell r="N1424" t="str">
            <v>102 Deka Rd Lyon Station, PA 19536</v>
          </cell>
        </row>
        <row r="1425">
          <cell r="G1425">
            <v>483898</v>
          </cell>
          <cell r="H1425" t="str">
            <v>LOYALSOCK HIGH SCHOOL Food Ser</v>
          </cell>
          <cell r="I1425" t="str">
            <v>Williamsport</v>
          </cell>
          <cell r="K1425" t="str">
            <v>1801 Loyalsock Dr</v>
          </cell>
          <cell r="L1425" t="str">
            <v>PA</v>
          </cell>
          <cell r="M1425">
            <v>17701</v>
          </cell>
          <cell r="N1425" t="str">
            <v>1801 Loyalsock Dr Williamsport, PA 17701</v>
          </cell>
        </row>
        <row r="1426">
          <cell r="G1426">
            <v>415535</v>
          </cell>
          <cell r="H1426" t="str">
            <v>KEGEL PRODUCE</v>
          </cell>
          <cell r="I1426" t="str">
            <v>Lancaster</v>
          </cell>
          <cell r="K1426" t="str">
            <v>2851 Old Tree Dr</v>
          </cell>
          <cell r="L1426" t="str">
            <v>PA</v>
          </cell>
          <cell r="M1426">
            <v>17603</v>
          </cell>
          <cell r="N1426" t="str">
            <v>2851 Old Tree Dr Lancaster, PA 17603</v>
          </cell>
        </row>
        <row r="1427">
          <cell r="G1427">
            <v>241932</v>
          </cell>
          <cell r="H1427" t="str">
            <v>ST PAUL LUTHERAN CHURCH</v>
          </cell>
          <cell r="I1427" t="str">
            <v>Millersville</v>
          </cell>
          <cell r="K1427" t="str">
            <v>222 N George St</v>
          </cell>
          <cell r="L1427" t="str">
            <v>PA</v>
          </cell>
          <cell r="M1427">
            <v>17551</v>
          </cell>
          <cell r="N1427" t="str">
            <v>222 N George St Millersville, PA 17551</v>
          </cell>
        </row>
        <row r="1428">
          <cell r="G1428">
            <v>415712</v>
          </cell>
          <cell r="H1428" t="str">
            <v>SPRING RIDGE ELEMENTARY</v>
          </cell>
          <cell r="I1428" t="str">
            <v>Wyomissing</v>
          </cell>
          <cell r="K1428" t="str">
            <v>1211 Broadcasting Rd</v>
          </cell>
          <cell r="L1428" t="str">
            <v>PA</v>
          </cell>
          <cell r="M1428">
            <v>19610</v>
          </cell>
          <cell r="N1428" t="str">
            <v>1211 Broadcasting Rd Wyomissing, PA 19610</v>
          </cell>
        </row>
        <row r="1429">
          <cell r="G1429">
            <v>418341</v>
          </cell>
          <cell r="H1429" t="str">
            <v>Perkiomen Valley School Distri</v>
          </cell>
          <cell r="I1429" t="str">
            <v>Collegeville</v>
          </cell>
          <cell r="K1429" t="str">
            <v>3 Iron Bridge Dr</v>
          </cell>
          <cell r="L1429" t="str">
            <v>PA</v>
          </cell>
          <cell r="M1429">
            <v>19426</v>
          </cell>
          <cell r="N1429" t="str">
            <v>3 Iron Bridge Dr Collegeville, PA 19426</v>
          </cell>
        </row>
        <row r="1430">
          <cell r="G1430">
            <v>429245</v>
          </cell>
          <cell r="H1430" t="str">
            <v>Chalfont Emergency Medical Ser</v>
          </cell>
          <cell r="I1430" t="str">
            <v>Chalfont</v>
          </cell>
          <cell r="K1430" t="str">
            <v>201 Park Ave</v>
          </cell>
          <cell r="L1430" t="str">
            <v>PA</v>
          </cell>
          <cell r="M1430">
            <v>18914</v>
          </cell>
          <cell r="N1430" t="str">
            <v>201 Park Ave Chalfont, PA 18914</v>
          </cell>
        </row>
        <row r="1431">
          <cell r="G1431">
            <v>240707</v>
          </cell>
          <cell r="H1431" t="str">
            <v>LANC AIRPORT AUTHORITY 2*</v>
          </cell>
          <cell r="I1431" t="str">
            <v>Lititz</v>
          </cell>
          <cell r="K1431" t="str">
            <v>500 AIRPORT RD Suite G</v>
          </cell>
          <cell r="L1431" t="str">
            <v>PA</v>
          </cell>
          <cell r="M1431">
            <v>17543</v>
          </cell>
          <cell r="N1431" t="str">
            <v>500 AIRPORT RD Suite G Lititz, PA 17543</v>
          </cell>
        </row>
        <row r="1432">
          <cell r="G1432">
            <v>471316</v>
          </cell>
          <cell r="H1432" t="str">
            <v>Howell Township Middle School</v>
          </cell>
          <cell r="I1432" t="str">
            <v>Howell</v>
          </cell>
          <cell r="J1432" t="str">
            <v>Trenton - East Shore</v>
          </cell>
          <cell r="K1432" t="str">
            <v>220 Ramtown Greenville Rd</v>
          </cell>
          <cell r="L1432" t="str">
            <v>NJ</v>
          </cell>
          <cell r="M1432">
            <v>7731</v>
          </cell>
          <cell r="N1432" t="str">
            <v>220 Ramtown Greenville Rd Howell, NJ 07731</v>
          </cell>
        </row>
        <row r="1433">
          <cell r="G1433">
            <v>279680</v>
          </cell>
          <cell r="H1433" t="str">
            <v>Delmar School District</v>
          </cell>
          <cell r="I1433" t="str">
            <v>Delmar</v>
          </cell>
          <cell r="K1433" t="str">
            <v>200 N 8th St</v>
          </cell>
          <cell r="L1433" t="str">
            <v>DE</v>
          </cell>
          <cell r="M1433">
            <v>19940</v>
          </cell>
          <cell r="N1433" t="str">
            <v>200 N 8th St Delmar, DE 19940</v>
          </cell>
        </row>
        <row r="1434">
          <cell r="G1434">
            <v>482654</v>
          </cell>
          <cell r="H1434" t="str">
            <v>Animal Veterinary Center</v>
          </cell>
          <cell r="I1434" t="str">
            <v>Bear</v>
          </cell>
          <cell r="J1434" t="str">
            <v>Wilmington</v>
          </cell>
          <cell r="K1434" t="str">
            <v>160 Bear Christiana Rd</v>
          </cell>
          <cell r="L1434" t="str">
            <v>DE</v>
          </cell>
          <cell r="M1434">
            <v>19701</v>
          </cell>
          <cell r="N1434" t="str">
            <v>160 Bear Christiana Rd Bear, DE 19701</v>
          </cell>
        </row>
        <row r="1435">
          <cell r="G1435">
            <v>293697</v>
          </cell>
          <cell r="H1435" t="str">
            <v>First Haitian Church of God</v>
          </cell>
          <cell r="I1435" t="str">
            <v>Hamilton</v>
          </cell>
          <cell r="K1435" t="str">
            <v>1501 Greenwood Ave</v>
          </cell>
          <cell r="L1435" t="str">
            <v>NJ</v>
          </cell>
          <cell r="M1435">
            <v>8609</v>
          </cell>
          <cell r="N1435" t="str">
            <v>1501 Greenwood Ave Hamilton, NJ 08609</v>
          </cell>
        </row>
        <row r="1436">
          <cell r="G1436">
            <v>245124</v>
          </cell>
          <cell r="H1436" t="str">
            <v>B &amp; L Commercial Cleaning</v>
          </cell>
          <cell r="I1436" t="str">
            <v>West Chester</v>
          </cell>
          <cell r="K1436" t="str">
            <v>124 Kirkland Ave</v>
          </cell>
          <cell r="L1436" t="str">
            <v>PA</v>
          </cell>
          <cell r="M1436">
            <v>19380</v>
          </cell>
          <cell r="N1436" t="str">
            <v>124 Kirkland Ave West Chester, PA 19380</v>
          </cell>
        </row>
        <row r="1437">
          <cell r="G1437">
            <v>415905</v>
          </cell>
          <cell r="H1437" t="str">
            <v>BIRD IN HAND FAMILY RESTAURANT</v>
          </cell>
          <cell r="I1437" t="str">
            <v>Bird in Hand</v>
          </cell>
          <cell r="K1437" t="str">
            <v>2760 Old Philadelphia Pike</v>
          </cell>
          <cell r="L1437" t="str">
            <v>PA</v>
          </cell>
          <cell r="M1437">
            <v>17505</v>
          </cell>
          <cell r="N1437" t="str">
            <v>2760 Old Philadelphia Pike Bird in Hand, PA 17505</v>
          </cell>
        </row>
        <row r="1438">
          <cell r="G1438">
            <v>246527</v>
          </cell>
          <cell r="H1438" t="str">
            <v>Wescott Steel Inc.</v>
          </cell>
          <cell r="I1438" t="str">
            <v>Trevose</v>
          </cell>
          <cell r="K1438" t="str">
            <v>425 Andrews Rd</v>
          </cell>
          <cell r="L1438" t="str">
            <v>PA</v>
          </cell>
          <cell r="M1438">
            <v>19053</v>
          </cell>
          <cell r="N1438" t="str">
            <v>425 Andrews Rd Trevose, PA 19053</v>
          </cell>
        </row>
        <row r="1439">
          <cell r="G1439">
            <v>242100</v>
          </cell>
          <cell r="H1439" t="str">
            <v>THE MENNONITE HOME MED</v>
          </cell>
          <cell r="I1439" t="str">
            <v>Lancaster</v>
          </cell>
          <cell r="K1439" t="str">
            <v>1520 Harrisburg Pike</v>
          </cell>
          <cell r="L1439" t="str">
            <v>PA</v>
          </cell>
          <cell r="M1439">
            <v>17601</v>
          </cell>
          <cell r="N1439" t="str">
            <v>1520 Harrisburg Pike Lancaster, PA 17601</v>
          </cell>
        </row>
        <row r="1440">
          <cell r="G1440">
            <v>323956</v>
          </cell>
          <cell r="H1440" t="str">
            <v>Broomall Fire Company</v>
          </cell>
          <cell r="I1440" t="str">
            <v>Broomall</v>
          </cell>
          <cell r="K1440" t="str">
            <v>1 N Malin Rd</v>
          </cell>
          <cell r="L1440" t="str">
            <v>PA</v>
          </cell>
          <cell r="M1440">
            <v>19008</v>
          </cell>
          <cell r="N1440" t="str">
            <v>1 N Malin Rd Broomall, PA 19008</v>
          </cell>
        </row>
        <row r="1441">
          <cell r="G1441">
            <v>301715</v>
          </cell>
          <cell r="H1441" t="str">
            <v>PA AUCTION CENTER LLC*</v>
          </cell>
          <cell r="I1441" t="str">
            <v>East Earl</v>
          </cell>
          <cell r="K1441" t="str">
            <v>1141 Wea Wit St</v>
          </cell>
          <cell r="L1441" t="str">
            <v>PA</v>
          </cell>
          <cell r="M1441">
            <v>17519</v>
          </cell>
          <cell r="N1441" t="str">
            <v>1141 Wea Wit St East Earl, PA 17519</v>
          </cell>
        </row>
        <row r="1442">
          <cell r="G1442">
            <v>457770</v>
          </cell>
          <cell r="H1442" t="str">
            <v>H. Aston Marsh Elementary Scho</v>
          </cell>
          <cell r="I1442" t="str">
            <v>Absecon</v>
          </cell>
          <cell r="J1442" t="str">
            <v>Atlantic City</v>
          </cell>
          <cell r="K1442" t="str">
            <v>800 Ireland Ave</v>
          </cell>
          <cell r="L1442" t="str">
            <v>NJ</v>
          </cell>
          <cell r="M1442">
            <v>8201</v>
          </cell>
          <cell r="N1442" t="str">
            <v>800 Ireland Ave Absecon, NJ 08201</v>
          </cell>
        </row>
        <row r="1443">
          <cell r="G1443">
            <v>424742</v>
          </cell>
          <cell r="H1443" t="str">
            <v>Roman Catholic High School</v>
          </cell>
          <cell r="I1443" t="str">
            <v>Philadelphia</v>
          </cell>
          <cell r="K1443" t="str">
            <v>324 N 13th St</v>
          </cell>
          <cell r="L1443" t="str">
            <v>PA</v>
          </cell>
          <cell r="M1443">
            <v>19107</v>
          </cell>
          <cell r="N1443" t="str">
            <v>324 N 13th St Philadelphia, PA 19107</v>
          </cell>
        </row>
        <row r="1444">
          <cell r="G1444">
            <v>241513</v>
          </cell>
          <cell r="H1444" t="str">
            <v>R &amp; J TRANSPORTATION</v>
          </cell>
          <cell r="I1444" t="str">
            <v>Pottsville</v>
          </cell>
          <cell r="K1444" t="str">
            <v>326 Chestnut St</v>
          </cell>
          <cell r="L1444" t="str">
            <v>PA</v>
          </cell>
          <cell r="M1444">
            <v>17901</v>
          </cell>
          <cell r="N1444" t="str">
            <v>326 Chestnut St Pottsville, PA 17901</v>
          </cell>
        </row>
        <row r="1445">
          <cell r="G1445">
            <v>482850</v>
          </cell>
          <cell r="H1445" t="str">
            <v>Adams County Technical Institu</v>
          </cell>
          <cell r="I1445" t="str">
            <v>Gettysburg</v>
          </cell>
          <cell r="K1445" t="str">
            <v>1126 Old Harrisburg Rd</v>
          </cell>
          <cell r="L1445" t="str">
            <v>PA</v>
          </cell>
          <cell r="M1445">
            <v>17325</v>
          </cell>
          <cell r="N1445" t="str">
            <v>1126 Old Harrisburg Rd Gettysburg, PA 17325</v>
          </cell>
        </row>
        <row r="1446">
          <cell r="G1446">
            <v>306402</v>
          </cell>
          <cell r="H1446" t="str">
            <v>OLD COUNTRY STORE#</v>
          </cell>
          <cell r="I1446" t="str">
            <v>Intercourse</v>
          </cell>
          <cell r="K1446" t="str">
            <v>3510 Old Philadelphia Pike</v>
          </cell>
          <cell r="L1446" t="str">
            <v>PA</v>
          </cell>
          <cell r="M1446">
            <v>17534</v>
          </cell>
          <cell r="N1446" t="str">
            <v>3510 Old Philadelphia Pike Intercourse, PA 17534</v>
          </cell>
        </row>
        <row r="1447">
          <cell r="G1447">
            <v>305077</v>
          </cell>
          <cell r="H1447" t="str">
            <v>Concordville Subaru</v>
          </cell>
          <cell r="I1447" t="str">
            <v>Glen Mills</v>
          </cell>
          <cell r="K1447" t="str">
            <v>1713 Wilmington West Chester Pike</v>
          </cell>
          <cell r="L1447" t="str">
            <v>PA</v>
          </cell>
          <cell r="M1447">
            <v>19342</v>
          </cell>
          <cell r="N1447" t="str">
            <v>1713 Wilmington West Chester Pike Glen Mills, PA 19342</v>
          </cell>
        </row>
        <row r="1448">
          <cell r="G1448">
            <v>241806</v>
          </cell>
          <cell r="H1448" t="str">
            <v>SHULTZ TRANSPORTATION***</v>
          </cell>
          <cell r="I1448" t="str">
            <v>Willow Street</v>
          </cell>
          <cell r="K1448" t="str">
            <v>8 Beaver Valley Pike</v>
          </cell>
          <cell r="L1448" t="str">
            <v>PA</v>
          </cell>
          <cell r="M1448">
            <v>17584</v>
          </cell>
          <cell r="N1448" t="str">
            <v>8 Beaver Valley Pike Willow Street, PA 17584</v>
          </cell>
        </row>
        <row r="1449">
          <cell r="G1449">
            <v>429084</v>
          </cell>
          <cell r="H1449" t="str">
            <v>New York Avenue School</v>
          </cell>
          <cell r="I1449" t="str">
            <v>Atlantic City</v>
          </cell>
          <cell r="J1449" t="str">
            <v>Atlantic City</v>
          </cell>
          <cell r="K1449" t="str">
            <v>411 N New York Ave</v>
          </cell>
          <cell r="L1449" t="str">
            <v>NJ</v>
          </cell>
          <cell r="M1449">
            <v>8401</v>
          </cell>
          <cell r="N1449" t="str">
            <v>411 N New York Ave Atlantic City, NJ 08401</v>
          </cell>
        </row>
        <row r="1450">
          <cell r="G1450">
            <v>241248</v>
          </cell>
          <cell r="H1450" t="str">
            <v>NEW SCHOOL OF LANCASTER</v>
          </cell>
          <cell r="I1450" t="str">
            <v>Lancaster</v>
          </cell>
          <cell r="K1450" t="str">
            <v>935 Columbia Ave</v>
          </cell>
          <cell r="L1450" t="str">
            <v>PA</v>
          </cell>
          <cell r="M1450">
            <v>17603</v>
          </cell>
          <cell r="N1450" t="str">
            <v>935 Columbia Ave Lancaster, PA 17603</v>
          </cell>
        </row>
        <row r="1451">
          <cell r="G1451">
            <v>483888</v>
          </cell>
          <cell r="H1451" t="str">
            <v>GLICK FIRE EQUIPMENT CO INC</v>
          </cell>
          <cell r="I1451" t="str">
            <v>Hatfield</v>
          </cell>
          <cell r="K1451" t="str">
            <v>1851 N PENN RD</v>
          </cell>
          <cell r="L1451" t="str">
            <v>PA</v>
          </cell>
          <cell r="M1451">
            <v>19440</v>
          </cell>
          <cell r="N1451" t="str">
            <v>1851 N PENN RD Hatfield, PA 19440</v>
          </cell>
        </row>
        <row r="1452">
          <cell r="G1452">
            <v>239653</v>
          </cell>
          <cell r="H1452" t="str">
            <v>COLUMBIA BORO SCHOOL DIST</v>
          </cell>
          <cell r="I1452" t="str">
            <v>Columbia</v>
          </cell>
          <cell r="K1452" t="str">
            <v>200 N 5th St</v>
          </cell>
          <cell r="L1452" t="str">
            <v>PA</v>
          </cell>
          <cell r="M1452">
            <v>17512</v>
          </cell>
          <cell r="N1452" t="str">
            <v>200 N 5th St Columbia, PA 17512</v>
          </cell>
        </row>
        <row r="1453">
          <cell r="G1453">
            <v>418307</v>
          </cell>
          <cell r="H1453" t="str">
            <v>Penndale Middle School</v>
          </cell>
          <cell r="I1453" t="str">
            <v>Lansdale</v>
          </cell>
          <cell r="K1453" t="str">
            <v>400 Penn St</v>
          </cell>
          <cell r="L1453" t="str">
            <v>PA</v>
          </cell>
          <cell r="M1453">
            <v>19446</v>
          </cell>
          <cell r="N1453" t="str">
            <v>400 Penn St Lansdale, PA 19446</v>
          </cell>
        </row>
        <row r="1454">
          <cell r="G1454">
            <v>241793</v>
          </cell>
          <cell r="H1454" t="str">
            <v>SHEPHERD OF THE HILLS CALVARY</v>
          </cell>
          <cell r="I1454" t="str">
            <v>Bechtelsville</v>
          </cell>
          <cell r="J1454" t="str">
            <v>Perkiomenville</v>
          </cell>
          <cell r="K1454" t="str">
            <v>527 Hoffmansville Rd</v>
          </cell>
          <cell r="L1454" t="str">
            <v>PA</v>
          </cell>
          <cell r="M1454">
            <v>19505</v>
          </cell>
          <cell r="N1454" t="str">
            <v>527 Hoffmansville Rd Bechtelsville, PA 19505</v>
          </cell>
        </row>
        <row r="1455">
          <cell r="G1455">
            <v>346246</v>
          </cell>
          <cell r="H1455" t="str">
            <v>The Breakfast Hut</v>
          </cell>
          <cell r="I1455" t="str">
            <v>Reading</v>
          </cell>
          <cell r="K1455" t="str">
            <v>4170 PERKIOMEN AVE</v>
          </cell>
          <cell r="L1455" t="str">
            <v>PA</v>
          </cell>
          <cell r="M1455">
            <v>19606</v>
          </cell>
          <cell r="N1455" t="str">
            <v>4170 PERKIOMEN AVE Reading, PA 19606</v>
          </cell>
        </row>
        <row r="1456">
          <cell r="G1456">
            <v>239295</v>
          </cell>
          <cell r="H1456" t="str">
            <v>BERWICK AREA SCHOOL DISTRICT</v>
          </cell>
          <cell r="I1456" t="str">
            <v>Berwick</v>
          </cell>
          <cell r="K1456" t="str">
            <v>500 Line St</v>
          </cell>
          <cell r="L1456" t="str">
            <v>PA</v>
          </cell>
          <cell r="M1456">
            <v>18603</v>
          </cell>
          <cell r="N1456" t="str">
            <v>500 Line St Berwick, PA 18603</v>
          </cell>
        </row>
        <row r="1457">
          <cell r="G1457">
            <v>469994</v>
          </cell>
          <cell r="H1457" t="str">
            <v>BEAVER MAIN ELEMENTARY</v>
          </cell>
          <cell r="I1457" t="str">
            <v>Bloomsburg</v>
          </cell>
          <cell r="K1457" t="str">
            <v>245 Beaver Valley Rd</v>
          </cell>
          <cell r="L1457" t="str">
            <v>PA</v>
          </cell>
          <cell r="M1457">
            <v>17815</v>
          </cell>
          <cell r="N1457" t="str">
            <v>245 Beaver Valley Rd Bloomsburg, PA 17815</v>
          </cell>
        </row>
        <row r="1458">
          <cell r="G1458">
            <v>270091</v>
          </cell>
          <cell r="H1458" t="str">
            <v>B &amp; D COATINGS#</v>
          </cell>
          <cell r="I1458" t="str">
            <v>Hershey</v>
          </cell>
          <cell r="K1458" t="str">
            <v>142 Mine Rd</v>
          </cell>
          <cell r="L1458" t="str">
            <v>PA</v>
          </cell>
          <cell r="M1458">
            <v>17033</v>
          </cell>
          <cell r="N1458" t="str">
            <v>142 Mine Rd Hershey, PA 17033</v>
          </cell>
        </row>
        <row r="1459">
          <cell r="G1459">
            <v>335144</v>
          </cell>
          <cell r="H1459" t="str">
            <v>TOWNSHIP OF LOWER</v>
          </cell>
          <cell r="I1459" t="str">
            <v>Villas</v>
          </cell>
          <cell r="K1459" t="str">
            <v>2600 Bayshore Rd</v>
          </cell>
          <cell r="L1459" t="str">
            <v>NJ</v>
          </cell>
          <cell r="M1459">
            <v>8251</v>
          </cell>
          <cell r="N1459" t="str">
            <v>2600 Bayshore Rd Villas, NJ 08251</v>
          </cell>
        </row>
        <row r="1460">
          <cell r="G1460">
            <v>451932</v>
          </cell>
          <cell r="H1460" t="str">
            <v>Lambertville Municipal</v>
          </cell>
          <cell r="I1460" t="str">
            <v>Lambertville</v>
          </cell>
          <cell r="J1460" t="str">
            <v>New Hope - W</v>
          </cell>
          <cell r="K1460" t="str">
            <v>3 Bridge St</v>
          </cell>
          <cell r="L1460" t="str">
            <v>NJ</v>
          </cell>
          <cell r="M1460">
            <v>8530</v>
          </cell>
          <cell r="N1460" t="str">
            <v>3 Bridge St Lambertville, NJ 08530</v>
          </cell>
        </row>
        <row r="1461">
          <cell r="G1461">
            <v>239337</v>
          </cell>
          <cell r="H1461" t="str">
            <v>BLUE MOUNTAIN SCHOOL DISTRICT#</v>
          </cell>
          <cell r="I1461" t="str">
            <v>Orwigsburg</v>
          </cell>
          <cell r="K1461" t="str">
            <v>685 Red Dale Rd</v>
          </cell>
          <cell r="L1461" t="str">
            <v>PA</v>
          </cell>
          <cell r="M1461">
            <v>17961</v>
          </cell>
          <cell r="N1461" t="str">
            <v>685 Red Dale Rd Orwigsburg, PA 17961</v>
          </cell>
        </row>
        <row r="1462">
          <cell r="G1462">
            <v>240751</v>
          </cell>
          <cell r="H1462" t="str">
            <v>DEMUTH STEEL PRODUCTS</v>
          </cell>
          <cell r="I1462" t="str">
            <v>Mount Joy</v>
          </cell>
          <cell r="K1462" t="str">
            <v>25 Eby Chiques Rd</v>
          </cell>
          <cell r="L1462" t="str">
            <v>PA</v>
          </cell>
          <cell r="M1462">
            <v>17552</v>
          </cell>
          <cell r="N1462" t="str">
            <v>25 Eby Chiques Rd Mount Joy, PA 17552</v>
          </cell>
        </row>
        <row r="1463">
          <cell r="G1463">
            <v>239684</v>
          </cell>
          <cell r="H1463" t="str">
            <v>COMMUNITY SERVICES INC#</v>
          </cell>
          <cell r="I1463" t="str">
            <v>Mountville</v>
          </cell>
          <cell r="K1463" t="str">
            <v>320 Highland Dr</v>
          </cell>
          <cell r="L1463" t="str">
            <v>PA</v>
          </cell>
          <cell r="M1463">
            <v>17554</v>
          </cell>
          <cell r="N1463" t="str">
            <v>320 Highland Dr Mountville, PA 17554</v>
          </cell>
        </row>
        <row r="1464">
          <cell r="G1464">
            <v>415705</v>
          </cell>
          <cell r="H1464" t="str">
            <v>SKH GARDEN CENTER Dover Kathy</v>
          </cell>
          <cell r="I1464" t="str">
            <v>Dover</v>
          </cell>
          <cell r="K1464" t="str">
            <v>3949 Carlisle Rd</v>
          </cell>
          <cell r="L1464" t="str">
            <v>PA</v>
          </cell>
          <cell r="M1464">
            <v>17315</v>
          </cell>
          <cell r="N1464" t="str">
            <v>3949 Carlisle Rd Dover, PA 17315</v>
          </cell>
        </row>
        <row r="1465">
          <cell r="G1465">
            <v>325224</v>
          </cell>
          <cell r="H1465" t="str">
            <v>GRACE BIBLE FELLOWSHIP CHURCH</v>
          </cell>
          <cell r="I1465" t="str">
            <v>Reading</v>
          </cell>
          <cell r="K1465" t="str">
            <v>1128 Hampden Blvd</v>
          </cell>
          <cell r="L1465" t="str">
            <v>PA</v>
          </cell>
          <cell r="M1465">
            <v>19604</v>
          </cell>
          <cell r="N1465" t="str">
            <v>1128 Hampden Blvd Reading, PA 19604</v>
          </cell>
        </row>
        <row r="1466">
          <cell r="G1466">
            <v>241814</v>
          </cell>
          <cell r="H1466" t="str">
            <v>SIGNAL MACHINE COMPANY#</v>
          </cell>
          <cell r="I1466" t="str">
            <v>New Holland</v>
          </cell>
          <cell r="K1466" t="str">
            <v>150 King Ct</v>
          </cell>
          <cell r="L1466" t="str">
            <v>PA</v>
          </cell>
          <cell r="M1466">
            <v>17557</v>
          </cell>
          <cell r="N1466" t="str">
            <v>150 King Ct New Holland, PA 17557</v>
          </cell>
        </row>
        <row r="1467">
          <cell r="G1467">
            <v>244665</v>
          </cell>
          <cell r="H1467" t="str">
            <v>BMW of Fort Washington</v>
          </cell>
          <cell r="I1467" t="str">
            <v>Fort Washington</v>
          </cell>
          <cell r="K1467" t="str">
            <v>500 Pennsylvania Ave</v>
          </cell>
          <cell r="L1467" t="str">
            <v>PA</v>
          </cell>
          <cell r="M1467">
            <v>19034</v>
          </cell>
          <cell r="N1467" t="str">
            <v>500 Pennsylvania Ave Fort Washington, PA 19034</v>
          </cell>
        </row>
        <row r="1468">
          <cell r="G1468">
            <v>301335</v>
          </cell>
          <cell r="H1468" t="str">
            <v>UNITED ELECTRIC SUPPLY V</v>
          </cell>
          <cell r="I1468" t="str">
            <v>Lancaster</v>
          </cell>
          <cell r="K1468" t="str">
            <v>1564 Fruitville Pike</v>
          </cell>
          <cell r="L1468" t="str">
            <v>PA</v>
          </cell>
          <cell r="M1468">
            <v>17601</v>
          </cell>
          <cell r="N1468" t="str">
            <v>1564 Fruitville Pike Lancaster, PA 17601</v>
          </cell>
        </row>
        <row r="1469">
          <cell r="G1469">
            <v>331085</v>
          </cell>
          <cell r="H1469" t="str">
            <v>Mike Cleaning</v>
          </cell>
          <cell r="I1469" t="str">
            <v>Ephrata</v>
          </cell>
          <cell r="K1469" t="str">
            <v>1829 W Main St</v>
          </cell>
          <cell r="L1469" t="str">
            <v>PA</v>
          </cell>
          <cell r="M1469">
            <v>17522</v>
          </cell>
          <cell r="N1469" t="str">
            <v>1829 W Main St Ephrata, PA 17522</v>
          </cell>
        </row>
        <row r="1470">
          <cell r="G1470">
            <v>483522</v>
          </cell>
          <cell r="H1470" t="str">
            <v>CA-ENVIRONMENTAL - Corp Off Sk</v>
          </cell>
          <cell r="I1470" t="str">
            <v>Mechanicsburg</v>
          </cell>
          <cell r="K1470" t="str">
            <v>10 Skyport Rd</v>
          </cell>
          <cell r="L1470" t="str">
            <v>PA</v>
          </cell>
          <cell r="M1470">
            <v>17050</v>
          </cell>
          <cell r="N1470" t="str">
            <v>10 Skyport Rd Mechanicsburg, PA 17050</v>
          </cell>
        </row>
        <row r="1471">
          <cell r="G1471">
            <v>296325</v>
          </cell>
          <cell r="H1471" t="str">
            <v>Phil Mont Christian Academy</v>
          </cell>
          <cell r="I1471" t="str">
            <v>Erdenheim</v>
          </cell>
          <cell r="K1471" t="str">
            <v>35 Hillcrest Rd</v>
          </cell>
          <cell r="L1471" t="str">
            <v>PA</v>
          </cell>
          <cell r="M1471">
            <v>19038</v>
          </cell>
          <cell r="N1471" t="str">
            <v>35 Hillcrest Rd Erdenheim, PA 19038</v>
          </cell>
        </row>
        <row r="1472">
          <cell r="G1472">
            <v>447718</v>
          </cell>
          <cell r="H1472" t="str">
            <v>YOHN PROPERTY MANAGEMENT</v>
          </cell>
          <cell r="I1472" t="str">
            <v>York</v>
          </cell>
          <cell r="K1472" t="str">
            <v>96 S George St</v>
          </cell>
          <cell r="L1472" t="str">
            <v>PA</v>
          </cell>
          <cell r="M1472">
            <v>17401</v>
          </cell>
          <cell r="N1472" t="str">
            <v>96 S George St York, PA 17401</v>
          </cell>
        </row>
        <row r="1473">
          <cell r="G1473">
            <v>242094</v>
          </cell>
          <cell r="H1473" t="str">
            <v>THE GLEN MED AT WILLOW VALLEY</v>
          </cell>
          <cell r="I1473" t="str">
            <v>Lancaster</v>
          </cell>
          <cell r="K1473" t="str">
            <v>675 Willow Valley Sq</v>
          </cell>
          <cell r="L1473" t="str">
            <v>PA</v>
          </cell>
          <cell r="M1473">
            <v>17602</v>
          </cell>
          <cell r="N1473" t="str">
            <v>675 Willow Valley Sq Lancaster, PA 17602</v>
          </cell>
        </row>
        <row r="1474">
          <cell r="G1474">
            <v>241566</v>
          </cell>
          <cell r="H1474" t="str">
            <v>RLPS ARCHITECTS</v>
          </cell>
          <cell r="I1474" t="str">
            <v>Lancaster</v>
          </cell>
          <cell r="K1474" t="str">
            <v>250 Valleybrook Dr</v>
          </cell>
          <cell r="L1474" t="str">
            <v>PA</v>
          </cell>
          <cell r="M1474">
            <v>17601</v>
          </cell>
          <cell r="N1474" t="str">
            <v>250 Valleybrook Dr Lancaster, PA 17601</v>
          </cell>
        </row>
        <row r="1475">
          <cell r="G1475">
            <v>246365</v>
          </cell>
          <cell r="H1475" t="str">
            <v>Tanner Bros &amp; Sons</v>
          </cell>
          <cell r="I1475" t="str">
            <v>Warminster</v>
          </cell>
          <cell r="J1475" t="str">
            <v>Philly Suburbs - North</v>
          </cell>
          <cell r="K1475" t="str">
            <v>1070 Hatboro Rd</v>
          </cell>
          <cell r="L1475" t="str">
            <v>PA</v>
          </cell>
          <cell r="M1475">
            <v>18974</v>
          </cell>
          <cell r="N1475" t="str">
            <v>1070 Hatboro Rd Warminster, PA 18974</v>
          </cell>
        </row>
        <row r="1476">
          <cell r="G1476">
            <v>241299</v>
          </cell>
          <cell r="H1476" t="str">
            <v>OCCUPATIONAL DEVELOPMENT CENTE</v>
          </cell>
          <cell r="I1476" t="str">
            <v>Lancaster</v>
          </cell>
          <cell r="K1476" t="str">
            <v>640 Martha Ave</v>
          </cell>
          <cell r="L1476" t="str">
            <v>PA</v>
          </cell>
          <cell r="M1476">
            <v>17601</v>
          </cell>
          <cell r="N1476" t="str">
            <v>640 Martha Ave Lancaster, PA 17601</v>
          </cell>
        </row>
        <row r="1477">
          <cell r="G1477">
            <v>309100</v>
          </cell>
          <cell r="H1477" t="str">
            <v>LANC COUNTY FOOD HUB#</v>
          </cell>
          <cell r="I1477" t="str">
            <v>Lancaster</v>
          </cell>
          <cell r="K1477" t="str">
            <v>812 N Queen St</v>
          </cell>
          <cell r="L1477" t="str">
            <v>PA</v>
          </cell>
          <cell r="M1477">
            <v>17603</v>
          </cell>
          <cell r="N1477" t="str">
            <v>812 N Queen St Lancaster, PA 17603</v>
          </cell>
        </row>
        <row r="1478">
          <cell r="G1478">
            <v>243473</v>
          </cell>
          <cell r="H1478" t="str">
            <v>Joseph A. Fluehr III Funeral</v>
          </cell>
          <cell r="I1478" t="str">
            <v>Richboro</v>
          </cell>
          <cell r="J1478" t="str">
            <v>Philly Suburbs - North</v>
          </cell>
          <cell r="K1478" t="str">
            <v>800 Newtown Richboro Rd</v>
          </cell>
          <cell r="L1478" t="str">
            <v>PA</v>
          </cell>
          <cell r="M1478">
            <v>18954</v>
          </cell>
          <cell r="N1478" t="str">
            <v>800 Newtown Richboro Rd Richboro, PA 18954</v>
          </cell>
        </row>
        <row r="1479">
          <cell r="G1479">
            <v>416615</v>
          </cell>
          <cell r="H1479" t="str">
            <v>Downingtown Middle School</v>
          </cell>
          <cell r="I1479" t="str">
            <v>Downingtown</v>
          </cell>
          <cell r="K1479" t="str">
            <v>115 Rock Raymond Rd</v>
          </cell>
          <cell r="L1479" t="str">
            <v>PA</v>
          </cell>
          <cell r="M1479">
            <v>19335</v>
          </cell>
          <cell r="N1479" t="str">
            <v>115 Rock Raymond Rd Downingtown, PA 19335</v>
          </cell>
        </row>
        <row r="1480">
          <cell r="G1480">
            <v>345513</v>
          </cell>
          <cell r="H1480" t="str">
            <v>CORPORATE CLEANING GROUP INC</v>
          </cell>
          <cell r="I1480" t="str">
            <v>Blue Bell</v>
          </cell>
          <cell r="K1480" t="str">
            <v>1746 Hallman Dr</v>
          </cell>
          <cell r="L1480" t="str">
            <v>PA</v>
          </cell>
          <cell r="M1480">
            <v>19422</v>
          </cell>
          <cell r="N1480" t="str">
            <v>1746 Hallman Dr Blue Bell, PA 19422</v>
          </cell>
        </row>
        <row r="1481">
          <cell r="G1481">
            <v>318590</v>
          </cell>
          <cell r="H1481" t="str">
            <v>ABC FACILITY SERVICES INC#</v>
          </cell>
          <cell r="I1481" t="str">
            <v>Avondale</v>
          </cell>
          <cell r="J1481" t="str">
            <v>Kennett Square</v>
          </cell>
          <cell r="K1481" t="str">
            <v>5 Greenview Ln</v>
          </cell>
          <cell r="L1481" t="str">
            <v>PA</v>
          </cell>
          <cell r="M1481">
            <v>19311</v>
          </cell>
          <cell r="N1481" t="str">
            <v>5 Greenview Ln Avondale, PA 19311</v>
          </cell>
        </row>
        <row r="1482">
          <cell r="G1482">
            <v>465741</v>
          </cell>
          <cell r="H1482" t="str">
            <v>Work Space Property Trust L.P</v>
          </cell>
          <cell r="I1482" t="str">
            <v>Horsham</v>
          </cell>
          <cell r="K1482" t="str">
            <v>100 Lakeside Dr Ste 107</v>
          </cell>
          <cell r="L1482" t="str">
            <v>PA</v>
          </cell>
          <cell r="M1482">
            <v>19044</v>
          </cell>
          <cell r="N1482" t="str">
            <v>100 Lakeside Dr Ste 107 Horsham, PA 19044</v>
          </cell>
        </row>
        <row r="1483">
          <cell r="G1483">
            <v>470333</v>
          </cell>
          <cell r="H1483" t="str">
            <v>COUNTY OF LANC - FACILITIES MG</v>
          </cell>
          <cell r="I1483" t="str">
            <v>Lancaster</v>
          </cell>
          <cell r="K1483" t="str">
            <v>950 Eshelman Mill Rd</v>
          </cell>
          <cell r="L1483" t="str">
            <v>PA</v>
          </cell>
          <cell r="M1483">
            <v>17602</v>
          </cell>
          <cell r="N1483" t="str">
            <v>950 Eshelman Mill Rd Lancaster, PA 17602</v>
          </cell>
        </row>
        <row r="1484">
          <cell r="G1484">
            <v>315468</v>
          </cell>
          <cell r="H1484" t="str">
            <v>CC - EXCELSIOR EVENTS LLC V</v>
          </cell>
          <cell r="I1484" t="str">
            <v>Millersville</v>
          </cell>
          <cell r="K1484" t="str">
            <v>210 N George St</v>
          </cell>
          <cell r="L1484" t="str">
            <v>PA</v>
          </cell>
          <cell r="M1484">
            <v>17551</v>
          </cell>
          <cell r="N1484" t="str">
            <v>210 N George St Millersville, PA 17551</v>
          </cell>
        </row>
        <row r="1485">
          <cell r="G1485">
            <v>456127</v>
          </cell>
          <cell r="H1485" t="str">
            <v>COCALICO CHRISTIAN HOME</v>
          </cell>
          <cell r="I1485" t="str">
            <v>Denver</v>
          </cell>
          <cell r="K1485" t="str">
            <v>316 N 5th St</v>
          </cell>
          <cell r="L1485" t="str">
            <v>PA</v>
          </cell>
          <cell r="M1485">
            <v>17517</v>
          </cell>
          <cell r="N1485" t="str">
            <v>316 N 5th St Denver, PA 17517</v>
          </cell>
        </row>
        <row r="1486">
          <cell r="G1486">
            <v>242421</v>
          </cell>
          <cell r="H1486" t="str">
            <v>WISSLER MOTORS INC</v>
          </cell>
          <cell r="I1486" t="str">
            <v>Mount Joy</v>
          </cell>
          <cell r="K1486" t="str">
            <v>1205 W Main St</v>
          </cell>
          <cell r="L1486" t="str">
            <v>PA</v>
          </cell>
          <cell r="M1486">
            <v>17552</v>
          </cell>
          <cell r="N1486" t="str">
            <v>1205 W Main St Mount Joy, PA 17552</v>
          </cell>
        </row>
        <row r="1487">
          <cell r="G1487">
            <v>446819</v>
          </cell>
          <cell r="H1487" t="str">
            <v>Kimberton Fire Company</v>
          </cell>
          <cell r="I1487" t="str">
            <v>Phoenixville</v>
          </cell>
          <cell r="K1487" t="str">
            <v>2276 Kimberton Rd</v>
          </cell>
          <cell r="L1487" t="str">
            <v>PA</v>
          </cell>
          <cell r="M1487">
            <v>19460</v>
          </cell>
          <cell r="N1487" t="str">
            <v>2276 Kimberton Rd Phoenixville, PA 19460</v>
          </cell>
        </row>
        <row r="1488">
          <cell r="G1488">
            <v>417602</v>
          </cell>
          <cell r="H1488" t="str">
            <v>Jasco Inc</v>
          </cell>
          <cell r="I1488" t="str">
            <v>Levittown</v>
          </cell>
          <cell r="K1488" t="str">
            <v>66 Levittown Pkwy</v>
          </cell>
          <cell r="L1488" t="str">
            <v>PA</v>
          </cell>
          <cell r="M1488">
            <v>19054</v>
          </cell>
          <cell r="N1488" t="str">
            <v>66 Levittown Pkwy Levittown, PA 19054</v>
          </cell>
        </row>
        <row r="1489">
          <cell r="G1489">
            <v>449067</v>
          </cell>
          <cell r="H1489" t="str">
            <v>Temple School of Dentistry</v>
          </cell>
          <cell r="I1489" t="str">
            <v>Philadelphia</v>
          </cell>
          <cell r="K1489" t="str">
            <v>3200 N Park Ave</v>
          </cell>
          <cell r="L1489" t="str">
            <v>PA</v>
          </cell>
          <cell r="M1489">
            <v>19140</v>
          </cell>
          <cell r="N1489" t="str">
            <v>3200 N Park Ave Philadelphia, PA 19140</v>
          </cell>
        </row>
        <row r="1490">
          <cell r="G1490">
            <v>269640</v>
          </cell>
          <cell r="H1490" t="str">
            <v>BERKS COUNTY INTERMEDIATE UNIT</v>
          </cell>
          <cell r="I1490" t="str">
            <v>Reading</v>
          </cell>
          <cell r="K1490" t="str">
            <v>1111 Commons Blvd</v>
          </cell>
          <cell r="L1490" t="str">
            <v>PA</v>
          </cell>
          <cell r="M1490">
            <v>19605</v>
          </cell>
          <cell r="N1490" t="str">
            <v>1111 Commons Blvd Reading, PA 19605</v>
          </cell>
        </row>
        <row r="1491">
          <cell r="G1491">
            <v>240472</v>
          </cell>
          <cell r="H1491" t="str">
            <v>IK STOLTZFUS SERVICE CORP#</v>
          </cell>
          <cell r="I1491" t="str">
            <v>Manheim</v>
          </cell>
          <cell r="K1491" t="str">
            <v>1896 Auction Rd</v>
          </cell>
          <cell r="L1491" t="str">
            <v>PA</v>
          </cell>
          <cell r="M1491">
            <v>17545</v>
          </cell>
          <cell r="N1491" t="str">
            <v>1896 Auction Rd Manheim, PA 17545</v>
          </cell>
        </row>
        <row r="1492">
          <cell r="G1492">
            <v>455320</v>
          </cell>
          <cell r="H1492" t="str">
            <v>WHITFIELD ELEMENTARY</v>
          </cell>
          <cell r="I1492" t="str">
            <v>Reading</v>
          </cell>
          <cell r="K1492" t="str">
            <v>2700 Van Reed Rd</v>
          </cell>
          <cell r="L1492" t="str">
            <v>PA</v>
          </cell>
          <cell r="M1492">
            <v>19609</v>
          </cell>
          <cell r="N1492" t="str">
            <v>2700 Van Reed Rd Reading, PA 19609</v>
          </cell>
        </row>
        <row r="1493">
          <cell r="G1493">
            <v>294842</v>
          </cell>
          <cell r="H1493" t="str">
            <v>Family Worship Center</v>
          </cell>
          <cell r="I1493" t="str">
            <v>Lansdale</v>
          </cell>
          <cell r="K1493" t="str">
            <v>1000 Troxel Rd</v>
          </cell>
          <cell r="L1493" t="str">
            <v>PA</v>
          </cell>
          <cell r="M1493">
            <v>19446</v>
          </cell>
          <cell r="N1493" t="str">
            <v>1000 Troxel Rd Lansdale, PA 19446</v>
          </cell>
        </row>
        <row r="1494">
          <cell r="G1494">
            <v>264813</v>
          </cell>
          <cell r="H1494" t="str">
            <v>Forrest Russell</v>
          </cell>
          <cell r="I1494" t="str">
            <v>Manheim</v>
          </cell>
          <cell r="K1494" t="str">
            <v>127 E Logan Ave</v>
          </cell>
          <cell r="L1494" t="str">
            <v>PA</v>
          </cell>
          <cell r="M1494">
            <v>17545</v>
          </cell>
          <cell r="N1494" t="str">
            <v>127 E Logan Ave Manheim, PA 17545</v>
          </cell>
        </row>
        <row r="1495">
          <cell r="G1495">
            <v>260300</v>
          </cell>
          <cell r="H1495" t="str">
            <v>CALVARY BIBLE CHURCH#</v>
          </cell>
          <cell r="I1495" t="str">
            <v>Mount Joy</v>
          </cell>
          <cell r="K1495" t="str">
            <v>629 Union School Rd</v>
          </cell>
          <cell r="L1495" t="str">
            <v>PA</v>
          </cell>
          <cell r="M1495">
            <v>17552</v>
          </cell>
          <cell r="N1495" t="str">
            <v>629 Union School Rd Mount Joy, PA 17552</v>
          </cell>
        </row>
        <row r="1496">
          <cell r="G1496">
            <v>282325</v>
          </cell>
          <cell r="H1496" t="str">
            <v>OUTTEN CHRYSLER DODGE JEEP RAM</v>
          </cell>
          <cell r="I1496" t="str">
            <v>Hamburg</v>
          </cell>
          <cell r="K1496" t="str">
            <v>16614 Pottsville Pike</v>
          </cell>
          <cell r="L1496" t="str">
            <v>PA</v>
          </cell>
          <cell r="M1496">
            <v>19526</v>
          </cell>
          <cell r="N1496" t="str">
            <v>16614 Pottsville Pike Hamburg, PA 19526</v>
          </cell>
        </row>
        <row r="1497">
          <cell r="G1497">
            <v>340593</v>
          </cell>
          <cell r="H1497" t="str">
            <v>CC Three Athletics</v>
          </cell>
          <cell r="I1497" t="str">
            <v>Lancaster</v>
          </cell>
          <cell r="K1497" t="str">
            <v>200 Running Pump Rd</v>
          </cell>
          <cell r="L1497" t="str">
            <v>PA</v>
          </cell>
          <cell r="M1497">
            <v>17603</v>
          </cell>
          <cell r="N1497" t="str">
            <v>200 Running Pump Rd Lancaster, PA 17603</v>
          </cell>
        </row>
        <row r="1498">
          <cell r="G1498">
            <v>241924</v>
          </cell>
          <cell r="H1498" t="str">
            <v>ST MARKS UM CHURCH V#</v>
          </cell>
          <cell r="I1498" t="str">
            <v>Mount Joy</v>
          </cell>
          <cell r="K1498" t="str">
            <v>37 E Main St</v>
          </cell>
          <cell r="L1498" t="str">
            <v>PA</v>
          </cell>
          <cell r="M1498">
            <v>17552</v>
          </cell>
          <cell r="N1498" t="str">
            <v>37 E Main St Mount Joy, PA 17552</v>
          </cell>
        </row>
        <row r="1499">
          <cell r="G1499">
            <v>345381</v>
          </cell>
          <cell r="H1499" t="str">
            <v>HERNDON'S SPOTLESS CLEANING</v>
          </cell>
          <cell r="I1499" t="str">
            <v>Leola</v>
          </cell>
          <cell r="K1499" t="str">
            <v>204 Market Sq S</v>
          </cell>
          <cell r="L1499" t="str">
            <v>PA</v>
          </cell>
          <cell r="M1499">
            <v>17540</v>
          </cell>
          <cell r="N1499" t="str">
            <v>204 Market Sq S Leola, PA 17540</v>
          </cell>
        </row>
        <row r="1500">
          <cell r="G1500">
            <v>479323</v>
          </cell>
          <cell r="H1500" t="str">
            <v>U-GRO Masonic Village</v>
          </cell>
          <cell r="I1500" t="str">
            <v>ELIZABETHTOWN</v>
          </cell>
          <cell r="K1500" t="str">
            <v>1 Shrine Rd</v>
          </cell>
          <cell r="L1500" t="str">
            <v>PA</v>
          </cell>
          <cell r="M1500">
            <v>17022</v>
          </cell>
          <cell r="N1500" t="str">
            <v>1 Shrine Rd ELIZABETHTOWN, PA 17022</v>
          </cell>
        </row>
        <row r="1501">
          <cell r="G1501">
            <v>322408</v>
          </cell>
          <cell r="H1501" t="str">
            <v>Fox &amp; Roach Apartments</v>
          </cell>
          <cell r="I1501" t="str">
            <v>Southampton</v>
          </cell>
          <cell r="J1501" t="str">
            <v>Philly Suburbs - North</v>
          </cell>
          <cell r="K1501" t="str">
            <v>1122 Street Rd</v>
          </cell>
          <cell r="L1501" t="str">
            <v>PA</v>
          </cell>
          <cell r="M1501">
            <v>18966</v>
          </cell>
          <cell r="N1501" t="str">
            <v>1122 Street Rd Southampton, PA 18966</v>
          </cell>
        </row>
        <row r="1502">
          <cell r="G1502">
            <v>304899</v>
          </cell>
          <cell r="H1502" t="str">
            <v>Eastern Camden County Regional</v>
          </cell>
          <cell r="I1502" t="str">
            <v>Voorhees</v>
          </cell>
          <cell r="J1502" t="str">
            <v>Cherry Hill</v>
          </cell>
          <cell r="K1502" t="str">
            <v>1401 Laurel Oak Rd</v>
          </cell>
          <cell r="L1502" t="str">
            <v>NJ</v>
          </cell>
          <cell r="M1502">
            <v>8043</v>
          </cell>
          <cell r="N1502" t="str">
            <v>1401 Laurel Oak Rd Voorhees, NJ 08043</v>
          </cell>
        </row>
        <row r="1503">
          <cell r="G1503">
            <v>415335</v>
          </cell>
          <cell r="H1503" t="str">
            <v>WILLOW VALLEY MANOR NORTH FLR</v>
          </cell>
          <cell r="I1503" t="str">
            <v>Willow Street</v>
          </cell>
          <cell r="K1503" t="str">
            <v>71 Locust Ln</v>
          </cell>
          <cell r="L1503" t="str">
            <v>PA</v>
          </cell>
          <cell r="M1503">
            <v>17584</v>
          </cell>
          <cell r="N1503" t="str">
            <v>71 Locust Ln Willow Street, PA 17584</v>
          </cell>
        </row>
        <row r="1504">
          <cell r="G1504">
            <v>245140</v>
          </cell>
          <cell r="H1504" t="str">
            <v>Campus Community School</v>
          </cell>
          <cell r="I1504" t="str">
            <v>Dover</v>
          </cell>
          <cell r="K1504" t="str">
            <v>350 Pear St</v>
          </cell>
          <cell r="L1504" t="str">
            <v>DE</v>
          </cell>
          <cell r="M1504">
            <v>19904</v>
          </cell>
          <cell r="N1504" t="str">
            <v>350 Pear St Dover, DE 19904</v>
          </cell>
        </row>
        <row r="1505">
          <cell r="G1505">
            <v>239862</v>
          </cell>
          <cell r="H1505" t="str">
            <v>DOVE WESTGATE CHURCH#</v>
          </cell>
          <cell r="I1505" t="str">
            <v>Ephrata</v>
          </cell>
          <cell r="K1505" t="str">
            <v>1755 W Main St</v>
          </cell>
          <cell r="L1505" t="str">
            <v>PA</v>
          </cell>
          <cell r="M1505">
            <v>17522</v>
          </cell>
          <cell r="N1505" t="str">
            <v>1755 W Main St Ephrata, PA 17522</v>
          </cell>
        </row>
        <row r="1506">
          <cell r="G1506">
            <v>241970</v>
          </cell>
          <cell r="H1506" t="str">
            <v>STEFFY CONCRETE INC#</v>
          </cell>
          <cell r="I1506" t="str">
            <v>Stevens</v>
          </cell>
          <cell r="K1506" t="str">
            <v>243 E Church St</v>
          </cell>
          <cell r="L1506" t="str">
            <v>PA</v>
          </cell>
          <cell r="M1506">
            <v>17578</v>
          </cell>
          <cell r="N1506" t="str">
            <v>243 E Church St Stevens, PA 17578</v>
          </cell>
        </row>
        <row r="1507">
          <cell r="G1507">
            <v>297040</v>
          </cell>
          <cell r="H1507" t="str">
            <v>Temple School of Dentistry</v>
          </cell>
          <cell r="I1507" t="str">
            <v>Philadelphia</v>
          </cell>
          <cell r="K1507" t="str">
            <v>3223 N Broad St</v>
          </cell>
          <cell r="L1507" t="str">
            <v>PA</v>
          </cell>
          <cell r="M1507">
            <v>19140</v>
          </cell>
          <cell r="N1507" t="str">
            <v>3223 N Broad St Philadelphia, PA 19140</v>
          </cell>
        </row>
        <row r="1508">
          <cell r="G1508">
            <v>479726</v>
          </cell>
          <cell r="H1508" t="str">
            <v>South Western Maintenance</v>
          </cell>
          <cell r="I1508" t="str">
            <v>Hanover</v>
          </cell>
          <cell r="K1508" t="str">
            <v>50 Spring Garden Ave</v>
          </cell>
          <cell r="L1508" t="str">
            <v>PA</v>
          </cell>
          <cell r="M1508">
            <v>17331</v>
          </cell>
          <cell r="N1508" t="str">
            <v>50 Spring Garden Ave Hanover, PA 17331</v>
          </cell>
        </row>
        <row r="1509">
          <cell r="G1509">
            <v>415855</v>
          </cell>
          <cell r="H1509" t="str">
            <v>CARGILL COCOA &amp; CHOCOLATE INC</v>
          </cell>
          <cell r="I1509" t="str">
            <v>Mount Joy</v>
          </cell>
          <cell r="K1509" t="str">
            <v>200 Chocolate Ave</v>
          </cell>
          <cell r="L1509" t="str">
            <v>PA</v>
          </cell>
          <cell r="M1509">
            <v>17552</v>
          </cell>
          <cell r="N1509" t="str">
            <v>200 Chocolate Ave Mount Joy, PA 17552</v>
          </cell>
        </row>
        <row r="1510">
          <cell r="G1510">
            <v>239541</v>
          </cell>
          <cell r="H1510" t="str">
            <v>CHARLES F SNYDER JR CHAPEL#</v>
          </cell>
          <cell r="I1510" t="str">
            <v>Lititz</v>
          </cell>
          <cell r="K1510" t="str">
            <v>3110 Lititz Pike</v>
          </cell>
          <cell r="L1510" t="str">
            <v>PA</v>
          </cell>
          <cell r="M1510">
            <v>17543</v>
          </cell>
          <cell r="N1510" t="str">
            <v>3110 Lititz Pike Lititz, PA 17543</v>
          </cell>
        </row>
        <row r="1511">
          <cell r="G1511">
            <v>279804</v>
          </cell>
          <cell r="H1511" t="str">
            <v>Fred Beans VW of Devon</v>
          </cell>
          <cell r="I1511" t="str">
            <v>Devon</v>
          </cell>
          <cell r="K1511" t="str">
            <v>315 W Lancaster Ave</v>
          </cell>
          <cell r="L1511" t="str">
            <v>PA</v>
          </cell>
          <cell r="M1511">
            <v>19333</v>
          </cell>
          <cell r="N1511" t="str">
            <v>315 W Lancaster Ave Devon, PA 19333</v>
          </cell>
        </row>
        <row r="1512">
          <cell r="G1512">
            <v>346508</v>
          </cell>
          <cell r="H1512" t="str">
            <v>DIJAS FOODS DISTRIBUTIONS INC</v>
          </cell>
          <cell r="I1512" t="str">
            <v>Bensalem</v>
          </cell>
          <cell r="J1512" t="str">
            <v>Philly - NE</v>
          </cell>
          <cell r="K1512" t="str">
            <v>1700 WINCHESTER RD</v>
          </cell>
          <cell r="L1512" t="str">
            <v>PA</v>
          </cell>
          <cell r="M1512">
            <v>19020</v>
          </cell>
          <cell r="N1512" t="str">
            <v>1700 WINCHESTER RD Bensalem, PA 19020</v>
          </cell>
        </row>
        <row r="1513">
          <cell r="G1513">
            <v>471715</v>
          </cell>
          <cell r="H1513" t="str">
            <v>Smithville Elementary School</v>
          </cell>
          <cell r="I1513" t="str">
            <v>Galloway</v>
          </cell>
          <cell r="K1513" t="str">
            <v>37 Old Port Republic Rd</v>
          </cell>
          <cell r="L1513" t="str">
            <v>NJ</v>
          </cell>
          <cell r="M1513">
            <v>8205</v>
          </cell>
          <cell r="N1513" t="str">
            <v>37 Old Port Republic Rd Galloway, NJ 08205</v>
          </cell>
        </row>
        <row r="1514">
          <cell r="G1514">
            <v>239662</v>
          </cell>
          <cell r="H1514" t="str">
            <v>COLUMBIA UNITED METHODIST CHUR</v>
          </cell>
          <cell r="I1514" t="str">
            <v>Columbia</v>
          </cell>
          <cell r="K1514" t="str">
            <v>510 Walnut St</v>
          </cell>
          <cell r="L1514" t="str">
            <v>PA</v>
          </cell>
          <cell r="M1514">
            <v>17512</v>
          </cell>
          <cell r="N1514" t="str">
            <v>510 Walnut St Columbia, PA 17512</v>
          </cell>
        </row>
        <row r="1515">
          <cell r="G1515">
            <v>241169</v>
          </cell>
          <cell r="H1515" t="str">
            <v>MOUNTVILLE CHURCH OF THE BRETH</v>
          </cell>
          <cell r="I1515" t="str">
            <v>Mountville</v>
          </cell>
          <cell r="K1515" t="str">
            <v>60 Clay St</v>
          </cell>
          <cell r="L1515" t="str">
            <v>PA</v>
          </cell>
          <cell r="M1515">
            <v>17554</v>
          </cell>
          <cell r="N1515" t="str">
            <v>60 Clay St Mountville, PA 17554</v>
          </cell>
        </row>
        <row r="1516">
          <cell r="G1516">
            <v>346013</v>
          </cell>
          <cell r="H1516" t="str">
            <v>BROWN SCHULTZ SHERIDAN &amp; FRITZ</v>
          </cell>
          <cell r="I1516" t="str">
            <v>CAMP HILL</v>
          </cell>
          <cell r="K1516" t="str">
            <v>210 GRANDVIEW AVE</v>
          </cell>
          <cell r="L1516" t="str">
            <v>PA</v>
          </cell>
          <cell r="M1516">
            <v>17011</v>
          </cell>
          <cell r="N1516" t="str">
            <v>210 GRANDVIEW AVE CAMP HILL, PA 17011</v>
          </cell>
        </row>
        <row r="1517">
          <cell r="G1517">
            <v>240106</v>
          </cell>
          <cell r="H1517" t="str">
            <v>FLORIN CHURCH OF THE BRETHREN#</v>
          </cell>
          <cell r="I1517" t="str">
            <v>Mount Joy</v>
          </cell>
          <cell r="K1517" t="str">
            <v>815 Bruce Ave</v>
          </cell>
          <cell r="L1517" t="str">
            <v>PA</v>
          </cell>
          <cell r="M1517">
            <v>17552</v>
          </cell>
          <cell r="N1517" t="str">
            <v>815 Bruce Ave Mount Joy, PA 17552</v>
          </cell>
        </row>
        <row r="1518">
          <cell r="G1518">
            <v>460582</v>
          </cell>
          <cell r="H1518" t="str">
            <v>Assumption BVM School</v>
          </cell>
          <cell r="I1518" t="str">
            <v>West Grove</v>
          </cell>
          <cell r="K1518" t="str">
            <v>290 State Rd</v>
          </cell>
          <cell r="L1518" t="str">
            <v>PA</v>
          </cell>
          <cell r="M1518">
            <v>19390</v>
          </cell>
          <cell r="N1518" t="str">
            <v>290 State Rd West Grove, PA 19390</v>
          </cell>
        </row>
        <row r="1519">
          <cell r="G1519">
            <v>469869</v>
          </cell>
          <cell r="H1519" t="str">
            <v>U GRO MESSIAH LIFEWAYS</v>
          </cell>
          <cell r="I1519" t="str">
            <v>Mechanicsburg</v>
          </cell>
          <cell r="K1519" t="str">
            <v>100 Mount Allen Dr</v>
          </cell>
          <cell r="L1519" t="str">
            <v>PA</v>
          </cell>
          <cell r="M1519">
            <v>17055</v>
          </cell>
          <cell r="N1519" t="str">
            <v>100 Mount Allen Dr Mechanicsburg, PA 17055</v>
          </cell>
        </row>
        <row r="1520">
          <cell r="G1520">
            <v>241200</v>
          </cell>
          <cell r="H1520" t="str">
            <v>MUSSERS INC</v>
          </cell>
          <cell r="I1520" t="str">
            <v>Quarryville</v>
          </cell>
          <cell r="K1520" t="str">
            <v>33 Friendly Dr Apt H</v>
          </cell>
          <cell r="L1520" t="str">
            <v>PA</v>
          </cell>
          <cell r="M1520">
            <v>17566</v>
          </cell>
          <cell r="N1520" t="str">
            <v>33 Friendly Dr Apt H Quarryville, PA 17566</v>
          </cell>
        </row>
        <row r="1521">
          <cell r="G1521">
            <v>459953</v>
          </cell>
          <cell r="H1521" t="str">
            <v>Work Space Property Trust  I G</v>
          </cell>
          <cell r="I1521" t="str">
            <v>Horsham</v>
          </cell>
          <cell r="K1521" t="str">
            <v>555 Business Center Dr</v>
          </cell>
          <cell r="L1521" t="str">
            <v>PA</v>
          </cell>
          <cell r="M1521">
            <v>19044</v>
          </cell>
          <cell r="N1521" t="str">
            <v>555 Business Center Dr Horsham, PA 19044</v>
          </cell>
        </row>
        <row r="1522">
          <cell r="G1522">
            <v>456916</v>
          </cell>
          <cell r="H1522" t="str">
            <v>FRANKLIN TWP ELEMENTARY</v>
          </cell>
          <cell r="I1522" t="str">
            <v>Cashtown</v>
          </cell>
          <cell r="K1522" t="str">
            <v>870 OLD ROUTE 30</v>
          </cell>
          <cell r="L1522" t="str">
            <v>PA</v>
          </cell>
          <cell r="M1522">
            <v>17310</v>
          </cell>
          <cell r="N1522" t="str">
            <v>870 OLD ROUTE 30 Cashtown, PA 17310</v>
          </cell>
        </row>
        <row r="1523">
          <cell r="G1523">
            <v>416348</v>
          </cell>
          <cell r="H1523" t="str">
            <v>District Administrative Office</v>
          </cell>
          <cell r="I1523" t="str">
            <v>Phoenixville</v>
          </cell>
          <cell r="K1523" t="str">
            <v>386 City Line Ave</v>
          </cell>
          <cell r="L1523" t="str">
            <v>PA</v>
          </cell>
          <cell r="M1523">
            <v>19460</v>
          </cell>
          <cell r="N1523" t="str">
            <v>386 City Line Ave Phoenixville, PA 19460</v>
          </cell>
        </row>
        <row r="1524">
          <cell r="G1524">
            <v>346226</v>
          </cell>
          <cell r="H1524" t="str">
            <v>ACJ&amp;R SUPPLY LLC</v>
          </cell>
          <cell r="I1524" t="str">
            <v>Ewing</v>
          </cell>
          <cell r="K1524" t="str">
            <v>550 W INGHAM AVE</v>
          </cell>
          <cell r="L1524" t="str">
            <v>NJ</v>
          </cell>
          <cell r="M1524">
            <v>8638</v>
          </cell>
          <cell r="N1524" t="str">
            <v>550 W INGHAM AVE Ewing, NJ 08638</v>
          </cell>
        </row>
        <row r="1525">
          <cell r="G1525">
            <v>458350</v>
          </cell>
          <cell r="H1525" t="str">
            <v>Hatfield Elementary School</v>
          </cell>
          <cell r="I1525" t="str">
            <v>Hatfield</v>
          </cell>
          <cell r="K1525" t="str">
            <v>1701 Fairgrounds Rd</v>
          </cell>
          <cell r="L1525" t="str">
            <v>PA</v>
          </cell>
          <cell r="M1525">
            <v>19440</v>
          </cell>
          <cell r="N1525" t="str">
            <v>1701 Fairgrounds Rd Hatfield, PA 19440</v>
          </cell>
        </row>
        <row r="1526">
          <cell r="G1526">
            <v>298365</v>
          </cell>
          <cell r="H1526" t="str">
            <v>Our Lady of Fatima</v>
          </cell>
          <cell r="I1526" t="str">
            <v>New Castle</v>
          </cell>
          <cell r="K1526" t="str">
            <v>801 N Dupont Hwy</v>
          </cell>
          <cell r="L1526" t="str">
            <v>DE</v>
          </cell>
          <cell r="M1526">
            <v>19720</v>
          </cell>
          <cell r="N1526" t="str">
            <v>801 N Dupont Hwy New Castle, DE 19720</v>
          </cell>
        </row>
        <row r="1527">
          <cell r="G1527">
            <v>241454</v>
          </cell>
          <cell r="H1527" t="str">
            <v>PLEASANT VIEW RETIREMENT MED#</v>
          </cell>
          <cell r="I1527" t="str">
            <v>Manheim</v>
          </cell>
          <cell r="K1527" t="str">
            <v>544 N Penryn Rd</v>
          </cell>
          <cell r="L1527" t="str">
            <v>PA</v>
          </cell>
          <cell r="M1527">
            <v>17545</v>
          </cell>
          <cell r="N1527" t="str">
            <v>544 N Penryn Rd Manheim, PA 17545</v>
          </cell>
        </row>
        <row r="1528">
          <cell r="G1528">
            <v>416382</v>
          </cell>
          <cell r="H1528" t="str">
            <v>Black Horse Pike District Offi</v>
          </cell>
          <cell r="I1528" t="str">
            <v>Blackwood</v>
          </cell>
          <cell r="J1528" t="str">
            <v>Cherry Hill</v>
          </cell>
          <cell r="K1528" t="str">
            <v>500 Erial Rd</v>
          </cell>
          <cell r="L1528" t="str">
            <v>NJ</v>
          </cell>
          <cell r="M1528">
            <v>8012</v>
          </cell>
          <cell r="N1528" t="str">
            <v>500 Erial Rd Blackwood, NJ 08012</v>
          </cell>
        </row>
        <row r="1529">
          <cell r="G1529">
            <v>243799</v>
          </cell>
          <cell r="H1529" t="str">
            <v>Langhorne Presbyterian Church</v>
          </cell>
          <cell r="I1529" t="str">
            <v>Langhorne</v>
          </cell>
          <cell r="K1529" t="str">
            <v>125 E Gillam Ave</v>
          </cell>
          <cell r="L1529" t="str">
            <v>PA</v>
          </cell>
          <cell r="M1529">
            <v>19047</v>
          </cell>
          <cell r="N1529" t="str">
            <v>125 E Gillam Ave Langhorne, PA 19047</v>
          </cell>
        </row>
        <row r="1530">
          <cell r="G1530">
            <v>296550</v>
          </cell>
          <cell r="H1530" t="str">
            <v>CC-JOANNES CLEANING#</v>
          </cell>
          <cell r="I1530" t="str">
            <v>Womelsdorf</v>
          </cell>
          <cell r="K1530" t="str">
            <v>236 Charming Forge Rd</v>
          </cell>
          <cell r="L1530" t="str">
            <v>PA</v>
          </cell>
          <cell r="M1530">
            <v>19567</v>
          </cell>
          <cell r="N1530" t="str">
            <v>236 Charming Forge Rd Womelsdorf, PA 19567</v>
          </cell>
        </row>
        <row r="1531">
          <cell r="G1531">
            <v>239359</v>
          </cell>
          <cell r="H1531" t="str">
            <v>MILLERSVILLE BOROUGH</v>
          </cell>
          <cell r="I1531" t="str">
            <v>Millersville</v>
          </cell>
          <cell r="K1531" t="str">
            <v>100 Municipal Dr</v>
          </cell>
          <cell r="L1531" t="str">
            <v>PA</v>
          </cell>
          <cell r="M1531">
            <v>17551</v>
          </cell>
          <cell r="N1531" t="str">
            <v>100 Municipal Dr Millersville, PA 17551</v>
          </cell>
        </row>
        <row r="1532">
          <cell r="G1532">
            <v>260179</v>
          </cell>
          <cell r="H1532" t="str">
            <v>Victory Christian Fellowship,</v>
          </cell>
          <cell r="I1532" t="str">
            <v>New Castle</v>
          </cell>
          <cell r="K1532" t="str">
            <v>100 Wilton Blvd</v>
          </cell>
          <cell r="L1532" t="str">
            <v>DE</v>
          </cell>
          <cell r="M1532">
            <v>19720</v>
          </cell>
          <cell r="N1532" t="str">
            <v>100 Wilton Blvd New Castle, DE 19720</v>
          </cell>
        </row>
        <row r="1533">
          <cell r="G1533">
            <v>240617</v>
          </cell>
          <cell r="H1533" t="str">
            <v>AUTO ONE#</v>
          </cell>
          <cell r="I1533" t="str">
            <v>Lancaster</v>
          </cell>
          <cell r="K1533" t="str">
            <v>1282 Manheim Pike</v>
          </cell>
          <cell r="L1533" t="str">
            <v>PA</v>
          </cell>
          <cell r="M1533">
            <v>17601</v>
          </cell>
          <cell r="N1533" t="str">
            <v>1282 Manheim Pike Lancaster, PA 17601</v>
          </cell>
        </row>
        <row r="1534">
          <cell r="G1534">
            <v>317177</v>
          </cell>
          <cell r="H1534" t="str">
            <v>HOLY FAMILY ACADEMY SCHOOL</v>
          </cell>
          <cell r="I1534" t="str">
            <v>Hazleton</v>
          </cell>
          <cell r="K1534" t="str">
            <v>601 N Laurel St</v>
          </cell>
          <cell r="L1534" t="str">
            <v>PA</v>
          </cell>
          <cell r="M1534">
            <v>18201</v>
          </cell>
          <cell r="N1534" t="str">
            <v>601 N Laurel St Hazleton, PA 18201</v>
          </cell>
        </row>
        <row r="1535">
          <cell r="G1535">
            <v>296716</v>
          </cell>
          <cell r="H1535" t="str">
            <v>Sanctuary United Methodist Chu</v>
          </cell>
          <cell r="I1535" t="str">
            <v>North Wales</v>
          </cell>
          <cell r="K1535" t="str">
            <v>1346 E Prospect Ave</v>
          </cell>
          <cell r="L1535" t="str">
            <v>PA</v>
          </cell>
          <cell r="M1535">
            <v>19454</v>
          </cell>
          <cell r="N1535" t="str">
            <v>1346 E Prospect Ave North Wales, PA 19454</v>
          </cell>
        </row>
        <row r="1536">
          <cell r="G1536">
            <v>345212</v>
          </cell>
          <cell r="H1536" t="str">
            <v>Covell's Carpet Care</v>
          </cell>
          <cell r="I1536" t="str">
            <v>Aston</v>
          </cell>
          <cell r="J1536" t="str">
            <v>Philly Suburbs - SW</v>
          </cell>
          <cell r="K1536" t="str">
            <v>409 Virginia Ln</v>
          </cell>
          <cell r="L1536" t="str">
            <v>PA</v>
          </cell>
          <cell r="M1536">
            <v>19014</v>
          </cell>
          <cell r="N1536" t="str">
            <v>409 Virginia Ln Aston, PA 19014</v>
          </cell>
        </row>
        <row r="1537">
          <cell r="G1537">
            <v>295907</v>
          </cell>
          <cell r="H1537" t="str">
            <v>RAPHO TOWNSHIP</v>
          </cell>
          <cell r="I1537" t="str">
            <v>Manheim</v>
          </cell>
          <cell r="K1537" t="str">
            <v>971 N Colebrook Rd</v>
          </cell>
          <cell r="L1537" t="str">
            <v>PA</v>
          </cell>
          <cell r="M1537">
            <v>17545</v>
          </cell>
          <cell r="N1537" t="str">
            <v>971 N Colebrook Rd Manheim, PA 17545</v>
          </cell>
        </row>
        <row r="1538">
          <cell r="G1538">
            <v>483477</v>
          </cell>
          <cell r="H1538" t="str">
            <v>East Stroudsburg Elementary</v>
          </cell>
          <cell r="I1538" t="str">
            <v>East Stroudsburg</v>
          </cell>
          <cell r="K1538" t="str">
            <v>93 Independence Rd</v>
          </cell>
          <cell r="L1538" t="str">
            <v>PA</v>
          </cell>
          <cell r="M1538">
            <v>18301</v>
          </cell>
          <cell r="N1538" t="str">
            <v>93 Independence Rd East Stroudsburg, PA 18301</v>
          </cell>
        </row>
        <row r="1539">
          <cell r="G1539">
            <v>483478</v>
          </cell>
          <cell r="H1539" t="str">
            <v>Middle Smithfield</v>
          </cell>
          <cell r="I1539" t="str">
            <v>East Stroudsburg</v>
          </cell>
          <cell r="K1539" t="str">
            <v>5180 Milford Rd</v>
          </cell>
          <cell r="L1539" t="str">
            <v>PA</v>
          </cell>
          <cell r="M1539">
            <v>18302</v>
          </cell>
          <cell r="N1539" t="str">
            <v>5180 Milford Rd East Stroudsburg, PA 18302</v>
          </cell>
        </row>
        <row r="1540">
          <cell r="G1540">
            <v>483479</v>
          </cell>
          <cell r="H1540" t="str">
            <v>Smithfield Elementary</v>
          </cell>
          <cell r="I1540" t="str">
            <v>East Stroudsburg</v>
          </cell>
          <cell r="K1540" t="str">
            <v>245 River Rd</v>
          </cell>
          <cell r="L1540" t="str">
            <v>PA</v>
          </cell>
          <cell r="M1540">
            <v>18301</v>
          </cell>
          <cell r="N1540" t="str">
            <v>245 River Rd East Stroudsburg, PA 18301</v>
          </cell>
        </row>
        <row r="1541">
          <cell r="G1541">
            <v>483480</v>
          </cell>
          <cell r="H1541" t="str">
            <v>JM Hill Elementary</v>
          </cell>
          <cell r="I1541" t="str">
            <v>East Stroudsburg</v>
          </cell>
          <cell r="K1541" t="str">
            <v>151 E Broad St</v>
          </cell>
          <cell r="L1541" t="str">
            <v>PA</v>
          </cell>
          <cell r="M1541">
            <v>18301</v>
          </cell>
          <cell r="N1541" t="str">
            <v>151 E Broad St East Stroudsburg, PA 18301</v>
          </cell>
        </row>
        <row r="1542">
          <cell r="G1542">
            <v>483481</v>
          </cell>
          <cell r="H1542" t="str">
            <v>Bushkill Elementary</v>
          </cell>
          <cell r="I1542" t="str">
            <v>Dingmans Ferry</v>
          </cell>
          <cell r="K1542" t="str">
            <v>131 N School Dr</v>
          </cell>
          <cell r="L1542" t="str">
            <v>PA</v>
          </cell>
          <cell r="M1542">
            <v>18328</v>
          </cell>
          <cell r="N1542" t="str">
            <v>131 N School Dr Dingmans Ferry, PA 18328</v>
          </cell>
        </row>
        <row r="1543">
          <cell r="G1543">
            <v>483482</v>
          </cell>
          <cell r="H1543" t="str">
            <v>Resica Elemantary</v>
          </cell>
          <cell r="I1543" t="str">
            <v>East Stroudsburg</v>
          </cell>
          <cell r="K1543" t="str">
            <v>1 Gravel Ridge Rd</v>
          </cell>
          <cell r="L1543" t="str">
            <v>PA</v>
          </cell>
          <cell r="M1543">
            <v>18302</v>
          </cell>
          <cell r="N1543" t="str">
            <v>1 Gravel Ridge Rd East Stroudsburg, PA 18302</v>
          </cell>
        </row>
        <row r="1544">
          <cell r="G1544">
            <v>242385</v>
          </cell>
          <cell r="H1544" t="str">
            <v>WHEATLAND PRESBYTERIAN CHURCH</v>
          </cell>
          <cell r="I1544" t="str">
            <v>Lancaster</v>
          </cell>
          <cell r="K1544" t="str">
            <v>1125 Columbia Ave</v>
          </cell>
          <cell r="L1544" t="str">
            <v>PA</v>
          </cell>
          <cell r="M1544">
            <v>17603</v>
          </cell>
          <cell r="N1544" t="str">
            <v>1125 Columbia Ave Lancaster, PA 17603</v>
          </cell>
        </row>
        <row r="1545">
          <cell r="G1545">
            <v>469847</v>
          </cell>
          <cell r="H1545" t="str">
            <v>U GRO UNION DEPOSIT</v>
          </cell>
          <cell r="I1545" t="str">
            <v>Harrisburg</v>
          </cell>
          <cell r="K1545" t="str">
            <v>3501 Canby St</v>
          </cell>
          <cell r="L1545" t="str">
            <v>PA</v>
          </cell>
          <cell r="M1545">
            <v>17109</v>
          </cell>
          <cell r="N1545" t="str">
            <v>3501 Canby St Harrisburg, PA 17109</v>
          </cell>
        </row>
        <row r="1546">
          <cell r="G1546">
            <v>241246</v>
          </cell>
          <cell r="H1546" t="str">
            <v>NEW LIFE FELLOWSHIP</v>
          </cell>
          <cell r="I1546" t="str">
            <v>Ephrata</v>
          </cell>
          <cell r="K1546" t="str">
            <v>420 E Fulton St</v>
          </cell>
          <cell r="L1546" t="str">
            <v>PA</v>
          </cell>
          <cell r="M1546">
            <v>17522</v>
          </cell>
          <cell r="N1546" t="str">
            <v>420 E Fulton St Ephrata, PA 17522</v>
          </cell>
        </row>
        <row r="1547">
          <cell r="G1547">
            <v>308449</v>
          </cell>
          <cell r="H1547" t="str">
            <v>Waverly Heights</v>
          </cell>
          <cell r="I1547" t="str">
            <v>Gladwyne</v>
          </cell>
          <cell r="K1547" t="str">
            <v>1400 Waverly Rd</v>
          </cell>
          <cell r="L1547" t="str">
            <v>PA</v>
          </cell>
          <cell r="M1547">
            <v>19035</v>
          </cell>
          <cell r="N1547" t="str">
            <v>1400 Waverly Rd Gladwyne, PA 19035</v>
          </cell>
        </row>
        <row r="1548">
          <cell r="G1548">
            <v>282909</v>
          </cell>
          <cell r="H1548" t="str">
            <v>DiStefano Landscape Svcs Inc</v>
          </cell>
          <cell r="I1548" t="str">
            <v>Downingtown</v>
          </cell>
          <cell r="K1548" t="str">
            <v>181 Robbins Rd</v>
          </cell>
          <cell r="L1548" t="str">
            <v>PA</v>
          </cell>
          <cell r="M1548">
            <v>19335</v>
          </cell>
          <cell r="N1548" t="str">
            <v>181 Robbins Rd Downingtown, PA 19335</v>
          </cell>
        </row>
        <row r="1549">
          <cell r="G1549">
            <v>245956</v>
          </cell>
          <cell r="H1549" t="str">
            <v>Mercedes Benz of Devon</v>
          </cell>
          <cell r="I1549" t="str">
            <v>Devon</v>
          </cell>
          <cell r="K1549" t="str">
            <v>214 W LANCASTER AVE</v>
          </cell>
          <cell r="L1549" t="str">
            <v>PA</v>
          </cell>
          <cell r="M1549">
            <v>19333</v>
          </cell>
          <cell r="N1549" t="str">
            <v>214 W LANCASTER AVE Devon, PA 19333</v>
          </cell>
        </row>
        <row r="1550">
          <cell r="G1550">
            <v>469848</v>
          </cell>
          <cell r="H1550" t="str">
            <v>U GRO HERSHEY</v>
          </cell>
          <cell r="I1550" t="str">
            <v>Hummelstown</v>
          </cell>
          <cell r="K1550" t="str">
            <v>1223 Research Blvd</v>
          </cell>
          <cell r="L1550" t="str">
            <v>PA</v>
          </cell>
          <cell r="M1550">
            <v>17036</v>
          </cell>
          <cell r="N1550" t="str">
            <v>1223 Research Blvd Hummelstown, PA 17036</v>
          </cell>
        </row>
        <row r="1551">
          <cell r="G1551">
            <v>239198</v>
          </cell>
          <cell r="H1551" t="str">
            <v>ARCHETYPE</v>
          </cell>
          <cell r="I1551" t="str">
            <v>Lancaster</v>
          </cell>
          <cell r="K1551" t="str">
            <v>317 N Market St</v>
          </cell>
          <cell r="L1551" t="str">
            <v>PA</v>
          </cell>
          <cell r="M1551">
            <v>17603</v>
          </cell>
          <cell r="N1551" t="str">
            <v>317 N Market St Lancaster, PA 17603</v>
          </cell>
        </row>
        <row r="1552">
          <cell r="G1552">
            <v>431345</v>
          </cell>
          <cell r="H1552" t="str">
            <v>SKH    NURSERY HUMMELSTOWN</v>
          </cell>
          <cell r="I1552" t="str">
            <v>Hummelstown</v>
          </cell>
          <cell r="K1552" t="str">
            <v>1075 Middletown Rd</v>
          </cell>
          <cell r="L1552" t="str">
            <v>PA</v>
          </cell>
          <cell r="M1552">
            <v>17036</v>
          </cell>
          <cell r="N1552" t="str">
            <v>1075 Middletown Rd Hummelstown, PA 17036</v>
          </cell>
        </row>
        <row r="1553">
          <cell r="G1553">
            <v>415454</v>
          </cell>
          <cell r="H1553" t="str">
            <v>END OF THE RAINBOW</v>
          </cell>
          <cell r="I1553" t="str">
            <v>Red Lion</v>
          </cell>
          <cell r="K1553" t="str">
            <v>35 Kirkland Dr</v>
          </cell>
          <cell r="L1553" t="str">
            <v>PA</v>
          </cell>
          <cell r="M1553">
            <v>17356</v>
          </cell>
          <cell r="N1553" t="str">
            <v>35 Kirkland Dr Red Lion, PA 17356</v>
          </cell>
        </row>
        <row r="1554">
          <cell r="G1554">
            <v>474710</v>
          </cell>
          <cell r="H1554" t="str">
            <v>ROHRERS QUARRY</v>
          </cell>
          <cell r="I1554" t="str">
            <v>Lititz</v>
          </cell>
          <cell r="K1554" t="str">
            <v>16 Lititz Rd</v>
          </cell>
          <cell r="L1554" t="str">
            <v>PA</v>
          </cell>
          <cell r="M1554">
            <v>17543</v>
          </cell>
          <cell r="N1554" t="str">
            <v>16 Lititz Rd Lititz, PA 17543</v>
          </cell>
        </row>
        <row r="1555">
          <cell r="G1555">
            <v>240217</v>
          </cell>
          <cell r="H1555" t="str">
            <v>GLENWOOD FOODS*</v>
          </cell>
          <cell r="I1555" t="str">
            <v>Ephrata</v>
          </cell>
          <cell r="K1555" t="str">
            <v>1614 Division Hwy</v>
          </cell>
          <cell r="L1555" t="str">
            <v>PA</v>
          </cell>
          <cell r="M1555">
            <v>17522</v>
          </cell>
          <cell r="N1555" t="str">
            <v>1614 Division Hwy Ephrata, PA 17522</v>
          </cell>
        </row>
        <row r="1556">
          <cell r="G1556">
            <v>461667</v>
          </cell>
          <cell r="H1556" t="str">
            <v>A.M. Kulp Elementary School</v>
          </cell>
          <cell r="I1556" t="str">
            <v>Hatfield</v>
          </cell>
          <cell r="K1556" t="str">
            <v>801 Cowpath Rd</v>
          </cell>
          <cell r="L1556" t="str">
            <v>PA</v>
          </cell>
          <cell r="M1556">
            <v>19440</v>
          </cell>
          <cell r="N1556" t="str">
            <v>801 Cowpath Rd Hatfield, PA 19440</v>
          </cell>
        </row>
        <row r="1557">
          <cell r="G1557">
            <v>302872</v>
          </cell>
          <cell r="H1557" t="str">
            <v>LIVING HOPE COMMUNITY CHURCH</v>
          </cell>
          <cell r="I1557" t="str">
            <v>Doylestown</v>
          </cell>
          <cell r="J1557" t="str">
            <v>Philly Suburbs - North</v>
          </cell>
          <cell r="K1557" t="str">
            <v>311 W State St</v>
          </cell>
          <cell r="L1557" t="str">
            <v>PA</v>
          </cell>
          <cell r="M1557">
            <v>18901</v>
          </cell>
          <cell r="N1557" t="str">
            <v>311 W State St Doylestown, PA 18901</v>
          </cell>
        </row>
        <row r="1558">
          <cell r="G1558">
            <v>345424</v>
          </cell>
          <cell r="H1558" t="str">
            <v>Delaware County Intermediate U</v>
          </cell>
          <cell r="I1558" t="str">
            <v>Morton</v>
          </cell>
          <cell r="K1558" t="str">
            <v>200 Yale Ave</v>
          </cell>
          <cell r="L1558" t="str">
            <v>PA</v>
          </cell>
          <cell r="M1558">
            <v>19070</v>
          </cell>
          <cell r="N1558" t="str">
            <v>200 Yale Ave Morton, PA 19070</v>
          </cell>
        </row>
        <row r="1559">
          <cell r="G1559">
            <v>431150</v>
          </cell>
          <cell r="H1559" t="str">
            <v>AJJS - WAREHOUSE</v>
          </cell>
          <cell r="I1559" t="str">
            <v>Freehold</v>
          </cell>
          <cell r="K1559" t="str">
            <v>400 Broadway</v>
          </cell>
          <cell r="L1559" t="str">
            <v>NJ</v>
          </cell>
          <cell r="M1559">
            <v>7728</v>
          </cell>
          <cell r="N1559" t="str">
            <v>400 Broadway Freehold, NJ 07728</v>
          </cell>
        </row>
        <row r="1560">
          <cell r="G1560">
            <v>242384</v>
          </cell>
          <cell r="H1560" t="str">
            <v>WHEATLAND FEDERAL</v>
          </cell>
          <cell r="I1560" t="str">
            <v>Lancaster</v>
          </cell>
          <cell r="K1560" t="str">
            <v>611 Centerville Rd</v>
          </cell>
          <cell r="L1560" t="str">
            <v>PA</v>
          </cell>
          <cell r="M1560">
            <v>17601</v>
          </cell>
          <cell r="N1560" t="str">
            <v>611 Centerville Rd Lancaster, PA 17601</v>
          </cell>
        </row>
        <row r="1561">
          <cell r="G1561">
            <v>244237</v>
          </cell>
          <cell r="H1561" t="str">
            <v>Bordentown Regional School Dis</v>
          </cell>
          <cell r="I1561" t="str">
            <v>Bordentown</v>
          </cell>
          <cell r="J1561" t="str">
            <v>Trenton - South</v>
          </cell>
          <cell r="K1561" t="str">
            <v>318 Ward Ave</v>
          </cell>
          <cell r="L1561" t="str">
            <v>NJ</v>
          </cell>
          <cell r="M1561">
            <v>8505</v>
          </cell>
          <cell r="N1561" t="str">
            <v>318 Ward Ave Bordentown, NJ 08505</v>
          </cell>
        </row>
        <row r="1562">
          <cell r="G1562">
            <v>433181</v>
          </cell>
          <cell r="H1562" t="str">
            <v>Custom Cleaners</v>
          </cell>
          <cell r="I1562" t="str">
            <v>Doylestown</v>
          </cell>
          <cell r="J1562" t="str">
            <v>Philly Suburbs - North</v>
          </cell>
          <cell r="K1562" t="str">
            <v>550 North St</v>
          </cell>
          <cell r="L1562" t="str">
            <v>PA</v>
          </cell>
          <cell r="M1562">
            <v>18901</v>
          </cell>
          <cell r="N1562" t="str">
            <v>550 North St Doylestown, PA 18901</v>
          </cell>
        </row>
        <row r="1563">
          <cell r="G1563">
            <v>246489</v>
          </cell>
          <cell r="H1563" t="str">
            <v>Ray Vandegrift</v>
          </cell>
          <cell r="I1563" t="str">
            <v>Jenkintown</v>
          </cell>
          <cell r="K1563" t="str">
            <v>714 Kirkwood St</v>
          </cell>
          <cell r="L1563" t="str">
            <v>PA</v>
          </cell>
          <cell r="M1563">
            <v>19046</v>
          </cell>
          <cell r="N1563" t="str">
            <v>714 Kirkwood St Jenkintown, PA 19046</v>
          </cell>
        </row>
        <row r="1564">
          <cell r="G1564">
            <v>469875</v>
          </cell>
          <cell r="H1564" t="str">
            <v>U GRO YORK</v>
          </cell>
          <cell r="I1564" t="str">
            <v>York</v>
          </cell>
          <cell r="K1564" t="str">
            <v>1321 N Sherman St</v>
          </cell>
          <cell r="L1564" t="str">
            <v>PA</v>
          </cell>
          <cell r="M1564">
            <v>17406</v>
          </cell>
          <cell r="N1564" t="str">
            <v>1321 N Sherman St York, PA 17406</v>
          </cell>
        </row>
        <row r="1565">
          <cell r="G1565">
            <v>417177</v>
          </cell>
          <cell r="H1565" t="str">
            <v>Gusz Maintenance Bldg.</v>
          </cell>
          <cell r="I1565" t="str">
            <v>Trenton</v>
          </cell>
          <cell r="K1565" t="str">
            <v>220 Ewingville Rd</v>
          </cell>
          <cell r="L1565" t="str">
            <v>NJ</v>
          </cell>
          <cell r="M1565">
            <v>8638</v>
          </cell>
          <cell r="N1565" t="str">
            <v>220 Ewingville Rd Trenton, NJ 08638</v>
          </cell>
        </row>
        <row r="1566">
          <cell r="G1566">
            <v>313525</v>
          </cell>
          <cell r="H1566" t="str">
            <v>Lutheran Manor of the Lehigh V</v>
          </cell>
          <cell r="I1566" t="str">
            <v>Bethlehem</v>
          </cell>
          <cell r="K1566" t="str">
            <v>2085 Westgate Dr</v>
          </cell>
          <cell r="L1566" t="str">
            <v>PA</v>
          </cell>
          <cell r="M1566">
            <v>18017</v>
          </cell>
          <cell r="N1566" t="str">
            <v>2085 Westgate Dr Bethlehem, PA 18017</v>
          </cell>
        </row>
        <row r="1567">
          <cell r="G1567">
            <v>239680</v>
          </cell>
          <cell r="H1567" t="str">
            <v>COMMUNITY BIBLE CHURCH</v>
          </cell>
          <cell r="I1567" t="str">
            <v>Palmyra</v>
          </cell>
          <cell r="K1567" t="str">
            <v>1849 S Forge Rd</v>
          </cell>
          <cell r="L1567" t="str">
            <v>PA</v>
          </cell>
          <cell r="M1567">
            <v>17078</v>
          </cell>
          <cell r="N1567" t="str">
            <v>1849 S Forge Rd Palmyra, PA 17078</v>
          </cell>
        </row>
        <row r="1568">
          <cell r="G1568">
            <v>432862</v>
          </cell>
          <cell r="H1568" t="str">
            <v>SHICK ELEMENTARY SCHOOL</v>
          </cell>
          <cell r="I1568" t="str">
            <v>Montoursville</v>
          </cell>
          <cell r="K1568" t="str">
            <v>2800 Four Mile Dr</v>
          </cell>
          <cell r="L1568" t="str">
            <v>PA</v>
          </cell>
          <cell r="M1568">
            <v>17754</v>
          </cell>
          <cell r="N1568" t="str">
            <v>2800 Four Mile Dr Montoursville, PA 17754</v>
          </cell>
        </row>
        <row r="1569">
          <cell r="G1569">
            <v>345426</v>
          </cell>
          <cell r="H1569" t="str">
            <v>VIC'S CARPET DRY CLEANERS &amp; DR</v>
          </cell>
          <cell r="I1569" t="str">
            <v>Coatesville</v>
          </cell>
          <cell r="K1569" t="str">
            <v>1149 Lone Eagle Rd</v>
          </cell>
          <cell r="L1569" t="str">
            <v>PA</v>
          </cell>
          <cell r="M1569">
            <v>19320</v>
          </cell>
          <cell r="N1569" t="str">
            <v>1149 Lone Eagle Rd Coatesville, PA 19320</v>
          </cell>
        </row>
        <row r="1570">
          <cell r="G1570">
            <v>481482</v>
          </cell>
          <cell r="H1570" t="str">
            <v>Exeter Jr High School</v>
          </cell>
          <cell r="I1570" t="str">
            <v>Reading</v>
          </cell>
          <cell r="K1570" t="str">
            <v>151 East 39th St</v>
          </cell>
          <cell r="L1570" t="str">
            <v>PA</v>
          </cell>
          <cell r="M1570">
            <v>19606</v>
          </cell>
          <cell r="N1570" t="str">
            <v>151 East 39th St Reading, PA 19606</v>
          </cell>
        </row>
        <row r="1571">
          <cell r="G1571">
            <v>469846</v>
          </cell>
          <cell r="H1571" t="str">
            <v>U GRO HARRISBURG EAST</v>
          </cell>
          <cell r="I1571" t="str">
            <v>Harrisburg</v>
          </cell>
          <cell r="K1571" t="str">
            <v>3880 Tecport Dr</v>
          </cell>
          <cell r="L1571" t="str">
            <v>PA</v>
          </cell>
          <cell r="M1571">
            <v>17111</v>
          </cell>
          <cell r="N1571" t="str">
            <v>3880 Tecport Dr Harrisburg, PA 17111</v>
          </cell>
        </row>
        <row r="1572">
          <cell r="G1572">
            <v>246517</v>
          </cell>
          <cell r="H1572" t="str">
            <v>Abington Township Waste Water</v>
          </cell>
          <cell r="I1572" t="str">
            <v>Abington</v>
          </cell>
          <cell r="J1572" t="str">
            <v>Philly Suburbs - Lower</v>
          </cell>
          <cell r="K1572" t="str">
            <v>1000 Fitzwatertown Rd</v>
          </cell>
          <cell r="L1572" t="str">
            <v>PA</v>
          </cell>
          <cell r="M1572">
            <v>19001</v>
          </cell>
          <cell r="N1572" t="str">
            <v>1000 Fitzwatertown Rd Abington, PA 19001</v>
          </cell>
        </row>
        <row r="1573">
          <cell r="G1573">
            <v>417281</v>
          </cell>
          <cell r="H1573" t="str">
            <v>George Read Middle School</v>
          </cell>
          <cell r="I1573" t="str">
            <v>New Castle</v>
          </cell>
          <cell r="K1573" t="str">
            <v>314 E Basin Rd</v>
          </cell>
          <cell r="L1573" t="str">
            <v>DE</v>
          </cell>
          <cell r="M1573">
            <v>19720</v>
          </cell>
          <cell r="N1573" t="str">
            <v>314 E Basin Rd New Castle, DE 19720</v>
          </cell>
        </row>
        <row r="1574">
          <cell r="G1574">
            <v>310872</v>
          </cell>
          <cell r="H1574" t="str">
            <v>Scott Kia of Springfield</v>
          </cell>
          <cell r="I1574" t="str">
            <v>SPRINGFIELD</v>
          </cell>
          <cell r="K1574" t="str">
            <v>321 Baltimore Pike</v>
          </cell>
          <cell r="L1574" t="str">
            <v>PA</v>
          </cell>
          <cell r="M1574">
            <v>19064</v>
          </cell>
          <cell r="N1574" t="str">
            <v>321 Baltimore Pike SPRINGFIELD, PA 19064</v>
          </cell>
        </row>
        <row r="1575">
          <cell r="G1575">
            <v>482720</v>
          </cell>
          <cell r="H1575" t="str">
            <v>Garden Warehouse</v>
          </cell>
          <cell r="I1575" t="str">
            <v>Manheim</v>
          </cell>
          <cell r="K1575" t="str">
            <v>640 Graystone Rd</v>
          </cell>
          <cell r="L1575" t="str">
            <v>PA</v>
          </cell>
          <cell r="M1575">
            <v>17545</v>
          </cell>
          <cell r="N1575" t="str">
            <v>640 Graystone Rd Manheim, PA 17545</v>
          </cell>
        </row>
        <row r="1576">
          <cell r="G1576">
            <v>481207</v>
          </cell>
          <cell r="H1576" t="str">
            <v>Student Services Maintenance</v>
          </cell>
          <cell r="I1576" t="str">
            <v>Millersville</v>
          </cell>
          <cell r="K1576" t="str">
            <v>508 Hillview Ave</v>
          </cell>
          <cell r="L1576" t="str">
            <v>PA</v>
          </cell>
          <cell r="M1576">
            <v>17551</v>
          </cell>
          <cell r="N1576" t="str">
            <v>508 Hillview Ave Millersville, PA 17551</v>
          </cell>
        </row>
        <row r="1577">
          <cell r="G1577">
            <v>483423</v>
          </cell>
          <cell r="H1577" t="str">
            <v>Manor Church C/O</v>
          </cell>
          <cell r="I1577" t="str">
            <v>Lancaster</v>
          </cell>
          <cell r="K1577" t="str">
            <v>530 Central Manor Rd</v>
          </cell>
          <cell r="L1577" t="str">
            <v>PA</v>
          </cell>
          <cell r="M1577">
            <v>17603</v>
          </cell>
          <cell r="N1577" t="str">
            <v>530 Central Manor Rd Lancaster, PA 17603</v>
          </cell>
        </row>
        <row r="1578">
          <cell r="G1578">
            <v>322474</v>
          </cell>
          <cell r="H1578" t="str">
            <v>Fox &amp; Roach</v>
          </cell>
          <cell r="I1578" t="str">
            <v>HAVERFORD</v>
          </cell>
          <cell r="K1578" t="str">
            <v>338 W Lancaster Ave</v>
          </cell>
          <cell r="L1578" t="str">
            <v>PA</v>
          </cell>
          <cell r="M1578">
            <v>19041</v>
          </cell>
          <cell r="N1578" t="str">
            <v>338 W Lancaster Ave HAVERFORD, PA 19041</v>
          </cell>
        </row>
        <row r="1579">
          <cell r="G1579">
            <v>324863</v>
          </cell>
          <cell r="H1579" t="str">
            <v>St Simon and Jude Church</v>
          </cell>
          <cell r="I1579" t="str">
            <v>West Chester</v>
          </cell>
          <cell r="K1579" t="str">
            <v>8 Cavanaugh Ct</v>
          </cell>
          <cell r="L1579" t="str">
            <v>PA</v>
          </cell>
          <cell r="M1579">
            <v>19382</v>
          </cell>
          <cell r="N1579" t="str">
            <v>8 Cavanaugh Ct West Chester, PA 19382</v>
          </cell>
        </row>
        <row r="1580">
          <cell r="G1580">
            <v>243997</v>
          </cell>
          <cell r="H1580" t="str">
            <v>Moravian Academy</v>
          </cell>
          <cell r="I1580" t="str">
            <v>Bethlehem</v>
          </cell>
          <cell r="K1580" t="str">
            <v>4313 Green Pond Rd</v>
          </cell>
          <cell r="L1580" t="str">
            <v>PA</v>
          </cell>
          <cell r="M1580">
            <v>18020</v>
          </cell>
          <cell r="N1580" t="str">
            <v>4313 Green Pond Rd Bethlehem, PA 18020</v>
          </cell>
        </row>
        <row r="1581">
          <cell r="G1581">
            <v>482582</v>
          </cell>
          <cell r="H1581" t="str">
            <v>Dan Baylor Union Canal Element</v>
          </cell>
          <cell r="I1581" t="str">
            <v>Lebanon</v>
          </cell>
          <cell r="K1581" t="str">
            <v>400 Narrows Dr</v>
          </cell>
          <cell r="L1581" t="str">
            <v>PA</v>
          </cell>
          <cell r="M1581">
            <v>17046</v>
          </cell>
          <cell r="N1581" t="str">
            <v>400 Narrows Dr Lebanon, PA 17046</v>
          </cell>
        </row>
        <row r="1582">
          <cell r="G1582">
            <v>254001</v>
          </cell>
          <cell r="H1582" t="str">
            <v>QUALITY STONE VENEER INC#</v>
          </cell>
          <cell r="I1582" t="str">
            <v>REFTON</v>
          </cell>
          <cell r="K1582" t="str">
            <v>50 REFTON ROAD</v>
          </cell>
          <cell r="L1582" t="str">
            <v>PA</v>
          </cell>
          <cell r="M1582">
            <v>17568</v>
          </cell>
          <cell r="N1582" t="str">
            <v>50 REFTON ROAD REFTON, PA 17568</v>
          </cell>
        </row>
        <row r="1583">
          <cell r="G1583">
            <v>461041</v>
          </cell>
          <cell r="H1583" t="str">
            <v>QUALITY STONE VENEER INC</v>
          </cell>
          <cell r="I1583" t="str">
            <v>Tower City</v>
          </cell>
          <cell r="K1583" t="str">
            <v>251 Clarks Valley Rd</v>
          </cell>
          <cell r="L1583" t="str">
            <v>PA</v>
          </cell>
          <cell r="M1583">
            <v>17980</v>
          </cell>
          <cell r="N1583" t="str">
            <v>251 Clarks Valley Rd Tower City, PA 17980</v>
          </cell>
        </row>
        <row r="1584">
          <cell r="G1584">
            <v>479347</v>
          </cell>
          <cell r="H1584" t="str">
            <v>RE Manufacturing</v>
          </cell>
          <cell r="I1584" t="str">
            <v>REFTON</v>
          </cell>
          <cell r="K1584" t="str">
            <v>117 Church St</v>
          </cell>
          <cell r="L1584" t="str">
            <v>PA</v>
          </cell>
          <cell r="M1584">
            <v>17568</v>
          </cell>
          <cell r="N1584" t="str">
            <v>117 Church St REFTON, PA 17568</v>
          </cell>
        </row>
        <row r="1585">
          <cell r="G1585">
            <v>242361</v>
          </cell>
          <cell r="H1585" t="str">
            <v>WESLEY U M CHURCH</v>
          </cell>
          <cell r="I1585" t="str">
            <v>Strasburg</v>
          </cell>
          <cell r="K1585" t="str">
            <v>40 W Main St</v>
          </cell>
          <cell r="L1585" t="str">
            <v>PA</v>
          </cell>
          <cell r="M1585">
            <v>17579</v>
          </cell>
          <cell r="N1585" t="str">
            <v>40 W Main St Strasburg, PA 17579</v>
          </cell>
        </row>
        <row r="1586">
          <cell r="G1586">
            <v>241447</v>
          </cell>
          <cell r="H1586" t="str">
            <v>PIONEER HI BRED INTL INC</v>
          </cell>
          <cell r="I1586" t="str">
            <v>ELIZABETHTOWN</v>
          </cell>
          <cell r="K1586" t="str">
            <v>68 Industrial Rd</v>
          </cell>
          <cell r="L1586" t="str">
            <v>PA</v>
          </cell>
          <cell r="M1586">
            <v>17022</v>
          </cell>
          <cell r="N1586" t="str">
            <v>68 Industrial Rd ELIZABETHTOWN, PA 17022</v>
          </cell>
        </row>
        <row r="1587">
          <cell r="G1587">
            <v>241040</v>
          </cell>
          <cell r="H1587" t="str">
            <v>MARTIN APPLIANCE</v>
          </cell>
          <cell r="I1587" t="str">
            <v>New Providence</v>
          </cell>
          <cell r="K1587" t="str">
            <v>2318 Beaver Valley Pike</v>
          </cell>
          <cell r="L1587" t="str">
            <v>PA</v>
          </cell>
          <cell r="M1587">
            <v>17560</v>
          </cell>
          <cell r="N1587" t="str">
            <v>2318 Beaver Valley Pike New Providence, PA 17560</v>
          </cell>
        </row>
        <row r="1588">
          <cell r="G1588">
            <v>452492</v>
          </cell>
          <cell r="H1588" t="str">
            <v>Lakeview Campus</v>
          </cell>
          <cell r="I1588" t="str">
            <v>Doylestown</v>
          </cell>
          <cell r="J1588" t="str">
            <v>Philly Suburbs - North</v>
          </cell>
          <cell r="K1588" t="str">
            <v>2425 Lower State Rd</v>
          </cell>
          <cell r="L1588" t="str">
            <v>PA</v>
          </cell>
          <cell r="M1588">
            <v>18901</v>
          </cell>
          <cell r="N1588" t="str">
            <v>2425 Lower State Rd Doylestown, PA 18901</v>
          </cell>
        </row>
        <row r="1589">
          <cell r="G1589">
            <v>243448</v>
          </cell>
          <cell r="H1589" t="str">
            <v>West End Fire Co. No. 2</v>
          </cell>
          <cell r="I1589" t="str">
            <v>Quakertown</v>
          </cell>
          <cell r="K1589" t="str">
            <v>1319 Park Ave</v>
          </cell>
          <cell r="L1589" t="str">
            <v>PA</v>
          </cell>
          <cell r="M1589">
            <v>18951</v>
          </cell>
          <cell r="N1589" t="str">
            <v>1319 Park Ave Quakertown, PA 18951</v>
          </cell>
        </row>
        <row r="1590">
          <cell r="G1590">
            <v>479159</v>
          </cell>
          <cell r="H1590" t="str">
            <v>Madison HS</v>
          </cell>
          <cell r="I1590" t="str">
            <v>Chester</v>
          </cell>
          <cell r="K1590" t="str">
            <v>D1 100 East 5th Street</v>
          </cell>
          <cell r="L1590" t="str">
            <v>PA</v>
          </cell>
          <cell r="M1590">
            <v>19013</v>
          </cell>
          <cell r="N1590" t="str">
            <v>D1 100 East 5th Street Chester, PA 19013</v>
          </cell>
        </row>
        <row r="1591">
          <cell r="G1591">
            <v>475113</v>
          </cell>
          <cell r="H1591" t="str">
            <v>TOM MASANO FORD</v>
          </cell>
          <cell r="I1591" t="str">
            <v>Reading</v>
          </cell>
          <cell r="K1591" t="str">
            <v>1600 Lancaster Ave</v>
          </cell>
          <cell r="L1591" t="str">
            <v>PA</v>
          </cell>
          <cell r="M1591">
            <v>19607</v>
          </cell>
          <cell r="N1591" t="str">
            <v>1600 Lancaster Ave Reading, PA 19607</v>
          </cell>
        </row>
        <row r="1592">
          <cell r="G1592">
            <v>244609</v>
          </cell>
          <cell r="H1592" t="str">
            <v>Casapulla's</v>
          </cell>
          <cell r="I1592" t="str">
            <v>Newark</v>
          </cell>
          <cell r="K1592" t="str">
            <v>2480 Glasgow Ave</v>
          </cell>
          <cell r="L1592" t="str">
            <v>DE</v>
          </cell>
          <cell r="M1592">
            <v>19702</v>
          </cell>
          <cell r="N1592" t="str">
            <v>2480 Glasgow Ave Newark, DE 19702</v>
          </cell>
        </row>
        <row r="1593">
          <cell r="G1593">
            <v>345907</v>
          </cell>
          <cell r="H1593" t="str">
            <v>VEOLIA - MIDDLETOWN WATER</v>
          </cell>
          <cell r="I1593" t="str">
            <v>MIDDLETOWN</v>
          </cell>
          <cell r="K1593" t="str">
            <v>453 S Lawrence St</v>
          </cell>
          <cell r="L1593" t="str">
            <v>PA</v>
          </cell>
          <cell r="M1593">
            <v>17057</v>
          </cell>
          <cell r="N1593" t="str">
            <v>453 S Lawrence St MIDDLETOWN, PA 17057</v>
          </cell>
        </row>
        <row r="1594">
          <cell r="G1594">
            <v>481625</v>
          </cell>
          <cell r="H1594" t="str">
            <v>Woodridge Swim Club</v>
          </cell>
          <cell r="I1594" t="str">
            <v>Lititz</v>
          </cell>
          <cell r="K1594" t="str">
            <v>50 West 7th Street</v>
          </cell>
          <cell r="L1594" t="str">
            <v>PA</v>
          </cell>
          <cell r="M1594">
            <v>17543</v>
          </cell>
          <cell r="N1594" t="str">
            <v>50 West 7th Street Lititz, PA 17543</v>
          </cell>
        </row>
        <row r="1595">
          <cell r="G1595">
            <v>239710</v>
          </cell>
          <cell r="H1595" t="str">
            <v>CONRAD WEISER SCHOOL DISTRICT</v>
          </cell>
          <cell r="I1595" t="str">
            <v>Robesonia</v>
          </cell>
          <cell r="K1595" t="str">
            <v>44 Big Spring Rd</v>
          </cell>
          <cell r="L1595" t="str">
            <v>PA</v>
          </cell>
          <cell r="M1595">
            <v>19551</v>
          </cell>
          <cell r="N1595" t="str">
            <v>44 Big Spring Rd Robesonia, PA 19551</v>
          </cell>
        </row>
        <row r="1596">
          <cell r="G1596">
            <v>244097</v>
          </cell>
          <cell r="H1596" t="str">
            <v>Oreland Swim Club Inc.</v>
          </cell>
          <cell r="I1596" t="str">
            <v>Oreland</v>
          </cell>
          <cell r="K1596" t="str">
            <v>190 Paper Mill Road</v>
          </cell>
          <cell r="L1596" t="str">
            <v>PA</v>
          </cell>
          <cell r="M1596">
            <v>19075</v>
          </cell>
          <cell r="N1596" t="str">
            <v>190 Paper Mill Road Oreland, PA 19075</v>
          </cell>
        </row>
        <row r="1597">
          <cell r="G1597">
            <v>308948</v>
          </cell>
          <cell r="H1597" t="str">
            <v>TODDS PRO CLEAN#</v>
          </cell>
          <cell r="I1597" t="str">
            <v>Pequea</v>
          </cell>
          <cell r="K1597" t="str">
            <v>26 Lake Aldred Ter</v>
          </cell>
          <cell r="L1597" t="str">
            <v>PA</v>
          </cell>
          <cell r="M1597">
            <v>17565</v>
          </cell>
          <cell r="N1597" t="str">
            <v>26 Lake Aldred Ter Pequea, PA 17565</v>
          </cell>
        </row>
        <row r="1598">
          <cell r="G1598">
            <v>311895</v>
          </cell>
          <cell r="H1598" t="str">
            <v>EFFECT DISTRIBUTOR</v>
          </cell>
          <cell r="I1598" t="str">
            <v>Lancaster</v>
          </cell>
          <cell r="K1598" t="str">
            <v>799 Flory Mill Rd</v>
          </cell>
          <cell r="L1598" t="str">
            <v>PA</v>
          </cell>
          <cell r="M1598">
            <v>17601</v>
          </cell>
          <cell r="N1598" t="str">
            <v>799 Flory Mill Rd Lancaster, PA 17601</v>
          </cell>
        </row>
        <row r="1599">
          <cell r="G1599">
            <v>415717</v>
          </cell>
          <cell r="H1599" t="str">
            <v>STAR DENTAL</v>
          </cell>
          <cell r="I1599" t="str">
            <v>Lancaster</v>
          </cell>
          <cell r="K1599" t="str">
            <v>1816 Colonial Village Ln</v>
          </cell>
          <cell r="L1599" t="str">
            <v>PA</v>
          </cell>
          <cell r="M1599">
            <v>17601</v>
          </cell>
          <cell r="N1599" t="str">
            <v>1816 Colonial Village Ln Lancaster, PA 17601</v>
          </cell>
        </row>
        <row r="1600">
          <cell r="G1600">
            <v>241116</v>
          </cell>
          <cell r="H1600" t="str">
            <v>MIDDLE CREEK CHURCH</v>
          </cell>
          <cell r="I1600" t="str">
            <v>Lititz</v>
          </cell>
          <cell r="K1600" t="str">
            <v>351 Middle Creek Rd</v>
          </cell>
          <cell r="L1600" t="str">
            <v>PA</v>
          </cell>
          <cell r="M1600">
            <v>17543</v>
          </cell>
          <cell r="N1600" t="str">
            <v>351 Middle Creek Rd Lititz, PA 17543</v>
          </cell>
        </row>
        <row r="1601">
          <cell r="G1601">
            <v>415419</v>
          </cell>
          <cell r="H1601" t="str">
            <v>CLEARVIEW MENNONITE SCHOOL</v>
          </cell>
          <cell r="I1601" t="str">
            <v>Manheim</v>
          </cell>
          <cell r="K1601" t="str">
            <v>110 N Esbenshade Rd</v>
          </cell>
          <cell r="L1601" t="str">
            <v>PA</v>
          </cell>
          <cell r="M1601">
            <v>17545</v>
          </cell>
          <cell r="N1601" t="str">
            <v>110 N Esbenshade Rd Manheim, PA 17545</v>
          </cell>
        </row>
        <row r="1602">
          <cell r="G1602">
            <v>331019</v>
          </cell>
          <cell r="H1602" t="str">
            <v>Second Alarmer's Rescue Squad</v>
          </cell>
          <cell r="I1602" t="str">
            <v>WILLOW GROVE</v>
          </cell>
          <cell r="J1602" t="str">
            <v>Philly Suburbs - North</v>
          </cell>
          <cell r="K1602" t="str">
            <v>307 Davisville Rd</v>
          </cell>
          <cell r="L1602" t="str">
            <v>PA</v>
          </cell>
          <cell r="M1602">
            <v>19090</v>
          </cell>
          <cell r="N1602" t="str">
            <v>307 Davisville Rd WILLOW GROVE, PA 19090</v>
          </cell>
        </row>
        <row r="1603">
          <cell r="G1603">
            <v>240809</v>
          </cell>
          <cell r="H1603" t="str">
            <v>LANCO MICRO MIDGET AUTO#</v>
          </cell>
          <cell r="I1603" t="str">
            <v>Manheim</v>
          </cell>
          <cell r="K1603" t="str">
            <v>1244 Carole Ln</v>
          </cell>
          <cell r="L1603" t="str">
            <v>PA</v>
          </cell>
          <cell r="M1603">
            <v>17545</v>
          </cell>
          <cell r="N1603" t="str">
            <v>1244 Carole Ln Manheim, PA 17545</v>
          </cell>
        </row>
        <row r="1604">
          <cell r="G1604">
            <v>240284</v>
          </cell>
          <cell r="H1604" t="str">
            <v>GSM INDUSTRIAL</v>
          </cell>
          <cell r="I1604" t="str">
            <v>Lancaster</v>
          </cell>
          <cell r="K1604" t="str">
            <v>3249 Hempland Rd</v>
          </cell>
          <cell r="L1604" t="str">
            <v>PA</v>
          </cell>
          <cell r="M1604">
            <v>17601</v>
          </cell>
          <cell r="N1604" t="str">
            <v>3249 Hempland Rd Lancaster, PA 17601</v>
          </cell>
        </row>
        <row r="1605">
          <cell r="G1605">
            <v>244074</v>
          </cell>
          <cell r="H1605" t="str">
            <v>North &amp; Southampton Reformed C</v>
          </cell>
          <cell r="I1605" t="str">
            <v>Churchville</v>
          </cell>
          <cell r="J1605" t="str">
            <v>Philly Suburbs - North</v>
          </cell>
          <cell r="K1605" t="str">
            <v>1380 Bristol Rd</v>
          </cell>
          <cell r="L1605" t="str">
            <v>PA</v>
          </cell>
          <cell r="M1605">
            <v>18966</v>
          </cell>
          <cell r="N1605" t="str">
            <v>1380 Bristol Rd Churchville, PA 18966</v>
          </cell>
        </row>
        <row r="1606">
          <cell r="G1606">
            <v>482405</v>
          </cell>
          <cell r="H1606" t="str">
            <v>The Road</v>
          </cell>
          <cell r="I1606" t="str">
            <v>Harrisburg</v>
          </cell>
          <cell r="K1606" t="str">
            <v>5480 Linglestown Road</v>
          </cell>
          <cell r="L1606" t="str">
            <v>PA</v>
          </cell>
          <cell r="M1606">
            <v>17112</v>
          </cell>
          <cell r="N1606" t="str">
            <v>5480 Linglestown Road Harrisburg, PA 17112</v>
          </cell>
        </row>
        <row r="1607">
          <cell r="G1607">
            <v>479160</v>
          </cell>
          <cell r="H1607" t="str">
            <v>Madison HS</v>
          </cell>
          <cell r="I1607" t="str">
            <v>Chester</v>
          </cell>
          <cell r="K1607" t="str">
            <v>D2 200 East 5th Street</v>
          </cell>
          <cell r="L1607" t="str">
            <v>PA</v>
          </cell>
          <cell r="M1607">
            <v>19013</v>
          </cell>
          <cell r="N1607" t="str">
            <v>D2 200 East 5th Street Chester, PA 19013</v>
          </cell>
        </row>
        <row r="1608">
          <cell r="G1608">
            <v>254678</v>
          </cell>
          <cell r="H1608" t="str">
            <v>Avalon Board of Education</v>
          </cell>
          <cell r="I1608" t="str">
            <v>Avalon</v>
          </cell>
          <cell r="J1608" t="str">
            <v>Jersey Shore</v>
          </cell>
          <cell r="K1608" t="str">
            <v>235 32nd St</v>
          </cell>
          <cell r="L1608" t="str">
            <v>NJ</v>
          </cell>
          <cell r="M1608">
            <v>8202</v>
          </cell>
          <cell r="N1608" t="str">
            <v>235 32nd St Avalon, NJ 08202</v>
          </cell>
        </row>
        <row r="1609">
          <cell r="G1609">
            <v>239279</v>
          </cell>
          <cell r="H1609" t="str">
            <v>BELL TOWER SALON &amp; SPA</v>
          </cell>
          <cell r="I1609" t="str">
            <v>Wyomissing</v>
          </cell>
          <cell r="K1609" t="str">
            <v>18 State Hill Rd</v>
          </cell>
          <cell r="L1609" t="str">
            <v>PA</v>
          </cell>
          <cell r="M1609">
            <v>19610</v>
          </cell>
          <cell r="N1609" t="str">
            <v>18 State Hill Rd Wyomissing, PA 19610</v>
          </cell>
        </row>
        <row r="1610">
          <cell r="G1610">
            <v>240900</v>
          </cell>
          <cell r="H1610" t="str">
            <v>LITITZ REC CENTER</v>
          </cell>
          <cell r="I1610" t="str">
            <v>Lititz</v>
          </cell>
          <cell r="K1610" t="str">
            <v>301 Maple St</v>
          </cell>
          <cell r="L1610" t="str">
            <v>PA</v>
          </cell>
          <cell r="M1610">
            <v>17543</v>
          </cell>
          <cell r="N1610" t="str">
            <v>301 Maple St Lititz, PA 17543</v>
          </cell>
        </row>
        <row r="1611">
          <cell r="G1611">
            <v>251825</v>
          </cell>
          <cell r="H1611" t="str">
            <v>Freedom Village at Brandywine</v>
          </cell>
          <cell r="I1611" t="str">
            <v>West Brandywine</v>
          </cell>
          <cell r="K1611" t="str">
            <v>15 Freedom Blvd</v>
          </cell>
          <cell r="L1611" t="str">
            <v>PA</v>
          </cell>
          <cell r="M1611">
            <v>19320</v>
          </cell>
          <cell r="N1611" t="str">
            <v>15 Freedom Blvd West Brandywine, PA 19320</v>
          </cell>
        </row>
        <row r="1612">
          <cell r="G1612">
            <v>484067</v>
          </cell>
          <cell r="H1612" t="str">
            <v>Morrisville Child Care Center</v>
          </cell>
          <cell r="I1612" t="str">
            <v>Morrisville</v>
          </cell>
          <cell r="K1612" t="str">
            <v>200 N PENNSYLVANIA AVE</v>
          </cell>
          <cell r="L1612" t="str">
            <v>PA</v>
          </cell>
          <cell r="M1612">
            <v>19067</v>
          </cell>
          <cell r="N1612" t="str">
            <v>200 N PENNSYLVANIA AVE Morrisville, PA 19067</v>
          </cell>
        </row>
        <row r="1613">
          <cell r="G1613">
            <v>266156</v>
          </cell>
          <cell r="H1613" t="str">
            <v>Cape May County Special Servic</v>
          </cell>
          <cell r="I1613" t="str">
            <v>Cape May Court House</v>
          </cell>
          <cell r="K1613" t="str">
            <v>4 Moore Rd</v>
          </cell>
          <cell r="L1613" t="str">
            <v>NJ</v>
          </cell>
          <cell r="M1613">
            <v>8210</v>
          </cell>
          <cell r="N1613" t="str">
            <v>4 Moore Rd Cape May Court House, NJ 08210</v>
          </cell>
        </row>
        <row r="1614">
          <cell r="G1614">
            <v>242926</v>
          </cell>
          <cell r="H1614" t="str">
            <v>ASI Technologies Inc.</v>
          </cell>
          <cell r="I1614" t="str">
            <v>Montgomeryville</v>
          </cell>
          <cell r="K1614" t="str">
            <v>209 Progress Dr</v>
          </cell>
          <cell r="L1614" t="str">
            <v>PA</v>
          </cell>
          <cell r="M1614">
            <v>18936</v>
          </cell>
          <cell r="N1614" t="str">
            <v>209 Progress Dr Montgomeryville, PA 18936</v>
          </cell>
        </row>
        <row r="1615">
          <cell r="G1615">
            <v>245598</v>
          </cell>
          <cell r="H1615" t="str">
            <v>Unionville-Chadds Ford School</v>
          </cell>
          <cell r="I1615" t="str">
            <v>Kennett Square</v>
          </cell>
          <cell r="K1615" t="str">
            <v>740 Unionville Rd</v>
          </cell>
          <cell r="L1615" t="str">
            <v>PA</v>
          </cell>
          <cell r="M1615">
            <v>19348</v>
          </cell>
          <cell r="N1615" t="str">
            <v>740 Unionville Rd Kennett Square, PA 19348</v>
          </cell>
        </row>
        <row r="1616">
          <cell r="G1616">
            <v>436136</v>
          </cell>
          <cell r="H1616" t="str">
            <v>Gill St Bernard's School</v>
          </cell>
          <cell r="I1616" t="str">
            <v>Gladstone</v>
          </cell>
          <cell r="K1616" t="str">
            <v>25 St Bernards Rd</v>
          </cell>
          <cell r="L1616" t="str">
            <v>NJ</v>
          </cell>
          <cell r="M1616">
            <v>7934</v>
          </cell>
          <cell r="N1616" t="str">
            <v>25 St Bernards Rd Gladstone, NJ 07934</v>
          </cell>
        </row>
        <row r="1617">
          <cell r="G1617">
            <v>240168</v>
          </cell>
          <cell r="H1617" t="str">
            <v>GARDEN SPOT ELECTRIC INC</v>
          </cell>
          <cell r="I1617" t="str">
            <v>Manheim</v>
          </cell>
          <cell r="K1617" t="str">
            <v>360 Hostetter Rd</v>
          </cell>
          <cell r="L1617" t="str">
            <v>PA</v>
          </cell>
          <cell r="M1617">
            <v>17545</v>
          </cell>
          <cell r="N1617" t="str">
            <v>360 Hostetter Rd Manheim, PA 17545</v>
          </cell>
        </row>
        <row r="1618">
          <cell r="G1618">
            <v>246164</v>
          </cell>
          <cell r="H1618" t="str">
            <v>Church of St Andrews</v>
          </cell>
          <cell r="I1618" t="str">
            <v>Newtown</v>
          </cell>
          <cell r="K1618" t="str">
            <v>81 Swamp Rd</v>
          </cell>
          <cell r="L1618" t="str">
            <v>PA</v>
          </cell>
          <cell r="M1618">
            <v>18940</v>
          </cell>
          <cell r="N1618" t="str">
            <v>81 Swamp Rd Newtown, PA 18940</v>
          </cell>
        </row>
        <row r="1619">
          <cell r="G1619">
            <v>456996</v>
          </cell>
          <cell r="H1619" t="str">
            <v>BluePearl Veterinary Partners</v>
          </cell>
          <cell r="I1619" t="str">
            <v>Levittown</v>
          </cell>
          <cell r="J1619" t="str">
            <v>Philly - NE</v>
          </cell>
          <cell r="K1619" t="str">
            <v>301 Veterans Hwy</v>
          </cell>
          <cell r="L1619" t="str">
            <v>PA</v>
          </cell>
          <cell r="M1619">
            <v>19056</v>
          </cell>
          <cell r="N1619" t="str">
            <v>301 Veterans Hwy Levittown, PA 19056</v>
          </cell>
        </row>
        <row r="1620">
          <cell r="G1620">
            <v>242271</v>
          </cell>
          <cell r="H1620" t="str">
            <v>VERSATEK ENTERPRISES INC#</v>
          </cell>
          <cell r="I1620" t="str">
            <v>Lititz</v>
          </cell>
          <cell r="K1620" t="str">
            <v>508 Front St</v>
          </cell>
          <cell r="L1620" t="str">
            <v>PA</v>
          </cell>
          <cell r="M1620">
            <v>17543</v>
          </cell>
          <cell r="N1620" t="str">
            <v>508 Front St Lititz, PA 17543</v>
          </cell>
        </row>
        <row r="1621">
          <cell r="G1621">
            <v>480493</v>
          </cell>
          <cell r="H1621" t="str">
            <v>MASONIC VILLAGE CLUBHOUSE</v>
          </cell>
          <cell r="I1621" t="str">
            <v>ELIZABETHTOWN</v>
          </cell>
          <cell r="K1621" t="str">
            <v>515 James Buchanan Dr</v>
          </cell>
          <cell r="L1621" t="str">
            <v>PA</v>
          </cell>
          <cell r="M1621">
            <v>17022</v>
          </cell>
          <cell r="N1621" t="str">
            <v>515 James Buchanan Dr ELIZABETHTOWN, PA 17022</v>
          </cell>
        </row>
        <row r="1622">
          <cell r="G1622">
            <v>449679</v>
          </cell>
          <cell r="H1622" t="str">
            <v>LANC COUNTY BIBLE  EPHRATA CAM</v>
          </cell>
          <cell r="I1622" t="str">
            <v>Ephrata</v>
          </cell>
          <cell r="K1622" t="str">
            <v>6 Hahnstown Rd</v>
          </cell>
          <cell r="L1622" t="str">
            <v>PA</v>
          </cell>
          <cell r="M1622">
            <v>17522</v>
          </cell>
          <cell r="N1622" t="str">
            <v>6 Hahnstown Rd Ephrata, PA 17522</v>
          </cell>
        </row>
        <row r="1623">
          <cell r="G1623">
            <v>416963</v>
          </cell>
          <cell r="H1623" t="str">
            <v>Fred Beans Toyota of Flemingto</v>
          </cell>
          <cell r="I1623" t="str">
            <v>Flemington</v>
          </cell>
          <cell r="K1623" t="str">
            <v>174 US Highway 202/31 N</v>
          </cell>
          <cell r="L1623" t="str">
            <v>NJ</v>
          </cell>
          <cell r="M1623">
            <v>8822</v>
          </cell>
          <cell r="N1623" t="str">
            <v>174 US Highway 202/31 N Flemington, NJ 08822</v>
          </cell>
        </row>
        <row r="1624">
          <cell r="G1624">
            <v>296774</v>
          </cell>
          <cell r="H1624" t="str">
            <v>MUNCY SCHOOL DISTRICT</v>
          </cell>
          <cell r="I1624" t="str">
            <v>Muncy</v>
          </cell>
          <cell r="K1624" t="str">
            <v>206 Sherman St</v>
          </cell>
          <cell r="L1624" t="str">
            <v>PA</v>
          </cell>
          <cell r="M1624">
            <v>17756</v>
          </cell>
          <cell r="N1624" t="str">
            <v>206 Sherman St Muncy, PA 17756</v>
          </cell>
        </row>
        <row r="1625">
          <cell r="G1625">
            <v>424421</v>
          </cell>
          <cell r="H1625" t="str">
            <v>Active Realty</v>
          </cell>
          <cell r="I1625" t="str">
            <v>Southampton</v>
          </cell>
          <cell r="J1625" t="str">
            <v>Philly Suburbs - North</v>
          </cell>
          <cell r="K1625" t="str">
            <v>75 James Way</v>
          </cell>
          <cell r="L1625" t="str">
            <v>PA</v>
          </cell>
          <cell r="M1625">
            <v>18966</v>
          </cell>
          <cell r="N1625" t="str">
            <v>75 James Way Southampton, PA 18966</v>
          </cell>
        </row>
        <row r="1626">
          <cell r="G1626">
            <v>455675</v>
          </cell>
          <cell r="H1626" t="str">
            <v>Woodlynne School District</v>
          </cell>
          <cell r="I1626" t="str">
            <v>Woodlynne</v>
          </cell>
          <cell r="J1626" t="str">
            <v>Camden</v>
          </cell>
          <cell r="K1626" t="str">
            <v>131 Elm Ave</v>
          </cell>
          <cell r="L1626" t="str">
            <v>NJ</v>
          </cell>
          <cell r="M1626">
            <v>8107</v>
          </cell>
          <cell r="N1626" t="str">
            <v>131 Elm Ave Woodlynne, NJ 08107</v>
          </cell>
        </row>
        <row r="1627">
          <cell r="G1627">
            <v>245707</v>
          </cell>
          <cell r="H1627" t="str">
            <v>Fred Beans Ford Lincoln Mercur</v>
          </cell>
          <cell r="I1627" t="str">
            <v>Doylestown</v>
          </cell>
          <cell r="J1627" t="str">
            <v>Philly Suburbs - North</v>
          </cell>
          <cell r="K1627" t="str">
            <v>876 N Easton Rd</v>
          </cell>
          <cell r="L1627" t="str">
            <v>PA</v>
          </cell>
          <cell r="M1627">
            <v>18902</v>
          </cell>
          <cell r="N1627" t="str">
            <v>876 N Easton Rd Doylestown, PA 18902</v>
          </cell>
        </row>
        <row r="1628">
          <cell r="G1628">
            <v>244674</v>
          </cell>
          <cell r="H1628" t="str">
            <v>Medford Township Public School</v>
          </cell>
          <cell r="I1628" t="str">
            <v>Medford</v>
          </cell>
          <cell r="J1628" t="str">
            <v>Southampton Twp</v>
          </cell>
          <cell r="K1628" t="str">
            <v>137 Hartford Rd</v>
          </cell>
          <cell r="L1628" t="str">
            <v>NJ</v>
          </cell>
          <cell r="M1628">
            <v>8055</v>
          </cell>
          <cell r="N1628" t="str">
            <v>137 Hartford Rd Medford, NJ 08055</v>
          </cell>
        </row>
        <row r="1629">
          <cell r="G1629">
            <v>331381</v>
          </cell>
          <cell r="H1629" t="str">
            <v>EAGLE BROTHERS AUTO CTR#</v>
          </cell>
          <cell r="I1629" t="str">
            <v>Lebanon</v>
          </cell>
          <cell r="K1629" t="str">
            <v>24 Rocherty Rd</v>
          </cell>
          <cell r="L1629" t="str">
            <v>PA</v>
          </cell>
          <cell r="M1629">
            <v>17042</v>
          </cell>
          <cell r="N1629" t="str">
            <v>24 Rocherty Rd Lebanon, PA 17042</v>
          </cell>
        </row>
        <row r="1630">
          <cell r="G1630">
            <v>278939</v>
          </cell>
          <cell r="H1630" t="str">
            <v>Aardvark Cleaning Company</v>
          </cell>
          <cell r="I1630" t="str">
            <v>Effort</v>
          </cell>
          <cell r="K1630" t="str">
            <v>192 Chipperfield Dr</v>
          </cell>
          <cell r="L1630" t="str">
            <v>PA</v>
          </cell>
          <cell r="M1630">
            <v>18330</v>
          </cell>
          <cell r="N1630" t="str">
            <v>192 Chipperfield Dr Effort, PA 18330</v>
          </cell>
        </row>
        <row r="1631">
          <cell r="G1631">
            <v>345994</v>
          </cell>
          <cell r="H1631" t="str">
            <v>DUTCHWAY HARDWARE</v>
          </cell>
          <cell r="I1631" t="str">
            <v>Gap</v>
          </cell>
          <cell r="K1631" t="str">
            <v>107 Pine Creek Dr</v>
          </cell>
          <cell r="L1631" t="str">
            <v>PA</v>
          </cell>
          <cell r="M1631">
            <v>17527</v>
          </cell>
          <cell r="N1631" t="str">
            <v>107 Pine Creek Dr Gap, PA 17527</v>
          </cell>
        </row>
        <row r="1632">
          <cell r="G1632">
            <v>320020</v>
          </cell>
          <cell r="H1632" t="str">
            <v>Highland Auto &amp; Truck Repairs,</v>
          </cell>
          <cell r="I1632" t="str">
            <v>Reading</v>
          </cell>
          <cell r="K1632" t="str">
            <v>5 Oesterling Dr</v>
          </cell>
          <cell r="L1632" t="str">
            <v>PA</v>
          </cell>
          <cell r="M1632">
            <v>19605</v>
          </cell>
          <cell r="N1632" t="str">
            <v>5 Oesterling Dr Reading, PA 19605</v>
          </cell>
        </row>
        <row r="1633">
          <cell r="G1633">
            <v>241136</v>
          </cell>
          <cell r="H1633" t="str">
            <v>MILLERSVILLE BRETHREN IN CHRIS</v>
          </cell>
          <cell r="I1633" t="str">
            <v>Lancaster</v>
          </cell>
          <cell r="K1633" t="str">
            <v>3116 Blue Rock Rd</v>
          </cell>
          <cell r="L1633" t="str">
            <v>PA</v>
          </cell>
          <cell r="M1633">
            <v>17603</v>
          </cell>
          <cell r="N1633" t="str">
            <v>3116 Blue Rock Rd Lancaster, PA 17603</v>
          </cell>
        </row>
        <row r="1634">
          <cell r="G1634">
            <v>246381</v>
          </cell>
          <cell r="H1634" t="str">
            <v>Tenth Memorial Baptist Church</v>
          </cell>
          <cell r="I1634" t="str">
            <v>Philadelphia</v>
          </cell>
          <cell r="K1634" t="str">
            <v>1328 N 19th St</v>
          </cell>
          <cell r="L1634" t="str">
            <v>PA</v>
          </cell>
          <cell r="M1634">
            <v>19121</v>
          </cell>
          <cell r="N1634" t="str">
            <v>1328 N 19th St Philadelphia, PA 19121</v>
          </cell>
        </row>
        <row r="1635">
          <cell r="G1635">
            <v>461034</v>
          </cell>
          <cell r="H1635" t="str">
            <v>Childrens Village Doylestown</v>
          </cell>
          <cell r="I1635" t="str">
            <v>Doylestown</v>
          </cell>
          <cell r="J1635" t="str">
            <v>Philly Suburbs - North</v>
          </cell>
          <cell r="K1635" t="str">
            <v>595 W State St</v>
          </cell>
          <cell r="L1635" t="str">
            <v>PA</v>
          </cell>
          <cell r="M1635">
            <v>18901</v>
          </cell>
          <cell r="N1635" t="str">
            <v>595 W State St Doylestown, PA 18901</v>
          </cell>
        </row>
        <row r="1636">
          <cell r="G1636">
            <v>242071</v>
          </cell>
          <cell r="H1636" t="str">
            <v>TEMPLE BETH EL</v>
          </cell>
          <cell r="I1636" t="str">
            <v>Lancaster</v>
          </cell>
          <cell r="K1636" t="str">
            <v>1836 Rohrerstown Rd</v>
          </cell>
          <cell r="L1636" t="str">
            <v>PA</v>
          </cell>
          <cell r="M1636">
            <v>17601</v>
          </cell>
          <cell r="N1636" t="str">
            <v>1836 Rohrerstown Rd Lancaster, PA 17601</v>
          </cell>
        </row>
        <row r="1637">
          <cell r="G1637">
            <v>240202</v>
          </cell>
          <cell r="H1637" t="str">
            <v>GETTYSBURG COLLEGE</v>
          </cell>
          <cell r="I1637" t="str">
            <v>Gettysburg</v>
          </cell>
          <cell r="K1637" t="str">
            <v>300 N Washington St</v>
          </cell>
          <cell r="L1637" t="str">
            <v>PA</v>
          </cell>
          <cell r="M1637">
            <v>17325</v>
          </cell>
          <cell r="N1637" t="str">
            <v>300 N Washington St Gettysburg, PA 17325</v>
          </cell>
        </row>
        <row r="1638">
          <cell r="G1638">
            <v>240431</v>
          </cell>
          <cell r="H1638" t="str">
            <v>HOMESTEAD CUSTOM CABINETS#</v>
          </cell>
          <cell r="I1638" t="str">
            <v>AKRON</v>
          </cell>
          <cell r="J1638" t="str">
            <v>Lancaster - NE</v>
          </cell>
          <cell r="K1638" t="str">
            <v>120 S 11th St</v>
          </cell>
          <cell r="L1638" t="str">
            <v>PA</v>
          </cell>
          <cell r="M1638">
            <v>17501</v>
          </cell>
          <cell r="N1638" t="str">
            <v>120 S 11th St AKRON, PA 17501</v>
          </cell>
        </row>
        <row r="1639">
          <cell r="G1639">
            <v>308012</v>
          </cell>
          <cell r="H1639" t="str">
            <v>QUIGLEY CHRYSLER DODGE JEEP RA</v>
          </cell>
          <cell r="I1639" t="str">
            <v>Boyertown</v>
          </cell>
          <cell r="K1639" t="str">
            <v>565 N Route 100</v>
          </cell>
          <cell r="L1639" t="str">
            <v>PA</v>
          </cell>
          <cell r="M1639">
            <v>19512</v>
          </cell>
          <cell r="N1639" t="str">
            <v>565 N Route 100 Boyertown, PA 19512</v>
          </cell>
        </row>
        <row r="1640">
          <cell r="G1640">
            <v>242476</v>
          </cell>
          <cell r="H1640" t="str">
            <v>ZION EVANGELICAL LUTHERAN</v>
          </cell>
          <cell r="I1640" t="str">
            <v>East Petersburg</v>
          </cell>
          <cell r="K1640" t="str">
            <v>1905 BROAD ST</v>
          </cell>
          <cell r="L1640" t="str">
            <v>PA</v>
          </cell>
          <cell r="M1640">
            <v>17520</v>
          </cell>
          <cell r="N1640" t="str">
            <v>1905 BROAD ST East Petersburg, PA 17520</v>
          </cell>
        </row>
        <row r="1641">
          <cell r="G1641">
            <v>417546</v>
          </cell>
          <cell r="H1641" t="str">
            <v>Harrah's Atlantic City</v>
          </cell>
          <cell r="I1641" t="str">
            <v>Atlantic City</v>
          </cell>
          <cell r="J1641" t="str">
            <v>Atlantic City</v>
          </cell>
          <cell r="K1641" t="str">
            <v>777 Harrahs Blvd</v>
          </cell>
          <cell r="L1641" t="str">
            <v>NJ</v>
          </cell>
          <cell r="M1641">
            <v>8401</v>
          </cell>
          <cell r="N1641" t="str">
            <v>777 Harrahs Blvd Atlantic City, NJ 08401</v>
          </cell>
        </row>
        <row r="1642">
          <cell r="G1642">
            <v>242958</v>
          </cell>
          <cell r="H1642" t="str">
            <v>Bear Industries</v>
          </cell>
          <cell r="I1642" t="str">
            <v>Newark</v>
          </cell>
          <cell r="K1642" t="str">
            <v>15 Albe Dr</v>
          </cell>
          <cell r="L1642" t="str">
            <v>DE</v>
          </cell>
          <cell r="M1642">
            <v>19702</v>
          </cell>
          <cell r="N1642" t="str">
            <v>15 Albe Dr Newark, DE 19702</v>
          </cell>
        </row>
        <row r="1643">
          <cell r="G1643">
            <v>416566</v>
          </cell>
          <cell r="H1643" t="str">
            <v>Castle Hills Elementary School</v>
          </cell>
          <cell r="I1643" t="str">
            <v>New Castle</v>
          </cell>
          <cell r="K1643" t="str">
            <v>502 Moores Ln</v>
          </cell>
          <cell r="L1643" t="str">
            <v>DE</v>
          </cell>
          <cell r="M1643">
            <v>19720</v>
          </cell>
          <cell r="N1643" t="str">
            <v>502 Moores Ln New Castle, DE 19720</v>
          </cell>
        </row>
        <row r="1644">
          <cell r="G1644">
            <v>468728</v>
          </cell>
          <cell r="H1644" t="str">
            <v>Victory Christian Church</v>
          </cell>
          <cell r="I1644" t="str">
            <v>Dover</v>
          </cell>
          <cell r="K1644" t="str">
            <v>18 Greenhill Ave</v>
          </cell>
          <cell r="L1644" t="str">
            <v>DE</v>
          </cell>
          <cell r="M1644">
            <v>19901</v>
          </cell>
          <cell r="N1644" t="str">
            <v>18 Greenhill Ave Dover, DE 19901</v>
          </cell>
        </row>
        <row r="1645">
          <cell r="G1645">
            <v>332877</v>
          </cell>
          <cell r="H1645" t="str">
            <v>Anco Home Center</v>
          </cell>
          <cell r="I1645" t="str">
            <v>Villas</v>
          </cell>
          <cell r="K1645" t="str">
            <v>2410 Bayshore Rd</v>
          </cell>
          <cell r="L1645" t="str">
            <v>NJ</v>
          </cell>
          <cell r="M1645">
            <v>8251</v>
          </cell>
          <cell r="N1645" t="str">
            <v>2410 Bayshore Rd Villas, NJ 08251</v>
          </cell>
        </row>
        <row r="1646">
          <cell r="G1646">
            <v>435481</v>
          </cell>
          <cell r="H1646" t="str">
            <v>SMOKER &amp; COMPANY</v>
          </cell>
          <cell r="I1646" t="str">
            <v>Lititz</v>
          </cell>
          <cell r="K1646" t="str">
            <v>662 Furnace Hills Pike</v>
          </cell>
          <cell r="L1646" t="str">
            <v>PA</v>
          </cell>
          <cell r="M1646">
            <v>17543</v>
          </cell>
          <cell r="N1646" t="str">
            <v>662 Furnace Hills Pike Lititz, PA 17543</v>
          </cell>
        </row>
        <row r="1647">
          <cell r="G1647">
            <v>243271</v>
          </cell>
          <cell r="H1647" t="str">
            <v>CW Industries</v>
          </cell>
          <cell r="I1647" t="str">
            <v>Southampton</v>
          </cell>
          <cell r="J1647" t="str">
            <v>Philly Suburbs - North</v>
          </cell>
          <cell r="K1647" t="str">
            <v>130 James Way</v>
          </cell>
          <cell r="L1647" t="str">
            <v>PA</v>
          </cell>
          <cell r="M1647">
            <v>18966</v>
          </cell>
          <cell r="N1647" t="str">
            <v>130 James Way Southampton, PA 18966</v>
          </cell>
        </row>
        <row r="1648">
          <cell r="G1648">
            <v>243874</v>
          </cell>
          <cell r="H1648" t="str">
            <v>Makefield Glen Community Assoc</v>
          </cell>
          <cell r="I1648" t="str">
            <v>Yardley</v>
          </cell>
          <cell r="K1648" t="str">
            <v>1673 Covington Rd</v>
          </cell>
          <cell r="L1648" t="str">
            <v>PA</v>
          </cell>
          <cell r="M1648">
            <v>19067</v>
          </cell>
          <cell r="N1648" t="str">
            <v>1673 Covington Rd Yardley, PA 19067</v>
          </cell>
        </row>
        <row r="1649">
          <cell r="G1649">
            <v>239569</v>
          </cell>
          <cell r="H1649" t="str">
            <v>CHURCH OF THE BRETHREN#</v>
          </cell>
          <cell r="I1649" t="str">
            <v>ELIZABETHTOWN</v>
          </cell>
          <cell r="K1649" t="str">
            <v>777 S Mount Joy St</v>
          </cell>
          <cell r="L1649" t="str">
            <v>PA</v>
          </cell>
          <cell r="M1649">
            <v>17022</v>
          </cell>
          <cell r="N1649" t="str">
            <v>777 S Mount Joy St ELIZABETHTOWN, PA 17022</v>
          </cell>
        </row>
        <row r="1650">
          <cell r="G1650">
            <v>241004</v>
          </cell>
          <cell r="H1650" t="str">
            <v>MANHEIM AUTO AUCTION#</v>
          </cell>
          <cell r="I1650" t="str">
            <v>Manheim</v>
          </cell>
          <cell r="K1650" t="str">
            <v>1190 LANCASTER RD</v>
          </cell>
          <cell r="L1650" t="str">
            <v>PA</v>
          </cell>
          <cell r="M1650">
            <v>17545</v>
          </cell>
          <cell r="N1650" t="str">
            <v>1190 LANCASTER RD Manheim, PA 17545</v>
          </cell>
        </row>
        <row r="1651">
          <cell r="G1651">
            <v>241344</v>
          </cell>
          <cell r="H1651" t="str">
            <v>PSSA#</v>
          </cell>
          <cell r="I1651" t="str">
            <v>Elysburg</v>
          </cell>
          <cell r="K1651" t="str">
            <v>PO Box 303</v>
          </cell>
          <cell r="L1651" t="str">
            <v>PA</v>
          </cell>
          <cell r="M1651">
            <v>17824</v>
          </cell>
          <cell r="N1651" t="str">
            <v>PO Box 303 Elysburg, PA 17824</v>
          </cell>
        </row>
        <row r="1652">
          <cell r="G1652">
            <v>346083</v>
          </cell>
          <cell r="H1652" t="str">
            <v>GREAT VALLEY COMMUNITY ORG</v>
          </cell>
          <cell r="I1652" t="str">
            <v>Malvern</v>
          </cell>
          <cell r="K1652" t="str">
            <v>51 N Bacton Hill Rd</v>
          </cell>
          <cell r="L1652" t="str">
            <v>PA</v>
          </cell>
          <cell r="M1652">
            <v>19355</v>
          </cell>
          <cell r="N1652" t="str">
            <v>51 N Bacton Hill Rd Malvern, PA 19355</v>
          </cell>
        </row>
        <row r="1653">
          <cell r="G1653">
            <v>243285</v>
          </cell>
          <cell r="H1653" t="str">
            <v>Optima Cleaning Services Inc.</v>
          </cell>
          <cell r="I1653" t="str">
            <v>Wilmington</v>
          </cell>
          <cell r="K1653" t="str">
            <v>110 Valley Rd</v>
          </cell>
          <cell r="L1653" t="str">
            <v>DE</v>
          </cell>
          <cell r="M1653">
            <v>19804</v>
          </cell>
          <cell r="N1653" t="str">
            <v>110 Valley Rd Wilmington, DE 19804</v>
          </cell>
        </row>
        <row r="1654">
          <cell r="G1654">
            <v>474309</v>
          </cell>
          <cell r="H1654" t="str">
            <v>Dot Foods Transportation</v>
          </cell>
          <cell r="I1654" t="str">
            <v>Bear</v>
          </cell>
          <cell r="J1654" t="str">
            <v>Wilmington</v>
          </cell>
          <cell r="K1654" t="str">
            <v>301 American Blvd</v>
          </cell>
          <cell r="L1654" t="str">
            <v>DE</v>
          </cell>
          <cell r="M1654">
            <v>19701</v>
          </cell>
          <cell r="N1654" t="str">
            <v>301 American Blvd Bear, DE 19701</v>
          </cell>
        </row>
        <row r="1655">
          <cell r="G1655">
            <v>479596</v>
          </cell>
          <cell r="H1655" t="str">
            <v>CONRAD WEISER EAST ELEMENTARY</v>
          </cell>
          <cell r="I1655" t="str">
            <v>Wernersville</v>
          </cell>
          <cell r="K1655" t="str">
            <v>200 Lincoln Dr</v>
          </cell>
          <cell r="L1655" t="str">
            <v>PA</v>
          </cell>
          <cell r="M1655">
            <v>19565</v>
          </cell>
          <cell r="N1655" t="str">
            <v>200 Lincoln Dr Wernersville, PA 19565</v>
          </cell>
        </row>
        <row r="1656">
          <cell r="G1656">
            <v>271968</v>
          </cell>
          <cell r="H1656" t="str">
            <v>SUSQUEHANNA TRUCK SERVICE INC#</v>
          </cell>
          <cell r="I1656" t="str">
            <v>Quarryville</v>
          </cell>
          <cell r="K1656" t="str">
            <v>848 Lancaster Pike</v>
          </cell>
          <cell r="L1656" t="str">
            <v>PA</v>
          </cell>
          <cell r="M1656">
            <v>17566</v>
          </cell>
          <cell r="N1656" t="str">
            <v>848 Lancaster Pike Quarryville, PA 17566</v>
          </cell>
        </row>
        <row r="1657">
          <cell r="G1657">
            <v>419476</v>
          </cell>
          <cell r="H1657" t="str">
            <v>ROBERTS OXYGEN COMPANY</v>
          </cell>
          <cell r="I1657" t="str">
            <v>Lancaster</v>
          </cell>
          <cell r="K1657" t="str">
            <v>3150 Hempland Rd</v>
          </cell>
          <cell r="L1657" t="str">
            <v>PA</v>
          </cell>
          <cell r="M1657">
            <v>17601</v>
          </cell>
          <cell r="N1657" t="str">
            <v>3150 Hempland Rd Lancaster, PA 17601</v>
          </cell>
        </row>
        <row r="1658">
          <cell r="G1658">
            <v>472994</v>
          </cell>
          <cell r="H1658" t="str">
            <v>MASANO MERCEDES BENZ</v>
          </cell>
          <cell r="I1658" t="str">
            <v>Reading</v>
          </cell>
          <cell r="K1658" t="str">
            <v>815 Lancaster Ave</v>
          </cell>
          <cell r="L1658" t="str">
            <v>PA</v>
          </cell>
          <cell r="M1658">
            <v>19607</v>
          </cell>
          <cell r="N1658" t="str">
            <v>815 Lancaster Ave Reading, PA 19607</v>
          </cell>
        </row>
        <row r="1659">
          <cell r="G1659">
            <v>454428</v>
          </cell>
          <cell r="H1659" t="str">
            <v>OAK TREE DEVELOPMENT</v>
          </cell>
          <cell r="I1659" t="str">
            <v>Brownstown</v>
          </cell>
          <cell r="K1659" t="str">
            <v>4139 Oregon Pike</v>
          </cell>
          <cell r="L1659" t="str">
            <v>PA</v>
          </cell>
          <cell r="M1659">
            <v>17508</v>
          </cell>
          <cell r="N1659" t="str">
            <v>4139 Oregon Pike Brownstown, PA 17508</v>
          </cell>
        </row>
        <row r="1660">
          <cell r="G1660">
            <v>470002</v>
          </cell>
          <cell r="H1660" t="str">
            <v>LANC COUNTY BIBLE WEST SHORE</v>
          </cell>
          <cell r="I1660" t="str">
            <v>Mechanicsburg</v>
          </cell>
          <cell r="K1660" t="str">
            <v>200 Lambs Gap Rd</v>
          </cell>
          <cell r="L1660" t="str">
            <v>PA</v>
          </cell>
          <cell r="M1660">
            <v>17050</v>
          </cell>
          <cell r="N1660" t="str">
            <v>200 Lambs Gap Rd Mechanicsburg, PA 17050</v>
          </cell>
        </row>
        <row r="1661">
          <cell r="G1661">
            <v>241901</v>
          </cell>
          <cell r="H1661" t="str">
            <v>ST ANTHONY RC CHURCH</v>
          </cell>
          <cell r="I1661" t="str">
            <v>Lancaster</v>
          </cell>
          <cell r="K1661" t="str">
            <v>501 E Orange St</v>
          </cell>
          <cell r="L1661" t="str">
            <v>PA</v>
          </cell>
          <cell r="M1661">
            <v>17602</v>
          </cell>
          <cell r="N1661" t="str">
            <v>501 E Orange St Lancaster, PA 17602</v>
          </cell>
        </row>
        <row r="1662">
          <cell r="G1662">
            <v>342110</v>
          </cell>
          <cell r="H1662" t="str">
            <v>CONNEXTZ ELECTRICAL SERVICES I</v>
          </cell>
          <cell r="I1662" t="str">
            <v>Huntingdon Valley</v>
          </cell>
          <cell r="J1662" t="str">
            <v>Philly Suburbs - North</v>
          </cell>
          <cell r="K1662" t="str">
            <v>18 Lawson Dr</v>
          </cell>
          <cell r="L1662" t="str">
            <v>PA</v>
          </cell>
          <cell r="M1662">
            <v>19006</v>
          </cell>
          <cell r="N1662" t="str">
            <v>18 Lawson Dr Huntingdon Valley, PA 19006</v>
          </cell>
        </row>
        <row r="1663">
          <cell r="G1663">
            <v>346244</v>
          </cell>
          <cell r="H1663" t="str">
            <v>JR Custom Builder</v>
          </cell>
          <cell r="I1663" t="str">
            <v>Holland</v>
          </cell>
          <cell r="J1663" t="str">
            <v>Philly Suburbs - North</v>
          </cell>
          <cell r="K1663" t="str">
            <v>2307 OLD BRISTOL RD</v>
          </cell>
          <cell r="L1663" t="str">
            <v>PA</v>
          </cell>
          <cell r="M1663">
            <v>18966</v>
          </cell>
          <cell r="N1663" t="str">
            <v>2307 OLD BRISTOL RD Holland, PA 18966</v>
          </cell>
        </row>
        <row r="1664">
          <cell r="G1664">
            <v>281513</v>
          </cell>
          <cell r="H1664" t="str">
            <v>PAXTON UNITED METHODIST CHURCH</v>
          </cell>
          <cell r="I1664" t="str">
            <v>Harrisburg</v>
          </cell>
          <cell r="K1664" t="str">
            <v>3550 N Progress Ave</v>
          </cell>
          <cell r="L1664" t="str">
            <v>PA</v>
          </cell>
          <cell r="M1664">
            <v>17110</v>
          </cell>
          <cell r="N1664" t="str">
            <v>3550 N Progress Ave Harrisburg, PA 17110</v>
          </cell>
        </row>
        <row r="1665">
          <cell r="G1665">
            <v>239959</v>
          </cell>
          <cell r="H1665" t="str">
            <v>ELECTRON ENERGY CORP</v>
          </cell>
          <cell r="I1665" t="str">
            <v>Landisville</v>
          </cell>
          <cell r="K1665" t="str">
            <v>924 Links Ave</v>
          </cell>
          <cell r="L1665" t="str">
            <v>PA</v>
          </cell>
          <cell r="M1665">
            <v>17538</v>
          </cell>
          <cell r="N1665" t="str">
            <v>924 Links Ave Landisville, PA 17538</v>
          </cell>
        </row>
        <row r="1666">
          <cell r="G1666">
            <v>483774</v>
          </cell>
          <cell r="H1666" t="str">
            <v>Wilson High School Lower</v>
          </cell>
          <cell r="I1666" t="str">
            <v>West Lawn</v>
          </cell>
          <cell r="K1666" t="str">
            <v>2601 Grandview Blvd</v>
          </cell>
          <cell r="L1666" t="str">
            <v>PA</v>
          </cell>
          <cell r="M1666">
            <v>19609</v>
          </cell>
          <cell r="N1666" t="str">
            <v>2601 Grandview Blvd West Lawn, PA 19609</v>
          </cell>
        </row>
        <row r="1667">
          <cell r="G1667">
            <v>271365</v>
          </cell>
          <cell r="H1667" t="str">
            <v>FLY ADVANCED#</v>
          </cell>
          <cell r="I1667" t="str">
            <v>Lititz</v>
          </cell>
          <cell r="K1667" t="str">
            <v>530 Airport Rd</v>
          </cell>
          <cell r="L1667" t="str">
            <v>PA</v>
          </cell>
          <cell r="M1667">
            <v>17543</v>
          </cell>
          <cell r="N1667" t="str">
            <v>530 Airport Rd Lititz, PA 17543</v>
          </cell>
        </row>
        <row r="1668">
          <cell r="G1668">
            <v>241600</v>
          </cell>
          <cell r="H1668" t="str">
            <v>RIDGEVIEW MENNONITE CHURCH</v>
          </cell>
          <cell r="I1668" t="str">
            <v>Gordonville</v>
          </cell>
          <cell r="K1668" t="str">
            <v>3723 Ridge Rd</v>
          </cell>
          <cell r="L1668" t="str">
            <v>PA</v>
          </cell>
          <cell r="M1668">
            <v>17529</v>
          </cell>
          <cell r="N1668" t="str">
            <v>3723 Ridge Rd Gordonville, PA 17529</v>
          </cell>
        </row>
        <row r="1669">
          <cell r="G1669">
            <v>240966</v>
          </cell>
          <cell r="H1669" t="str">
            <v>MAACO AUTO PAINTING</v>
          </cell>
          <cell r="I1669" t="str">
            <v>Lancaster</v>
          </cell>
          <cell r="K1669" t="str">
            <v>1277 Manheim Pike</v>
          </cell>
          <cell r="L1669" t="str">
            <v>PA</v>
          </cell>
          <cell r="M1669">
            <v>17601</v>
          </cell>
          <cell r="N1669" t="str">
            <v>1277 Manheim Pike Lancaster, PA 17601</v>
          </cell>
        </row>
        <row r="1670">
          <cell r="G1670">
            <v>309689</v>
          </cell>
          <cell r="H1670" t="str">
            <v>LIGHTHOUSE CHURCH</v>
          </cell>
          <cell r="I1670" t="str">
            <v>Cape May Court House</v>
          </cell>
          <cell r="K1670" t="str">
            <v>1248 Route 9 S</v>
          </cell>
          <cell r="L1670" t="str">
            <v>NJ</v>
          </cell>
          <cell r="M1670">
            <v>8210</v>
          </cell>
          <cell r="N1670" t="str">
            <v>1248 Route 9 S Cape May Court House, NJ 08210</v>
          </cell>
        </row>
        <row r="1671">
          <cell r="G1671">
            <v>415415</v>
          </cell>
          <cell r="H1671" t="str">
            <v>CITY OF LANCASTER</v>
          </cell>
          <cell r="I1671" t="str">
            <v>Lancaster</v>
          </cell>
          <cell r="K1671" t="str">
            <v>225 Riverside Ave</v>
          </cell>
          <cell r="L1671" t="str">
            <v>PA</v>
          </cell>
          <cell r="M1671">
            <v>17602</v>
          </cell>
          <cell r="N1671" t="str">
            <v>225 Riverside Ave Lancaster, PA 17602</v>
          </cell>
        </row>
        <row r="1672">
          <cell r="G1672">
            <v>240447</v>
          </cell>
          <cell r="H1672" t="str">
            <v>HORIZON HEALTH CARE#</v>
          </cell>
          <cell r="I1672" t="str">
            <v>Lancaster</v>
          </cell>
          <cell r="K1672" t="str">
            <v>1070 New Holland Ave</v>
          </cell>
          <cell r="L1672" t="str">
            <v>PA</v>
          </cell>
          <cell r="M1672">
            <v>17601</v>
          </cell>
          <cell r="N1672" t="str">
            <v>1070 New Holland Ave Lancaster, PA 17601</v>
          </cell>
        </row>
        <row r="1673">
          <cell r="G1673">
            <v>242704</v>
          </cell>
          <cell r="H1673" t="str">
            <v>BLUE BALL GARAGE INC</v>
          </cell>
          <cell r="I1673" t="str">
            <v>BLUE BALL</v>
          </cell>
          <cell r="K1673" t="str">
            <v>976 E MAIN STRE</v>
          </cell>
          <cell r="L1673" t="str">
            <v>PA</v>
          </cell>
          <cell r="M1673">
            <v>17506</v>
          </cell>
          <cell r="N1673" t="str">
            <v>976 E MAIN STRE BLUE BALL, PA 17506</v>
          </cell>
        </row>
        <row r="1674">
          <cell r="G1674">
            <v>241025</v>
          </cell>
          <cell r="H1674" t="str">
            <v>MANOR TOWNSHIP</v>
          </cell>
          <cell r="I1674" t="str">
            <v>Lancaster</v>
          </cell>
          <cell r="K1674" t="str">
            <v>950 W Fairway Dr</v>
          </cell>
          <cell r="L1674" t="str">
            <v>PA</v>
          </cell>
          <cell r="M1674">
            <v>17603</v>
          </cell>
          <cell r="N1674" t="str">
            <v>950 W Fairway Dr Lancaster, PA 17603</v>
          </cell>
        </row>
        <row r="1675">
          <cell r="G1675">
            <v>483123</v>
          </cell>
          <cell r="H1675" t="str">
            <v>THE LEFT BANK</v>
          </cell>
          <cell r="I1675" t="str">
            <v>Philadelphia</v>
          </cell>
          <cell r="K1675" t="str">
            <v>3131 Walnut St</v>
          </cell>
          <cell r="L1675" t="str">
            <v>PA</v>
          </cell>
          <cell r="M1675">
            <v>19104</v>
          </cell>
          <cell r="N1675" t="str">
            <v>3131 Walnut St Philadelphia, PA 19104</v>
          </cell>
        </row>
        <row r="1676">
          <cell r="G1676">
            <v>483124</v>
          </cell>
          <cell r="H1676" t="str">
            <v>One Ardmore Apartment Homes</v>
          </cell>
          <cell r="I1676" t="str">
            <v>Ardmore</v>
          </cell>
          <cell r="J1676" t="str">
            <v>Philly Suburbs - West</v>
          </cell>
          <cell r="K1676" t="str">
            <v>24 Cricket Ave</v>
          </cell>
          <cell r="L1676" t="str">
            <v>PA</v>
          </cell>
          <cell r="M1676">
            <v>19003</v>
          </cell>
          <cell r="N1676" t="str">
            <v>24 Cricket Ave Ardmore, PA 19003</v>
          </cell>
        </row>
        <row r="1677">
          <cell r="G1677">
            <v>269917</v>
          </cell>
          <cell r="H1677" t="str">
            <v>Pleasant Valley School Distric</v>
          </cell>
          <cell r="I1677" t="str">
            <v>Brodheadsville</v>
          </cell>
          <cell r="K1677" t="str">
            <v>2233 Route 115</v>
          </cell>
          <cell r="L1677" t="str">
            <v>PA</v>
          </cell>
          <cell r="M1677">
            <v>18322</v>
          </cell>
          <cell r="N1677" t="str">
            <v>2233 Route 115 Brodheadsville, PA 18322</v>
          </cell>
        </row>
        <row r="1678">
          <cell r="G1678">
            <v>267441</v>
          </cell>
          <cell r="H1678" t="str">
            <v>SPEEDWELL HEIGHTS BIC CHURCH</v>
          </cell>
          <cell r="I1678" t="str">
            <v>Lititz</v>
          </cell>
          <cell r="K1678" t="str">
            <v>413 W Brubaker Valley Rd</v>
          </cell>
          <cell r="L1678" t="str">
            <v>PA</v>
          </cell>
          <cell r="M1678">
            <v>17543</v>
          </cell>
          <cell r="N1678" t="str">
            <v>413 W Brubaker Valley Rd Lititz, PA 17543</v>
          </cell>
        </row>
        <row r="1679">
          <cell r="G1679">
            <v>416227</v>
          </cell>
          <cell r="H1679" t="str">
            <v>Uptown School Complex</v>
          </cell>
          <cell r="I1679" t="str">
            <v>Atlantic City</v>
          </cell>
          <cell r="J1679" t="str">
            <v>Atlantic City</v>
          </cell>
          <cell r="K1679" t="str">
            <v>323 Madison Ave</v>
          </cell>
          <cell r="L1679" t="str">
            <v>NJ</v>
          </cell>
          <cell r="M1679">
            <v>8401</v>
          </cell>
          <cell r="N1679" t="str">
            <v>323 Madison Ave Atlantic City, NJ 08401</v>
          </cell>
        </row>
        <row r="1680">
          <cell r="G1680">
            <v>265385</v>
          </cell>
          <cell r="H1680" t="str">
            <v>BIRTH CARE &amp; FAMILY HEALTH SER</v>
          </cell>
          <cell r="I1680" t="str">
            <v>Christiana</v>
          </cell>
          <cell r="K1680" t="str">
            <v>1138 Georgetown Rd</v>
          </cell>
          <cell r="L1680" t="str">
            <v>PA</v>
          </cell>
          <cell r="M1680">
            <v>17509</v>
          </cell>
          <cell r="N1680" t="str">
            <v>1138 Georgetown Rd Christiana, PA 17509</v>
          </cell>
        </row>
        <row r="1681">
          <cell r="G1681">
            <v>480916</v>
          </cell>
          <cell r="H1681" t="str">
            <v>ANTIETAM JR/SR HIGH SCHOOL</v>
          </cell>
          <cell r="I1681" t="str">
            <v>Reading</v>
          </cell>
          <cell r="K1681" t="str">
            <v>100 Antietam Rd</v>
          </cell>
          <cell r="L1681" t="str">
            <v>PA</v>
          </cell>
          <cell r="M1681">
            <v>19606</v>
          </cell>
          <cell r="N1681" t="str">
            <v>100 Antietam Rd Reading, PA 19606</v>
          </cell>
        </row>
        <row r="1682">
          <cell r="G1682">
            <v>271189</v>
          </cell>
          <cell r="H1682" t="str">
            <v>KUTZTOWN AREA SCHOOL DISTRICT</v>
          </cell>
          <cell r="I1682" t="str">
            <v>Kutztown</v>
          </cell>
          <cell r="K1682" t="str">
            <v>251 Long Lane Rd</v>
          </cell>
          <cell r="L1682" t="str">
            <v>PA</v>
          </cell>
          <cell r="M1682">
            <v>19530</v>
          </cell>
          <cell r="N1682" t="str">
            <v>251 Long Lane Rd Kutztown, PA 19530</v>
          </cell>
        </row>
        <row r="1683">
          <cell r="G1683">
            <v>242085</v>
          </cell>
          <cell r="H1683" t="str">
            <v>THE BUCK CO#</v>
          </cell>
          <cell r="I1683" t="str">
            <v>Quarryville</v>
          </cell>
          <cell r="K1683" t="str">
            <v>897 Lancaster Pike</v>
          </cell>
          <cell r="L1683" t="str">
            <v>PA</v>
          </cell>
          <cell r="M1683">
            <v>17566</v>
          </cell>
          <cell r="N1683" t="str">
            <v>897 Lancaster Pike Quarryville, PA 17566</v>
          </cell>
        </row>
        <row r="1684">
          <cell r="G1684">
            <v>246269</v>
          </cell>
          <cell r="H1684" t="str">
            <v>Shamong Township Public School</v>
          </cell>
          <cell r="I1684" t="str">
            <v>Shamong</v>
          </cell>
          <cell r="J1684" t="str">
            <v>Southampton Twp</v>
          </cell>
          <cell r="K1684" t="str">
            <v>295 Indian Mills Rd</v>
          </cell>
          <cell r="L1684" t="str">
            <v>NJ</v>
          </cell>
          <cell r="M1684">
            <v>8088</v>
          </cell>
          <cell r="N1684" t="str">
            <v>295 Indian Mills Rd Shamong, NJ 08088</v>
          </cell>
        </row>
        <row r="1685">
          <cell r="G1685">
            <v>239465</v>
          </cell>
          <cell r="H1685" t="str">
            <v>CALVARY CHURCH#</v>
          </cell>
          <cell r="I1685" t="str">
            <v>Lancaster</v>
          </cell>
          <cell r="K1685" t="str">
            <v>1051 Landis Valley Rd</v>
          </cell>
          <cell r="L1685" t="str">
            <v>PA</v>
          </cell>
          <cell r="M1685">
            <v>17601</v>
          </cell>
          <cell r="N1685" t="str">
            <v>1051 Landis Valley Rd Lancaster, PA 17601</v>
          </cell>
        </row>
        <row r="1686">
          <cell r="G1686">
            <v>323920</v>
          </cell>
          <cell r="H1686" t="str">
            <v>Talleyville Fire Company</v>
          </cell>
          <cell r="I1686" t="str">
            <v>Wilmington</v>
          </cell>
          <cell r="K1686" t="str">
            <v>3919 Concord Pike</v>
          </cell>
          <cell r="L1686" t="str">
            <v>DE</v>
          </cell>
          <cell r="M1686">
            <v>19803</v>
          </cell>
          <cell r="N1686" t="str">
            <v>3919 Concord Pike Wilmington, DE 19803</v>
          </cell>
        </row>
        <row r="1687">
          <cell r="G1687">
            <v>279768</v>
          </cell>
          <cell r="H1687" t="str">
            <v>ST CLEMENTS MISSION HOUSE</v>
          </cell>
          <cell r="I1687" t="str">
            <v>Ephrata</v>
          </cell>
          <cell r="K1687" t="str">
            <v>300 W Pine St</v>
          </cell>
          <cell r="L1687" t="str">
            <v>PA</v>
          </cell>
          <cell r="M1687">
            <v>17522</v>
          </cell>
          <cell r="N1687" t="str">
            <v>300 W Pine St Ephrata, PA 17522</v>
          </cell>
        </row>
        <row r="1688">
          <cell r="G1688">
            <v>471612</v>
          </cell>
          <cell r="H1688" t="str">
            <v>CHARLOTTE INDUSTRIES</v>
          </cell>
          <cell r="I1688" t="str">
            <v>Landisville</v>
          </cell>
          <cell r="K1688" t="str">
            <v>1580 Kauffman Rd</v>
          </cell>
          <cell r="L1688" t="str">
            <v>PA</v>
          </cell>
          <cell r="M1688">
            <v>17538</v>
          </cell>
          <cell r="N1688" t="str">
            <v>1580 Kauffman Rd Landisville, PA 17538</v>
          </cell>
        </row>
        <row r="1689">
          <cell r="G1689">
            <v>481876</v>
          </cell>
          <cell r="H1689" t="str">
            <v>Donegal-DPS Food Service</v>
          </cell>
          <cell r="I1689" t="str">
            <v>Mount Joy</v>
          </cell>
          <cell r="K1689" t="str">
            <v>1055 Koser Rd</v>
          </cell>
          <cell r="L1689" t="str">
            <v>PA</v>
          </cell>
          <cell r="M1689">
            <v>17552</v>
          </cell>
          <cell r="N1689" t="str">
            <v>1055 Koser Rd Mount Joy, PA 17552</v>
          </cell>
        </row>
        <row r="1690">
          <cell r="G1690">
            <v>479892</v>
          </cell>
          <cell r="H1690" t="str">
            <v>Brickmill Early Childhood Cent</v>
          </cell>
          <cell r="I1690" t="str">
            <v>MIDDLETOWN</v>
          </cell>
          <cell r="K1690" t="str">
            <v>360 Brick Mill Rd</v>
          </cell>
          <cell r="L1690" t="str">
            <v>DE</v>
          </cell>
          <cell r="M1690">
            <v>19709</v>
          </cell>
          <cell r="N1690" t="str">
            <v>360 Brick Mill Rd MIDDLETOWN, DE 19709</v>
          </cell>
        </row>
        <row r="1691">
          <cell r="G1691">
            <v>335532</v>
          </cell>
          <cell r="H1691" t="str">
            <v>KREIDERS MARKET</v>
          </cell>
          <cell r="I1691" t="str">
            <v>KIRKWOOD</v>
          </cell>
          <cell r="K1691" t="str">
            <v>2396 KIRKWOOD PIKE</v>
          </cell>
          <cell r="L1691" t="str">
            <v>PA</v>
          </cell>
          <cell r="M1691">
            <v>17536</v>
          </cell>
          <cell r="N1691" t="str">
            <v>2396 KIRKWOOD PIKE KIRKWOOD, PA 17536</v>
          </cell>
        </row>
        <row r="1692">
          <cell r="G1692">
            <v>242253</v>
          </cell>
          <cell r="H1692" t="str">
            <v>UPPER LEACOCK TOWNSHIP</v>
          </cell>
          <cell r="I1692" t="str">
            <v>Leola</v>
          </cell>
          <cell r="K1692" t="str">
            <v>161 Newport Rd</v>
          </cell>
          <cell r="L1692" t="str">
            <v>PA</v>
          </cell>
          <cell r="M1692">
            <v>17540</v>
          </cell>
          <cell r="N1692" t="str">
            <v>161 Newport Rd Leola, PA 17540</v>
          </cell>
        </row>
        <row r="1693">
          <cell r="G1693">
            <v>346335</v>
          </cell>
          <cell r="H1693" t="str">
            <v>JASON CLAPPER</v>
          </cell>
          <cell r="I1693" t="str">
            <v>TERRE HILL</v>
          </cell>
          <cell r="K1693" t="str">
            <v>419 MAIN ST</v>
          </cell>
          <cell r="L1693" t="str">
            <v>PA</v>
          </cell>
          <cell r="M1693">
            <v>17581</v>
          </cell>
          <cell r="N1693" t="str">
            <v>419 MAIN ST TERRE HILL, PA 17581</v>
          </cell>
        </row>
        <row r="1694">
          <cell r="G1694">
            <v>294050</v>
          </cell>
          <cell r="H1694" t="str">
            <v>Wissahickon Fire Company</v>
          </cell>
          <cell r="I1694" t="str">
            <v>Ambler</v>
          </cell>
          <cell r="J1694" t="str">
            <v>Philly Subrubs - Central</v>
          </cell>
          <cell r="K1694" t="str">
            <v>245 Race St</v>
          </cell>
          <cell r="L1694" t="str">
            <v>PA</v>
          </cell>
          <cell r="M1694">
            <v>19002</v>
          </cell>
          <cell r="N1694" t="str">
            <v>245 Race St Ambler, PA 19002</v>
          </cell>
        </row>
        <row r="1695">
          <cell r="G1695">
            <v>239217</v>
          </cell>
          <cell r="H1695" t="str">
            <v>ASSUMPTION BVM PARISH OFFICE</v>
          </cell>
          <cell r="I1695" t="str">
            <v>West Grove</v>
          </cell>
          <cell r="K1695" t="str">
            <v>300 STATE RD</v>
          </cell>
          <cell r="L1695" t="str">
            <v>PA</v>
          </cell>
          <cell r="M1695">
            <v>19390</v>
          </cell>
          <cell r="N1695" t="str">
            <v>300 STATE RD West Grove, PA 19390</v>
          </cell>
        </row>
        <row r="1696">
          <cell r="G1696">
            <v>274166</v>
          </cell>
          <cell r="H1696" t="str">
            <v>PROVIDENCE PLACE OF HAZLETON</v>
          </cell>
          <cell r="I1696" t="str">
            <v>DRUMS</v>
          </cell>
          <cell r="K1696" t="str">
            <v>149 S HUNTER HWY</v>
          </cell>
          <cell r="L1696" t="str">
            <v>PA</v>
          </cell>
          <cell r="M1696">
            <v>18222</v>
          </cell>
          <cell r="N1696" t="str">
            <v>149 S HUNTER HWY DRUMS, PA 18222</v>
          </cell>
        </row>
        <row r="1697">
          <cell r="G1697">
            <v>242479</v>
          </cell>
          <cell r="H1697" t="str">
            <v>ZION LUTHERAN CHURCH</v>
          </cell>
          <cell r="I1697" t="str">
            <v>Manheim</v>
          </cell>
          <cell r="K1697" t="str">
            <v>2 S Hazel St</v>
          </cell>
          <cell r="L1697" t="str">
            <v>PA</v>
          </cell>
          <cell r="M1697">
            <v>17545</v>
          </cell>
          <cell r="N1697" t="str">
            <v>2 S Hazel St Manheim, PA 17545</v>
          </cell>
        </row>
        <row r="1698">
          <cell r="G1698">
            <v>241831</v>
          </cell>
          <cell r="H1698" t="str">
            <v>SKYLINE BUDDY HOMES</v>
          </cell>
          <cell r="I1698" t="str">
            <v>Leola</v>
          </cell>
          <cell r="K1698" t="str">
            <v>99 Horseshoe Rd</v>
          </cell>
          <cell r="L1698" t="str">
            <v>PA</v>
          </cell>
          <cell r="M1698">
            <v>17540</v>
          </cell>
          <cell r="N1698" t="str">
            <v>99 Horseshoe Rd Leola, PA 17540</v>
          </cell>
        </row>
        <row r="1699">
          <cell r="G1699">
            <v>294099</v>
          </cell>
          <cell r="H1699" t="str">
            <v>Landry's Inc.d/b/a Golden Nugg</v>
          </cell>
          <cell r="I1699" t="str">
            <v>Atlantic City</v>
          </cell>
          <cell r="J1699" t="str">
            <v>Atlantic City</v>
          </cell>
          <cell r="K1699" t="str">
            <v>600 Huron Ave</v>
          </cell>
          <cell r="L1699" t="str">
            <v>NJ</v>
          </cell>
          <cell r="M1699">
            <v>8401</v>
          </cell>
          <cell r="N1699" t="str">
            <v>600 Huron Ave Atlantic City, NJ 08401</v>
          </cell>
        </row>
        <row r="1700">
          <cell r="G1700">
            <v>239510</v>
          </cell>
          <cell r="H1700" t="str">
            <v>CB TOOL COMPANY</v>
          </cell>
          <cell r="I1700" t="str">
            <v>Lancaster</v>
          </cell>
          <cell r="K1700" t="str">
            <v>640 Bean Hill Rd</v>
          </cell>
          <cell r="L1700" t="str">
            <v>PA</v>
          </cell>
          <cell r="M1700">
            <v>17603</v>
          </cell>
          <cell r="N1700" t="str">
            <v>640 Bean Hill Rd Lancaster, PA 17603</v>
          </cell>
        </row>
        <row r="1701">
          <cell r="G1701">
            <v>242054</v>
          </cell>
          <cell r="H1701" t="str">
            <v>T GLENN HORST &amp; SON INC</v>
          </cell>
          <cell r="I1701" t="str">
            <v>Ephrata</v>
          </cell>
          <cell r="K1701" t="str">
            <v>50 Durlach Rd</v>
          </cell>
          <cell r="L1701" t="str">
            <v>PA</v>
          </cell>
          <cell r="M1701">
            <v>17522</v>
          </cell>
          <cell r="N1701" t="str">
            <v>50 Durlach Rd Ephrata, PA 17522</v>
          </cell>
        </row>
        <row r="1702">
          <cell r="G1702">
            <v>240901</v>
          </cell>
          <cell r="H1702" t="str">
            <v>LITITZ FIRE COMPANY#</v>
          </cell>
          <cell r="I1702" t="str">
            <v>Lititz</v>
          </cell>
          <cell r="K1702" t="str">
            <v>24 W Main St</v>
          </cell>
          <cell r="L1702" t="str">
            <v>PA</v>
          </cell>
          <cell r="M1702">
            <v>17543</v>
          </cell>
          <cell r="N1702" t="str">
            <v>24 W Main St Lititz, PA 17543</v>
          </cell>
        </row>
        <row r="1703">
          <cell r="G1703">
            <v>483897</v>
          </cell>
          <cell r="H1703" t="str">
            <v>SHICK ELEMENTARY SCHOOL-Food</v>
          </cell>
          <cell r="I1703" t="str">
            <v>Montoursville</v>
          </cell>
          <cell r="K1703" t="str">
            <v>2800 Four Mile Dr</v>
          </cell>
          <cell r="L1703" t="str">
            <v>PA</v>
          </cell>
          <cell r="M1703">
            <v>17754</v>
          </cell>
          <cell r="N1703" t="str">
            <v>2800 Four Mile Dr Montoursville, PA 17754</v>
          </cell>
        </row>
        <row r="1704">
          <cell r="G1704">
            <v>429448</v>
          </cell>
          <cell r="H1704" t="str">
            <v>BIRTH CARE &amp; FAMILY HEALTH SER</v>
          </cell>
          <cell r="I1704" t="str">
            <v>Christiana</v>
          </cell>
          <cell r="K1704" t="str">
            <v>1138 Georgetown Rd</v>
          </cell>
          <cell r="L1704" t="str">
            <v>PA</v>
          </cell>
          <cell r="M1704">
            <v>17509</v>
          </cell>
          <cell r="N1704" t="str">
            <v>1138 Georgetown Rd Christiana, PA 17509</v>
          </cell>
        </row>
        <row r="1705">
          <cell r="G1705">
            <v>417437</v>
          </cell>
          <cell r="H1705" t="str">
            <v>Harlan Elementary School</v>
          </cell>
          <cell r="I1705" t="str">
            <v>Wilmington</v>
          </cell>
          <cell r="K1705" t="str">
            <v>3601 N Jefferson St</v>
          </cell>
          <cell r="L1705" t="str">
            <v>DE</v>
          </cell>
          <cell r="M1705">
            <v>19802</v>
          </cell>
          <cell r="N1705" t="str">
            <v>3601 N Jefferson St Wilmington, DE 19802</v>
          </cell>
        </row>
        <row r="1706">
          <cell r="G1706">
            <v>417968</v>
          </cell>
          <cell r="H1706" t="str">
            <v>Maple Lane Elementary School</v>
          </cell>
          <cell r="I1706" t="str">
            <v>Claymont</v>
          </cell>
          <cell r="K1706" t="str">
            <v>100 Maple Ln</v>
          </cell>
          <cell r="L1706" t="str">
            <v>DE</v>
          </cell>
          <cell r="M1706">
            <v>19703</v>
          </cell>
          <cell r="N1706" t="str">
            <v>100 Maple Ln Claymont, DE 19703</v>
          </cell>
        </row>
        <row r="1707">
          <cell r="G1707">
            <v>418696</v>
          </cell>
          <cell r="H1707" t="str">
            <v>Springer Middle School</v>
          </cell>
          <cell r="I1707" t="str">
            <v>Wilmington</v>
          </cell>
          <cell r="K1707" t="str">
            <v>2220 Shipley Rd</v>
          </cell>
          <cell r="L1707" t="str">
            <v>DE</v>
          </cell>
          <cell r="M1707">
            <v>19803</v>
          </cell>
          <cell r="N1707" t="str">
            <v>2220 Shipley Rd Wilmington, DE 19803</v>
          </cell>
        </row>
        <row r="1708">
          <cell r="G1708">
            <v>239588</v>
          </cell>
          <cell r="H1708" t="str">
            <v>CITY OF LANCASTER PARKS</v>
          </cell>
          <cell r="I1708" t="str">
            <v>Lancaster</v>
          </cell>
          <cell r="K1708" t="str">
            <v>225 Riverside Ave</v>
          </cell>
          <cell r="L1708" t="str">
            <v>PA</v>
          </cell>
          <cell r="M1708">
            <v>17602</v>
          </cell>
          <cell r="N1708" t="str">
            <v>225 Riverside Ave Lancaster, PA 17602</v>
          </cell>
        </row>
        <row r="1709">
          <cell r="G1709">
            <v>306070</v>
          </cell>
          <cell r="H1709" t="str">
            <v>Tennis Addiction</v>
          </cell>
          <cell r="I1709" t="str">
            <v>EXTON</v>
          </cell>
          <cell r="K1709" t="str">
            <v>202 Philips Rd</v>
          </cell>
          <cell r="L1709" t="str">
            <v>PA</v>
          </cell>
          <cell r="M1709">
            <v>19341</v>
          </cell>
          <cell r="N1709" t="str">
            <v>202 Philips Rd EXTON, PA 19341</v>
          </cell>
        </row>
        <row r="1710">
          <cell r="G1710">
            <v>415333</v>
          </cell>
          <cell r="H1710" t="str">
            <v>ANTIETAM JR/SR HIGH SCHOOL</v>
          </cell>
          <cell r="I1710" t="str">
            <v>Reading</v>
          </cell>
          <cell r="K1710" t="str">
            <v>100 Antietam Rd</v>
          </cell>
          <cell r="L1710" t="str">
            <v>PA</v>
          </cell>
          <cell r="M1710">
            <v>19606</v>
          </cell>
          <cell r="N1710" t="str">
            <v>100 Antietam Rd Reading, PA 19606</v>
          </cell>
        </row>
        <row r="1711">
          <cell r="G1711">
            <v>484000</v>
          </cell>
          <cell r="H1711" t="str">
            <v>White Horse Farm LLC</v>
          </cell>
          <cell r="I1711" t="str">
            <v>Berwyn</v>
          </cell>
          <cell r="K1711" t="str">
            <v>8 BARR RD</v>
          </cell>
          <cell r="L1711" t="str">
            <v>PA</v>
          </cell>
          <cell r="M1711">
            <v>19312</v>
          </cell>
          <cell r="N1711" t="str">
            <v>8 BARR RD Berwyn, PA 19312</v>
          </cell>
        </row>
        <row r="1712">
          <cell r="G1712">
            <v>469900</v>
          </cell>
          <cell r="H1712" t="str">
            <v>Doylestown Fire Company</v>
          </cell>
          <cell r="I1712" t="str">
            <v>Doylestown</v>
          </cell>
          <cell r="J1712" t="str">
            <v>Philly Suburbs - North</v>
          </cell>
          <cell r="K1712" t="str">
            <v>40 Warden Rd</v>
          </cell>
          <cell r="L1712" t="str">
            <v>PA</v>
          </cell>
          <cell r="M1712">
            <v>18901</v>
          </cell>
          <cell r="N1712" t="str">
            <v>40 Warden Rd Doylestown, PA 18901</v>
          </cell>
        </row>
        <row r="1713">
          <cell r="G1713">
            <v>246143</v>
          </cell>
          <cell r="H1713" t="str">
            <v>Roman Delight</v>
          </cell>
          <cell r="I1713" t="str">
            <v>Abington</v>
          </cell>
          <cell r="J1713" t="str">
            <v>Philly Suburbs - Lower</v>
          </cell>
          <cell r="K1713" t="str">
            <v>1418 Old York Rd</v>
          </cell>
          <cell r="L1713" t="str">
            <v>PA</v>
          </cell>
          <cell r="M1713">
            <v>19001</v>
          </cell>
          <cell r="N1713" t="str">
            <v>1418 Old York Rd Abington, PA 19001</v>
          </cell>
        </row>
        <row r="1714">
          <cell r="G1714">
            <v>240628</v>
          </cell>
          <cell r="H1714" t="str">
            <v>KERMITOOL INC</v>
          </cell>
          <cell r="I1714" t="str">
            <v>York</v>
          </cell>
          <cell r="K1714" t="str">
            <v>401 Manor St</v>
          </cell>
          <cell r="L1714" t="str">
            <v>PA</v>
          </cell>
          <cell r="M1714">
            <v>17401</v>
          </cell>
          <cell r="N1714" t="str">
            <v>401 Manor St York, PA 17401</v>
          </cell>
        </row>
        <row r="1715">
          <cell r="G1715">
            <v>246355</v>
          </cell>
          <cell r="H1715" t="str">
            <v>Swamp Mennonite Church</v>
          </cell>
          <cell r="I1715" t="str">
            <v>Quakertown</v>
          </cell>
          <cell r="K1715" t="str">
            <v>2125 Rosedale Rd</v>
          </cell>
          <cell r="L1715" t="str">
            <v>PA</v>
          </cell>
          <cell r="M1715">
            <v>18951</v>
          </cell>
          <cell r="N1715" t="str">
            <v>2125 Rosedale Rd Quakertown, PA 18951</v>
          </cell>
        </row>
        <row r="1716">
          <cell r="G1716">
            <v>243405</v>
          </cell>
          <cell r="H1716" t="str">
            <v>Equity Enterprise</v>
          </cell>
          <cell r="I1716" t="str">
            <v>Wayne</v>
          </cell>
          <cell r="K1716" t="str">
            <v>512 W Lancaster Ave Ste 1</v>
          </cell>
          <cell r="L1716" t="str">
            <v>PA</v>
          </cell>
          <cell r="M1716">
            <v>19087</v>
          </cell>
          <cell r="N1716" t="str">
            <v>512 W Lancaster Ave Ste 1 Wayne, PA 19087</v>
          </cell>
        </row>
        <row r="1717">
          <cell r="G1717">
            <v>305669</v>
          </cell>
          <cell r="H1717" t="str">
            <v>PSPM #</v>
          </cell>
          <cell r="I1717" t="str">
            <v>Lebanon</v>
          </cell>
          <cell r="K1717" t="str">
            <v>17 Lebanon Valley Pkwy</v>
          </cell>
          <cell r="L1717" t="str">
            <v>PA</v>
          </cell>
          <cell r="M1717">
            <v>17042</v>
          </cell>
          <cell r="N1717" t="str">
            <v>17 Lebanon Valley Pkwy Lebanon, PA 17042</v>
          </cell>
        </row>
        <row r="1718">
          <cell r="G1718">
            <v>333813</v>
          </cell>
          <cell r="H1718" t="str">
            <v>BIRD IN HAND BAKERY</v>
          </cell>
          <cell r="I1718" t="str">
            <v>Bird in Hand</v>
          </cell>
          <cell r="K1718" t="str">
            <v>2715 Old Philadelphia Pike</v>
          </cell>
          <cell r="L1718" t="str">
            <v>PA</v>
          </cell>
          <cell r="M1718">
            <v>17505</v>
          </cell>
          <cell r="N1718" t="str">
            <v>2715 Old Philadelphia Pike Bird in Hand, PA 17505</v>
          </cell>
        </row>
        <row r="1719">
          <cell r="G1719">
            <v>335424</v>
          </cell>
          <cell r="H1719" t="str">
            <v>Fox &amp; Roach Realtors</v>
          </cell>
          <cell r="I1719" t="str">
            <v>Media</v>
          </cell>
          <cell r="K1719" t="str">
            <v>601 E Baltimore Pike</v>
          </cell>
          <cell r="L1719" t="str">
            <v>PA</v>
          </cell>
          <cell r="M1719">
            <v>19063</v>
          </cell>
          <cell r="N1719" t="str">
            <v>601 E Baltimore Pike Media, PA 19063</v>
          </cell>
        </row>
        <row r="1720">
          <cell r="G1720">
            <v>325403</v>
          </cell>
          <cell r="H1720" t="str">
            <v>KRAYBILL MENNONITE SCHOOL CORP</v>
          </cell>
          <cell r="I1720" t="str">
            <v>Mount Joy</v>
          </cell>
          <cell r="K1720" t="str">
            <v>598 Kraybill Church Rd</v>
          </cell>
          <cell r="L1720" t="str">
            <v>PA</v>
          </cell>
          <cell r="M1720">
            <v>17552</v>
          </cell>
          <cell r="N1720" t="str">
            <v>598 Kraybill Church Rd Mount Joy, PA 17552</v>
          </cell>
        </row>
        <row r="1721">
          <cell r="G1721">
            <v>465673</v>
          </cell>
          <cell r="H1721" t="str">
            <v>LANC COUNTY BIBLE HAZLETON</v>
          </cell>
          <cell r="I1721" t="str">
            <v>Hazleton</v>
          </cell>
          <cell r="K1721" t="str">
            <v>760 Airport Rd</v>
          </cell>
          <cell r="L1721" t="str">
            <v>PA</v>
          </cell>
          <cell r="M1721">
            <v>18202</v>
          </cell>
          <cell r="N1721" t="str">
            <v>760 Airport Rd Hazleton, PA 18202</v>
          </cell>
        </row>
        <row r="1722">
          <cell r="G1722">
            <v>482204</v>
          </cell>
          <cell r="H1722" t="str">
            <v>Exeter Owatin Creek Elementary</v>
          </cell>
          <cell r="I1722" t="str">
            <v>Reading</v>
          </cell>
          <cell r="K1722" t="str">
            <v>5000 Boyertown Pike</v>
          </cell>
          <cell r="L1722" t="str">
            <v>PA</v>
          </cell>
          <cell r="M1722">
            <v>19606</v>
          </cell>
          <cell r="N1722" t="str">
            <v>5000 Boyertown Pike Reading, PA 19606</v>
          </cell>
        </row>
        <row r="1723">
          <cell r="G1723">
            <v>267169</v>
          </cell>
          <cell r="H1723" t="str">
            <v>LEBANON GASKET &amp; SEAL INC</v>
          </cell>
          <cell r="I1723" t="str">
            <v>Lebanon</v>
          </cell>
          <cell r="K1723" t="str">
            <v>2380 Colebrook Rd</v>
          </cell>
          <cell r="L1723" t="str">
            <v>PA</v>
          </cell>
          <cell r="M1723">
            <v>17042</v>
          </cell>
          <cell r="N1723" t="str">
            <v>2380 Colebrook Rd Lebanon, PA 17042</v>
          </cell>
        </row>
        <row r="1724">
          <cell r="G1724">
            <v>244667</v>
          </cell>
          <cell r="H1724" t="str">
            <v>Guthriesville Tire &amp; Service C</v>
          </cell>
          <cell r="I1724" t="str">
            <v>Glenmoore</v>
          </cell>
          <cell r="K1724" t="str">
            <v>1528 Horse Shoe Pike</v>
          </cell>
          <cell r="L1724" t="str">
            <v>PA</v>
          </cell>
          <cell r="M1724">
            <v>19343</v>
          </cell>
          <cell r="N1724" t="str">
            <v>1528 Horse Shoe Pike Glenmoore, PA 19343</v>
          </cell>
        </row>
        <row r="1725">
          <cell r="G1725">
            <v>242211</v>
          </cell>
          <cell r="H1725" t="str">
            <v>UNITARIAN UNIVERSALIST#</v>
          </cell>
          <cell r="I1725" t="str">
            <v>Lancaster</v>
          </cell>
          <cell r="K1725" t="str">
            <v>538 W Chestnut St</v>
          </cell>
          <cell r="L1725" t="str">
            <v>PA</v>
          </cell>
          <cell r="M1725">
            <v>17603</v>
          </cell>
          <cell r="N1725" t="str">
            <v>538 W Chestnut St Lancaster, PA 17603</v>
          </cell>
        </row>
        <row r="1726">
          <cell r="G1726">
            <v>242125</v>
          </cell>
          <cell r="H1726" t="str">
            <v>TILE DISTRIBUTORS OF AMERICA I</v>
          </cell>
          <cell r="I1726" t="str">
            <v>Wilkes Barre</v>
          </cell>
          <cell r="K1726" t="str">
            <v>300 Mundy ST</v>
          </cell>
          <cell r="L1726" t="str">
            <v>PA</v>
          </cell>
          <cell r="M1726">
            <v>18702</v>
          </cell>
          <cell r="N1726" t="str">
            <v>300 Mundy ST Wilkes Barre, PA 18702</v>
          </cell>
        </row>
        <row r="1727">
          <cell r="G1727">
            <v>242272</v>
          </cell>
          <cell r="H1727" t="str">
            <v>VICS MOTEL INC</v>
          </cell>
          <cell r="I1727" t="str">
            <v>Ronks</v>
          </cell>
          <cell r="K1727" t="str">
            <v>2645 Lincoln Hwy E</v>
          </cell>
          <cell r="L1727" t="str">
            <v>PA</v>
          </cell>
          <cell r="M1727">
            <v>17572</v>
          </cell>
          <cell r="N1727" t="str">
            <v>2645 Lincoln Hwy E Ronks, PA 17572</v>
          </cell>
        </row>
        <row r="1728">
          <cell r="G1728">
            <v>301690</v>
          </cell>
          <cell r="H1728" t="str">
            <v>Villari Sports Bar</v>
          </cell>
          <cell r="I1728" t="str">
            <v>Laurel Springs</v>
          </cell>
          <cell r="J1728" t="str">
            <v>Cherry Hill</v>
          </cell>
          <cell r="K1728" t="str">
            <v>26 Stone Rd</v>
          </cell>
          <cell r="L1728" t="str">
            <v>NJ</v>
          </cell>
          <cell r="M1728">
            <v>8021</v>
          </cell>
          <cell r="N1728" t="str">
            <v>26 Stone Rd Laurel Springs, NJ 08021</v>
          </cell>
        </row>
        <row r="1729">
          <cell r="G1729">
            <v>483425</v>
          </cell>
          <cell r="H1729" t="str">
            <v>Owen J. Roberts DSC</v>
          </cell>
          <cell r="I1729" t="str">
            <v>Pottstown</v>
          </cell>
          <cell r="K1729" t="str">
            <v>932 Sanatoga Rd</v>
          </cell>
          <cell r="L1729" t="str">
            <v>PA</v>
          </cell>
          <cell r="M1729">
            <v>19465</v>
          </cell>
          <cell r="N1729" t="str">
            <v>932 Sanatoga Rd Pottstown, PA 19465</v>
          </cell>
        </row>
        <row r="1730">
          <cell r="G1730">
            <v>340399</v>
          </cell>
          <cell r="H1730" t="str">
            <v>General Chemical &amp; Supply Inc</v>
          </cell>
          <cell r="I1730" t="str">
            <v>Levittown</v>
          </cell>
          <cell r="K1730" t="str">
            <v>2151 Green Ln</v>
          </cell>
          <cell r="L1730" t="str">
            <v>PA</v>
          </cell>
          <cell r="M1730">
            <v>19057</v>
          </cell>
          <cell r="N1730" t="str">
            <v>2151 Green Ln Levittown, PA 19057</v>
          </cell>
        </row>
        <row r="1731">
          <cell r="G1731">
            <v>482420</v>
          </cell>
          <cell r="H1731" t="str">
            <v>Conrad Weiser West Elementary</v>
          </cell>
          <cell r="I1731" t="str">
            <v>Womelsdorf</v>
          </cell>
          <cell r="K1731" t="str">
            <v>102 S 3rd St</v>
          </cell>
          <cell r="L1731" t="str">
            <v>PA</v>
          </cell>
          <cell r="M1731">
            <v>19567</v>
          </cell>
          <cell r="N1731" t="str">
            <v>102 S 3rd St Womelsdorf, PA 19567</v>
          </cell>
        </row>
        <row r="1732">
          <cell r="G1732">
            <v>241423</v>
          </cell>
          <cell r="H1732" t="str">
            <v>PETER MITCHELL INC</v>
          </cell>
          <cell r="I1732" t="str">
            <v>Lancaster</v>
          </cell>
          <cell r="K1732" t="str">
            <v>631 N President Ave</v>
          </cell>
          <cell r="L1732" t="str">
            <v>PA</v>
          </cell>
          <cell r="M1732">
            <v>17603</v>
          </cell>
          <cell r="N1732" t="str">
            <v>631 N President Ave Lancaster, PA 17603</v>
          </cell>
        </row>
        <row r="1733">
          <cell r="G1733">
            <v>240461</v>
          </cell>
          <cell r="H1733" t="str">
            <v>HUNTER KEYSTONE PETERBILT LP</v>
          </cell>
          <cell r="I1733" t="str">
            <v>Lancaster</v>
          </cell>
          <cell r="K1733" t="str">
            <v>1463 Manheim Pike</v>
          </cell>
          <cell r="L1733" t="str">
            <v>PA</v>
          </cell>
          <cell r="M1733">
            <v>17601</v>
          </cell>
          <cell r="N1733" t="str">
            <v>1463 Manheim Pike Lancaster, PA 17601</v>
          </cell>
        </row>
        <row r="1734">
          <cell r="G1734">
            <v>342427</v>
          </cell>
          <cell r="H1734" t="str">
            <v>FAITH BIBLE CHURCH</v>
          </cell>
          <cell r="I1734" t="str">
            <v>Mount Joy</v>
          </cell>
          <cell r="K1734" t="str">
            <v>2075 Harrisburg Ave</v>
          </cell>
          <cell r="L1734" t="str">
            <v>PA</v>
          </cell>
          <cell r="M1734">
            <v>17552</v>
          </cell>
          <cell r="N1734" t="str">
            <v>2075 Harrisburg Ave Mount Joy, PA 17552</v>
          </cell>
        </row>
        <row r="1735">
          <cell r="G1735">
            <v>310551</v>
          </cell>
          <cell r="H1735" t="str">
            <v>ALP INDUSTRIES INC</v>
          </cell>
          <cell r="I1735" t="str">
            <v>Lancaster</v>
          </cell>
          <cell r="K1735" t="str">
            <v>512 N Market St Ste 100</v>
          </cell>
          <cell r="L1735" t="str">
            <v>PA</v>
          </cell>
          <cell r="M1735">
            <v>17603</v>
          </cell>
          <cell r="N1735" t="str">
            <v>512 N Market St Ste 100 Lancaster, PA 17603</v>
          </cell>
        </row>
        <row r="1736">
          <cell r="G1736">
            <v>241088</v>
          </cell>
          <cell r="H1736" t="str">
            <v>MELVIN WEAVER</v>
          </cell>
          <cell r="I1736" t="str">
            <v>Lancaster</v>
          </cell>
          <cell r="K1736" t="str">
            <v>2213 Leabrook Rd</v>
          </cell>
          <cell r="L1736" t="str">
            <v>PA</v>
          </cell>
          <cell r="M1736">
            <v>17601</v>
          </cell>
          <cell r="N1736" t="str">
            <v>2213 Leabrook Rd Lancaster, PA 17601</v>
          </cell>
        </row>
        <row r="1737">
          <cell r="G1737">
            <v>449795</v>
          </cell>
          <cell r="H1737" t="str">
            <v>St Lukes Distribution Center</v>
          </cell>
          <cell r="I1737" t="str">
            <v>Allentown</v>
          </cell>
          <cell r="J1737" t="str">
            <v>Allentown</v>
          </cell>
          <cell r="K1737" t="str">
            <v>1650 E Race St</v>
          </cell>
          <cell r="L1737" t="str">
            <v>PA</v>
          </cell>
          <cell r="M1737">
            <v>18109</v>
          </cell>
          <cell r="N1737" t="str">
            <v>1650 E Race St Allentown, PA 18109</v>
          </cell>
        </row>
        <row r="1738">
          <cell r="G1738">
            <v>267913</v>
          </cell>
          <cell r="H1738" t="str">
            <v>DML Automotive</v>
          </cell>
          <cell r="I1738" t="str">
            <v>West Chester</v>
          </cell>
          <cell r="K1738" t="str">
            <v>1001 Wilmington Pike</v>
          </cell>
          <cell r="L1738" t="str">
            <v>PA</v>
          </cell>
          <cell r="M1738">
            <v>19382</v>
          </cell>
          <cell r="N1738" t="str">
            <v>1001 Wilmington Pike West Chester, PA 19382</v>
          </cell>
        </row>
        <row r="1739">
          <cell r="G1739">
            <v>341164</v>
          </cell>
          <cell r="H1739" t="str">
            <v>Binsky &amp; Snyder</v>
          </cell>
          <cell r="I1739" t="str">
            <v>Hatboro</v>
          </cell>
          <cell r="J1739" t="str">
            <v>Philly Suburbs - North</v>
          </cell>
          <cell r="K1739" t="str">
            <v>2930 Turnpike Dr</v>
          </cell>
          <cell r="L1739" t="str">
            <v>PA</v>
          </cell>
          <cell r="M1739">
            <v>19040</v>
          </cell>
          <cell r="N1739" t="str">
            <v>2930 Turnpike Dr Hatboro, PA 19040</v>
          </cell>
        </row>
        <row r="1740">
          <cell r="G1740">
            <v>266612</v>
          </cell>
          <cell r="H1740" t="str">
            <v>Woodbine Board of Education</v>
          </cell>
          <cell r="I1740" t="str">
            <v>Woodbine</v>
          </cell>
          <cell r="K1740" t="str">
            <v>801 Webster St</v>
          </cell>
          <cell r="L1740" t="str">
            <v>NJ</v>
          </cell>
          <cell r="M1740">
            <v>8270</v>
          </cell>
          <cell r="N1740" t="str">
            <v>801 Webster St Woodbine, NJ 08270</v>
          </cell>
        </row>
        <row r="1741">
          <cell r="G1741">
            <v>278582</v>
          </cell>
          <cell r="H1741" t="str">
            <v>Princeton Junior School</v>
          </cell>
          <cell r="I1741" t="str">
            <v>Lawrenceville</v>
          </cell>
          <cell r="K1741" t="str">
            <v>90 Fackler Rd</v>
          </cell>
          <cell r="L1741" t="str">
            <v>NJ</v>
          </cell>
          <cell r="M1741">
            <v>8648</v>
          </cell>
          <cell r="N1741" t="str">
            <v>90 Fackler Rd Lawrenceville, NJ 08648</v>
          </cell>
        </row>
        <row r="1742">
          <cell r="G1742">
            <v>240356</v>
          </cell>
          <cell r="H1742" t="str">
            <v>HEMPFIELD AREA RECREATION#</v>
          </cell>
          <cell r="I1742" t="str">
            <v>Landisville</v>
          </cell>
          <cell r="K1742" t="str">
            <v>1251 Stony Battery Road</v>
          </cell>
          <cell r="L1742" t="str">
            <v>PA</v>
          </cell>
          <cell r="M1742">
            <v>17538</v>
          </cell>
          <cell r="N1742" t="str">
            <v>1251 Stony Battery Road Landisville, PA 17538</v>
          </cell>
        </row>
        <row r="1743">
          <cell r="G1743">
            <v>344298</v>
          </cell>
          <cell r="H1743" t="str">
            <v>LIVING WATERS CHAPEL</v>
          </cell>
          <cell r="I1743" t="str">
            <v>Lebanon</v>
          </cell>
          <cell r="K1743" t="str">
            <v>1900 Jay St</v>
          </cell>
          <cell r="L1743" t="str">
            <v>PA</v>
          </cell>
          <cell r="M1743">
            <v>17046</v>
          </cell>
          <cell r="N1743" t="str">
            <v>1900 Jay St Lebanon, PA 17046</v>
          </cell>
        </row>
        <row r="1744">
          <cell r="G1744">
            <v>240210</v>
          </cell>
          <cell r="H1744" t="str">
            <v>GILBERT ARCHITECTS</v>
          </cell>
          <cell r="I1744" t="str">
            <v>Lancaster</v>
          </cell>
          <cell r="K1744" t="str">
            <v>626 N Charlotte St</v>
          </cell>
          <cell r="L1744" t="str">
            <v>PA</v>
          </cell>
          <cell r="M1744">
            <v>17603</v>
          </cell>
          <cell r="N1744" t="str">
            <v>626 N Charlotte St Lancaster, PA 17603</v>
          </cell>
        </row>
        <row r="1745">
          <cell r="G1745">
            <v>240236</v>
          </cell>
          <cell r="H1745" t="str">
            <v>GOOD TRANSPORT INC</v>
          </cell>
          <cell r="I1745" t="str">
            <v>Columbia</v>
          </cell>
          <cell r="K1745" t="str">
            <v>4668 Breezyview Dr</v>
          </cell>
          <cell r="L1745" t="str">
            <v>PA</v>
          </cell>
          <cell r="M1745">
            <v>17512</v>
          </cell>
          <cell r="N1745" t="str">
            <v>4668 Breezyview Dr Columbia, PA 17512</v>
          </cell>
        </row>
        <row r="1746">
          <cell r="G1746">
            <v>336056</v>
          </cell>
          <cell r="H1746" t="str">
            <v>Specialty Egg Packaging</v>
          </cell>
          <cell r="I1746" t="str">
            <v>New Holland</v>
          </cell>
          <cell r="K1746" t="str">
            <v>165 N Shirk Rd</v>
          </cell>
          <cell r="L1746" t="str">
            <v>PA</v>
          </cell>
          <cell r="M1746">
            <v>17557</v>
          </cell>
          <cell r="N1746" t="str">
            <v>165 N Shirk Rd New Holland, PA 17557</v>
          </cell>
        </row>
        <row r="1747">
          <cell r="G1747">
            <v>469311</v>
          </cell>
          <cell r="H1747" t="str">
            <v>West Chester University</v>
          </cell>
          <cell r="I1747" t="str">
            <v>West Chester</v>
          </cell>
          <cell r="K1747" t="str">
            <v>275 N Campus Dr</v>
          </cell>
          <cell r="L1747" t="str">
            <v>PA</v>
          </cell>
          <cell r="M1747">
            <v>19383</v>
          </cell>
          <cell r="N1747" t="str">
            <v>275 N Campus Dr West Chester, PA 19383</v>
          </cell>
        </row>
        <row r="1748">
          <cell r="G1748">
            <v>330183</v>
          </cell>
          <cell r="H1748" t="str">
            <v>Fred Beans Hyundai of Langhorn</v>
          </cell>
          <cell r="I1748" t="str">
            <v>Langhorne</v>
          </cell>
          <cell r="K1748" t="str">
            <v>1106 E Lincoln Hwy</v>
          </cell>
          <cell r="L1748" t="str">
            <v>PA</v>
          </cell>
          <cell r="M1748">
            <v>19047</v>
          </cell>
          <cell r="N1748" t="str">
            <v>1106 E Lincoln Hwy Langhorne, PA 19047</v>
          </cell>
        </row>
        <row r="1749">
          <cell r="G1749">
            <v>240017</v>
          </cell>
          <cell r="H1749" t="str">
            <v>EVERKLEEN INC#</v>
          </cell>
          <cell r="I1749" t="str">
            <v>New Holland</v>
          </cell>
          <cell r="K1749" t="str">
            <v>591 E Jackson St</v>
          </cell>
          <cell r="L1749" t="str">
            <v>PA</v>
          </cell>
          <cell r="M1749">
            <v>17557</v>
          </cell>
          <cell r="N1749" t="str">
            <v>591 E Jackson St New Holland, PA 17557</v>
          </cell>
        </row>
        <row r="1750">
          <cell r="G1750">
            <v>267942</v>
          </cell>
          <cell r="H1750" t="str">
            <v>DENTAL CARE OF LANCASTER*</v>
          </cell>
          <cell r="I1750" t="str">
            <v>Lancaster</v>
          </cell>
          <cell r="K1750" t="str">
            <v>1891 Fruitville Pike</v>
          </cell>
          <cell r="L1750" t="str">
            <v>PA</v>
          </cell>
          <cell r="M1750">
            <v>17601</v>
          </cell>
          <cell r="N1750" t="str">
            <v>1891 Fruitville Pike Lancaster, PA 17601</v>
          </cell>
        </row>
        <row r="1751">
          <cell r="G1751">
            <v>242376</v>
          </cell>
          <cell r="H1751" t="str">
            <v>WEST YORK SCHOOL DISTRICT</v>
          </cell>
          <cell r="I1751" t="str">
            <v>York</v>
          </cell>
          <cell r="K1751" t="str">
            <v>2605 W Market St</v>
          </cell>
          <cell r="L1751" t="str">
            <v>PA</v>
          </cell>
          <cell r="M1751">
            <v>17404</v>
          </cell>
          <cell r="N1751" t="str">
            <v>2605 W Market St York, PA 17404</v>
          </cell>
        </row>
        <row r="1752">
          <cell r="G1752">
            <v>452964</v>
          </cell>
          <cell r="H1752" t="str">
            <v>Kidz Ink 3</v>
          </cell>
          <cell r="I1752" t="str">
            <v>Dover</v>
          </cell>
          <cell r="K1752" t="str">
            <v>645 W North St</v>
          </cell>
          <cell r="L1752" t="str">
            <v>DE</v>
          </cell>
          <cell r="M1752">
            <v>19904</v>
          </cell>
          <cell r="N1752" t="str">
            <v>645 W North St Dover, DE 19904</v>
          </cell>
        </row>
        <row r="1753">
          <cell r="G1753">
            <v>239333</v>
          </cell>
          <cell r="H1753" t="str">
            <v>BLOSSOM HILL MENNONITE CHURCH</v>
          </cell>
          <cell r="I1753" t="str">
            <v>Lancaster</v>
          </cell>
          <cell r="K1753" t="str">
            <v>333 Delp Rd</v>
          </cell>
          <cell r="L1753" t="str">
            <v>PA</v>
          </cell>
          <cell r="M1753">
            <v>17601</v>
          </cell>
          <cell r="N1753" t="str">
            <v>333 Delp Rd Lancaster, PA 17601</v>
          </cell>
        </row>
        <row r="1754">
          <cell r="G1754">
            <v>345604</v>
          </cell>
          <cell r="H1754" t="str">
            <v>EAST WHITELAND VOLUNTEER FIRE</v>
          </cell>
          <cell r="I1754" t="str">
            <v>Malvern</v>
          </cell>
          <cell r="K1754" t="str">
            <v>205 Conestoga Rd</v>
          </cell>
          <cell r="L1754" t="str">
            <v>PA</v>
          </cell>
          <cell r="M1754">
            <v>19355</v>
          </cell>
          <cell r="N1754" t="str">
            <v>205 Conestoga Rd Malvern, PA 19355</v>
          </cell>
        </row>
        <row r="1755">
          <cell r="G1755">
            <v>240727</v>
          </cell>
          <cell r="H1755" t="str">
            <v>LANC COUNTYWIDE COMMUNICATIONS</v>
          </cell>
          <cell r="I1755" t="str">
            <v>Manheim</v>
          </cell>
          <cell r="K1755" t="str">
            <v>28 S Charlotte St</v>
          </cell>
          <cell r="L1755" t="str">
            <v>PA</v>
          </cell>
          <cell r="M1755">
            <v>17545</v>
          </cell>
          <cell r="N1755" t="str">
            <v>28 S Charlotte St Manheim, PA 17545</v>
          </cell>
        </row>
        <row r="1756">
          <cell r="G1756">
            <v>299906</v>
          </cell>
          <cell r="H1756" t="str">
            <v>Roseto Borough</v>
          </cell>
          <cell r="I1756" t="str">
            <v>Roseto</v>
          </cell>
          <cell r="K1756" t="str">
            <v>164 Garibaldi Ave</v>
          </cell>
          <cell r="L1756" t="str">
            <v>PA</v>
          </cell>
          <cell r="M1756">
            <v>18013</v>
          </cell>
          <cell r="N1756" t="str">
            <v>164 Garibaldi Ave Roseto, PA 18013</v>
          </cell>
        </row>
        <row r="1757">
          <cell r="G1757">
            <v>435918</v>
          </cell>
          <cell r="H1757" t="str">
            <v>Jennersville Rd. Associates, L</v>
          </cell>
          <cell r="I1757" t="str">
            <v>West Grove</v>
          </cell>
          <cell r="K1757" t="str">
            <v>105 Vineyard Way</v>
          </cell>
          <cell r="L1757" t="str">
            <v>PA</v>
          </cell>
          <cell r="M1757">
            <v>19390</v>
          </cell>
          <cell r="N1757" t="str">
            <v>105 Vineyard Way West Grove, PA 19390</v>
          </cell>
        </row>
        <row r="1758">
          <cell r="G1758">
            <v>239988</v>
          </cell>
          <cell r="H1758" t="str">
            <v>EPHRATA BORO LIBRARY</v>
          </cell>
          <cell r="I1758" t="str">
            <v>Ephrata</v>
          </cell>
          <cell r="K1758" t="str">
            <v>550 S READING RD</v>
          </cell>
          <cell r="L1758" t="str">
            <v>PA</v>
          </cell>
          <cell r="M1758">
            <v>17522</v>
          </cell>
          <cell r="N1758" t="str">
            <v>550 S READING RD Ephrata, PA 17522</v>
          </cell>
        </row>
        <row r="1759">
          <cell r="G1759">
            <v>460745</v>
          </cell>
          <cell r="H1759" t="str">
            <v>CHR RUTTERS WAREHOUSE</v>
          </cell>
          <cell r="I1759" t="str">
            <v>York</v>
          </cell>
          <cell r="K1759" t="str">
            <v>3201 Espresso Way</v>
          </cell>
          <cell r="L1759" t="str">
            <v>PA</v>
          </cell>
          <cell r="M1759">
            <v>17406</v>
          </cell>
          <cell r="N1759" t="str">
            <v>3201 Espresso Way York, PA 17406</v>
          </cell>
        </row>
        <row r="1760">
          <cell r="G1760">
            <v>484252</v>
          </cell>
          <cell r="H1760" t="str">
            <v>GLICK FIRE EQUIPMENT CO INC</v>
          </cell>
          <cell r="I1760" t="str">
            <v>Harleysville</v>
          </cell>
          <cell r="K1760" t="str">
            <v>110 CHRISTOPHER LN</v>
          </cell>
          <cell r="L1760" t="str">
            <v>PA</v>
          </cell>
          <cell r="M1760">
            <v>19438</v>
          </cell>
          <cell r="N1760" t="str">
            <v>110 CHRISTOPHER LN Harleysville, PA 19438</v>
          </cell>
        </row>
        <row r="1761">
          <cell r="G1761">
            <v>449317</v>
          </cell>
          <cell r="H1761" t="str">
            <v>EPHRATA COMMUNITY POOL/PARKS</v>
          </cell>
          <cell r="I1761" t="str">
            <v>Ephrata</v>
          </cell>
          <cell r="K1761" t="str">
            <v>418 Vine St</v>
          </cell>
          <cell r="L1761" t="str">
            <v>PA</v>
          </cell>
          <cell r="M1761">
            <v>17522</v>
          </cell>
          <cell r="N1761" t="str">
            <v>418 Vine St Ephrata, PA 17522</v>
          </cell>
        </row>
        <row r="1762">
          <cell r="G1762">
            <v>343470</v>
          </cell>
          <cell r="H1762" t="str">
            <v>RD CLEANING SERVICES</v>
          </cell>
          <cell r="I1762" t="str">
            <v>Lancaster</v>
          </cell>
          <cell r="K1762" t="str">
            <v>37 Hampton Ln</v>
          </cell>
          <cell r="L1762" t="str">
            <v>PA</v>
          </cell>
          <cell r="M1762">
            <v>17601</v>
          </cell>
          <cell r="N1762" t="str">
            <v>37 Hampton Ln Lancaster, PA 17601</v>
          </cell>
        </row>
        <row r="1763">
          <cell r="G1763">
            <v>238960</v>
          </cell>
          <cell r="H1763" t="str">
            <v>Stauffers of Kissel Hill</v>
          </cell>
          <cell r="I1763" t="str">
            <v>Lititz</v>
          </cell>
          <cell r="K1763" t="str">
            <v>813 Lititz Pike</v>
          </cell>
          <cell r="L1763" t="str">
            <v>PA</v>
          </cell>
          <cell r="M1763">
            <v>17543</v>
          </cell>
          <cell r="N1763" t="str">
            <v>813 Lititz Pike Lititz, PA 17543</v>
          </cell>
        </row>
        <row r="1764">
          <cell r="G1764">
            <v>418570</v>
          </cell>
          <cell r="H1764" t="str">
            <v>Transportation Department</v>
          </cell>
          <cell r="I1764" t="str">
            <v>Havertown</v>
          </cell>
          <cell r="K1764" t="str">
            <v>50 Hilltop Rd</v>
          </cell>
          <cell r="L1764" t="str">
            <v>PA</v>
          </cell>
          <cell r="M1764">
            <v>19083</v>
          </cell>
          <cell r="N1764" t="str">
            <v>50 Hilltop Rd Havertown, PA 19083</v>
          </cell>
        </row>
        <row r="1765">
          <cell r="G1765">
            <v>242265</v>
          </cell>
          <cell r="H1765" t="str">
            <v>VALLEY VIEW ALLIANCE CHURCH</v>
          </cell>
          <cell r="I1765" t="str">
            <v>Hallam</v>
          </cell>
          <cell r="K1765" t="str">
            <v>200 Alliance Ave</v>
          </cell>
          <cell r="L1765" t="str">
            <v>PA</v>
          </cell>
          <cell r="M1765">
            <v>17406</v>
          </cell>
          <cell r="N1765" t="str">
            <v>200 Alliance Ave Hallam, PA 17406</v>
          </cell>
        </row>
        <row r="1766">
          <cell r="G1766">
            <v>313903</v>
          </cell>
          <cell r="H1766" t="str">
            <v>St Bernadette of Lourdes</v>
          </cell>
          <cell r="I1766" t="str">
            <v>Drexel Hill</v>
          </cell>
          <cell r="K1766" t="str">
            <v>1035 Turner Ave</v>
          </cell>
          <cell r="L1766" t="str">
            <v>PA</v>
          </cell>
          <cell r="M1766">
            <v>19026</v>
          </cell>
          <cell r="N1766" t="str">
            <v>1035 Turner Ave Drexel Hill, PA 19026</v>
          </cell>
        </row>
        <row r="1767">
          <cell r="G1767">
            <v>241070</v>
          </cell>
          <cell r="H1767" t="str">
            <v>MCCARTY &amp; SON INC</v>
          </cell>
          <cell r="I1767" t="str">
            <v>Ephrata</v>
          </cell>
          <cell r="K1767" t="str">
            <v>1161 Steinmetz Rd</v>
          </cell>
          <cell r="L1767" t="str">
            <v>PA</v>
          </cell>
          <cell r="M1767">
            <v>17522</v>
          </cell>
          <cell r="N1767" t="str">
            <v>1161 Steinmetz Rd Ephrata, PA 17522</v>
          </cell>
        </row>
        <row r="1768">
          <cell r="G1768">
            <v>481483</v>
          </cell>
          <cell r="H1768" t="str">
            <v>Exeter Reiffton School</v>
          </cell>
          <cell r="I1768" t="str">
            <v>Reading</v>
          </cell>
          <cell r="K1768" t="str">
            <v>4355 Dunham Dr</v>
          </cell>
          <cell r="L1768" t="str">
            <v>PA</v>
          </cell>
          <cell r="M1768">
            <v>19606</v>
          </cell>
          <cell r="N1768" t="str">
            <v>4355 Dunham Dr Reading, PA 19606</v>
          </cell>
        </row>
        <row r="1769">
          <cell r="G1769">
            <v>416229</v>
          </cell>
          <cell r="H1769" t="str">
            <v>Audubon High School</v>
          </cell>
          <cell r="I1769" t="str">
            <v>Audubon</v>
          </cell>
          <cell r="J1769" t="str">
            <v>Philly Suburbs - NW</v>
          </cell>
          <cell r="K1769" t="str">
            <v>2765 Egypt Rd</v>
          </cell>
          <cell r="L1769" t="str">
            <v>PA</v>
          </cell>
          <cell r="M1769">
            <v>19403</v>
          </cell>
          <cell r="N1769" t="str">
            <v>2765 Egypt Rd Audubon, PA 19403</v>
          </cell>
        </row>
        <row r="1770">
          <cell r="G1770">
            <v>308315</v>
          </cell>
          <cell r="H1770" t="str">
            <v>MOUNT CARMEL AREA SCHOOL DISTR</v>
          </cell>
          <cell r="I1770" t="str">
            <v>Mount Carmel</v>
          </cell>
          <cell r="K1770" t="str">
            <v>600 W 5th St</v>
          </cell>
          <cell r="L1770" t="str">
            <v>PA</v>
          </cell>
          <cell r="M1770">
            <v>17851</v>
          </cell>
          <cell r="N1770" t="str">
            <v>600 W 5th St Mount Carmel, PA 17851</v>
          </cell>
        </row>
        <row r="1771">
          <cell r="G1771">
            <v>481481</v>
          </cell>
          <cell r="H1771" t="str">
            <v>Exeter SD High School</v>
          </cell>
          <cell r="I1771" t="str">
            <v>Reading</v>
          </cell>
          <cell r="K1771" t="str">
            <v>201 E. 37th St</v>
          </cell>
          <cell r="L1771" t="str">
            <v>PA</v>
          </cell>
          <cell r="M1771">
            <v>19606</v>
          </cell>
          <cell r="N1771" t="str">
            <v>201 E. 37th St Reading, PA 19606</v>
          </cell>
        </row>
        <row r="1772">
          <cell r="G1772">
            <v>240418</v>
          </cell>
          <cell r="H1772" t="str">
            <v>HINKLETOWN MENNONITE CHURCH M</v>
          </cell>
          <cell r="I1772" t="str">
            <v>Ephrata</v>
          </cell>
          <cell r="K1772" t="str">
            <v>2031 Division Hwy</v>
          </cell>
          <cell r="L1772" t="str">
            <v>PA</v>
          </cell>
          <cell r="M1772">
            <v>17522</v>
          </cell>
          <cell r="N1772" t="str">
            <v>2031 Division Hwy Ephrata, PA 17522</v>
          </cell>
        </row>
        <row r="1773">
          <cell r="G1773">
            <v>298192</v>
          </cell>
          <cell r="H1773" t="str">
            <v>KVI</v>
          </cell>
          <cell r="I1773" t="str">
            <v>Huntingdon Valley</v>
          </cell>
          <cell r="J1773" t="str">
            <v>Philly Suburbs - North</v>
          </cell>
          <cell r="K1773" t="str">
            <v>1458 County Line Rd</v>
          </cell>
          <cell r="L1773" t="str">
            <v>PA</v>
          </cell>
          <cell r="M1773">
            <v>19006</v>
          </cell>
          <cell r="N1773" t="str">
            <v>1458 County Line Rd Huntingdon Valley, PA 19006</v>
          </cell>
        </row>
        <row r="1774">
          <cell r="G1774">
            <v>416623</v>
          </cell>
          <cell r="H1774" t="str">
            <v>Drexel University Chemistry De</v>
          </cell>
          <cell r="I1774" t="str">
            <v>Philadelphia</v>
          </cell>
          <cell r="K1774" t="str">
            <v>3340 Market St</v>
          </cell>
          <cell r="L1774" t="str">
            <v>PA</v>
          </cell>
          <cell r="M1774">
            <v>19104</v>
          </cell>
          <cell r="N1774" t="str">
            <v>3340 Market St Philadelphia, PA 19104</v>
          </cell>
        </row>
        <row r="1775">
          <cell r="G1775">
            <v>448360</v>
          </cell>
          <cell r="H1775" t="str">
            <v>CARPENTER CO  LITITZ FURNITURE</v>
          </cell>
          <cell r="I1775" t="str">
            <v>Lititz</v>
          </cell>
          <cell r="K1775" t="str">
            <v>400 Arrowhead Dr</v>
          </cell>
          <cell r="L1775" t="str">
            <v>PA</v>
          </cell>
          <cell r="M1775">
            <v>17543</v>
          </cell>
          <cell r="N1775" t="str">
            <v>400 Arrowhead Dr Lititz, PA 17543</v>
          </cell>
        </row>
        <row r="1776">
          <cell r="G1776">
            <v>263915</v>
          </cell>
          <cell r="H1776" t="str">
            <v>BART VOLUNTEER FIRE COMPANY</v>
          </cell>
          <cell r="I1776" t="str">
            <v>Quarryville</v>
          </cell>
          <cell r="K1776" t="str">
            <v>11 Furnace Rd</v>
          </cell>
          <cell r="L1776" t="str">
            <v>PA</v>
          </cell>
          <cell r="M1776">
            <v>17566</v>
          </cell>
          <cell r="N1776" t="str">
            <v>11 Furnace Rd Quarryville, PA 17566</v>
          </cell>
        </row>
        <row r="1777">
          <cell r="G1777">
            <v>300453</v>
          </cell>
          <cell r="H1777" t="str">
            <v>CC - Independent Contract Floo</v>
          </cell>
          <cell r="I1777" t="str">
            <v>Hatfield</v>
          </cell>
          <cell r="K1777" t="str">
            <v>2705 Clemens Rd Ste A102</v>
          </cell>
          <cell r="L1777" t="str">
            <v>PA</v>
          </cell>
          <cell r="M1777">
            <v>19440</v>
          </cell>
          <cell r="N1777" t="str">
            <v>2705 Clemens Rd Ste A102 Hatfield, PA 19440</v>
          </cell>
        </row>
        <row r="1778">
          <cell r="G1778">
            <v>241723</v>
          </cell>
          <cell r="H1778" t="str">
            <v>SALEM UNITED METHODIST CHURCH</v>
          </cell>
          <cell r="I1778" t="str">
            <v>Manheim</v>
          </cell>
          <cell r="K1778" t="str">
            <v>140 N Penn St</v>
          </cell>
          <cell r="L1778" t="str">
            <v>PA</v>
          </cell>
          <cell r="M1778">
            <v>17545</v>
          </cell>
          <cell r="N1778" t="str">
            <v>140 N Penn St Manheim, PA 17545</v>
          </cell>
        </row>
        <row r="1779">
          <cell r="G1779">
            <v>239301</v>
          </cell>
          <cell r="H1779" t="str">
            <v>BETHANY PRESBYTERIAN CHURCH#</v>
          </cell>
          <cell r="I1779" t="str">
            <v>Lancaster</v>
          </cell>
          <cell r="K1779" t="str">
            <v>25 N West End Ave</v>
          </cell>
          <cell r="L1779" t="str">
            <v>PA</v>
          </cell>
          <cell r="M1779">
            <v>17603</v>
          </cell>
          <cell r="N1779" t="str">
            <v>25 N West End Ave Lancaster, PA 17603</v>
          </cell>
        </row>
        <row r="1780">
          <cell r="G1780">
            <v>455425</v>
          </cell>
          <cell r="H1780" t="str">
            <v>RENTOKIL</v>
          </cell>
          <cell r="I1780" t="str">
            <v>Reading</v>
          </cell>
          <cell r="K1780" t="str">
            <v>10 Vanguard Dr Ste 80</v>
          </cell>
          <cell r="L1780" t="str">
            <v>PA</v>
          </cell>
          <cell r="M1780">
            <v>19606</v>
          </cell>
          <cell r="N1780" t="str">
            <v>10 Vanguard Dr Ste 80 Reading, PA 19606</v>
          </cell>
        </row>
        <row r="1781">
          <cell r="G1781">
            <v>242367</v>
          </cell>
          <cell r="H1781" t="str">
            <v>BLUE ROCK REGIONAL FIRE DISTRI</v>
          </cell>
          <cell r="I1781" t="str">
            <v>Millersville</v>
          </cell>
          <cell r="K1781" t="str">
            <v>26 E Charlotte St</v>
          </cell>
          <cell r="L1781" t="str">
            <v>PA</v>
          </cell>
          <cell r="M1781">
            <v>17551</v>
          </cell>
          <cell r="N1781" t="str">
            <v>26 E Charlotte St Millersville, PA 17551</v>
          </cell>
        </row>
        <row r="1782">
          <cell r="G1782">
            <v>344386</v>
          </cell>
          <cell r="H1782" t="str">
            <v>Abilities In Motion</v>
          </cell>
          <cell r="I1782" t="str">
            <v>Reading</v>
          </cell>
          <cell r="K1782" t="str">
            <v>755 Hiesters Ln</v>
          </cell>
          <cell r="L1782" t="str">
            <v>PA</v>
          </cell>
          <cell r="M1782">
            <v>19605</v>
          </cell>
          <cell r="N1782" t="str">
            <v>755 Hiesters Ln Reading, PA 19605</v>
          </cell>
        </row>
        <row r="1783">
          <cell r="G1783">
            <v>241570</v>
          </cell>
          <cell r="H1783" t="str">
            <v>REFTON BRETHREN IN CHRIST CHUR</v>
          </cell>
          <cell r="I1783" t="str">
            <v>REFTON</v>
          </cell>
          <cell r="K1783" t="str">
            <v>110 Church St</v>
          </cell>
          <cell r="L1783" t="str">
            <v>PA</v>
          </cell>
          <cell r="M1783">
            <v>17568</v>
          </cell>
          <cell r="N1783" t="str">
            <v>110 Church St REFTON, PA 17568</v>
          </cell>
        </row>
        <row r="1784">
          <cell r="G1784">
            <v>432311</v>
          </cell>
          <cell r="H1784" t="str">
            <v>United Sports Training Center</v>
          </cell>
          <cell r="I1784" t="str">
            <v>Downingtown</v>
          </cell>
          <cell r="K1784" t="str">
            <v>1426 Marshallton Thorndale Rd</v>
          </cell>
          <cell r="L1784" t="str">
            <v>PA</v>
          </cell>
          <cell r="M1784">
            <v>19335</v>
          </cell>
          <cell r="N1784" t="str">
            <v>1426 Marshallton Thorndale Rd Downingtown, PA 19335</v>
          </cell>
        </row>
        <row r="1785">
          <cell r="G1785">
            <v>268915</v>
          </cell>
          <cell r="H1785" t="str">
            <v>Eagle Design Group LLC</v>
          </cell>
          <cell r="I1785" t="str">
            <v>Chester Springs</v>
          </cell>
          <cell r="K1785" t="str">
            <v>45 Senn Dr</v>
          </cell>
          <cell r="L1785" t="str">
            <v>PA</v>
          </cell>
          <cell r="M1785">
            <v>19425</v>
          </cell>
          <cell r="N1785" t="str">
            <v>45 Senn Dr Chester Springs, PA 19425</v>
          </cell>
        </row>
        <row r="1786">
          <cell r="G1786">
            <v>240406</v>
          </cell>
          <cell r="H1786" t="str">
            <v>HIGHLANDER CLEANERS</v>
          </cell>
          <cell r="I1786" t="str">
            <v>Mount Joy</v>
          </cell>
          <cell r="K1786" t="str">
            <v>5 S Barbara St</v>
          </cell>
          <cell r="L1786" t="str">
            <v>PA</v>
          </cell>
          <cell r="M1786">
            <v>17552</v>
          </cell>
          <cell r="N1786" t="str">
            <v>5 S Barbara St Mount Joy, PA 17552</v>
          </cell>
        </row>
        <row r="1787">
          <cell r="G1787">
            <v>299971</v>
          </cell>
          <cell r="H1787" t="str">
            <v>MSC INDUSTRIAL DIRECT</v>
          </cell>
          <cell r="I1787" t="str">
            <v>Jonestown</v>
          </cell>
          <cell r="K1787" t="str">
            <v>100 MSC Drive</v>
          </cell>
          <cell r="L1787" t="str">
            <v>PA</v>
          </cell>
          <cell r="M1787">
            <v>17038</v>
          </cell>
          <cell r="N1787" t="str">
            <v>100 MSC Drive Jonestown, PA 17038</v>
          </cell>
        </row>
        <row r="1788">
          <cell r="G1788">
            <v>483785</v>
          </cell>
          <cell r="H1788" t="str">
            <v>Cornwall Terrace Elementary</v>
          </cell>
          <cell r="I1788" t="str">
            <v>Sinking Spring</v>
          </cell>
          <cell r="K1788" t="str">
            <v>3100 Iroquois Ave</v>
          </cell>
          <cell r="L1788" t="str">
            <v>PA</v>
          </cell>
          <cell r="M1788">
            <v>19608</v>
          </cell>
          <cell r="N1788" t="str">
            <v>3100 Iroquois Ave Sinking Spring, PA 19608</v>
          </cell>
        </row>
        <row r="1789">
          <cell r="G1789">
            <v>468150</v>
          </cell>
          <cell r="H1789" t="str">
            <v>KREIDER FARMS</v>
          </cell>
          <cell r="I1789" t="str">
            <v>Manheim</v>
          </cell>
          <cell r="K1789" t="str">
            <v>425 Indian Village Rd</v>
          </cell>
          <cell r="L1789" t="str">
            <v>PA</v>
          </cell>
          <cell r="M1789">
            <v>17545</v>
          </cell>
          <cell r="N1789" t="str">
            <v>425 Indian Village Rd Manheim, PA 17545</v>
          </cell>
        </row>
        <row r="1790">
          <cell r="G1790">
            <v>294756</v>
          </cell>
          <cell r="H1790" t="str">
            <v>GALEBACHS FLOOR FINISHING INC</v>
          </cell>
          <cell r="I1790" t="str">
            <v>Manheim</v>
          </cell>
          <cell r="K1790" t="str">
            <v>1148 OLD LINE RD</v>
          </cell>
          <cell r="L1790" t="str">
            <v>PA</v>
          </cell>
          <cell r="M1790">
            <v>17545</v>
          </cell>
          <cell r="N1790" t="str">
            <v>1148 OLD LINE RD Manheim, PA 17545</v>
          </cell>
        </row>
        <row r="1791">
          <cell r="G1791">
            <v>241276</v>
          </cell>
          <cell r="H1791" t="str">
            <v>NORTHEAST JANITORIAL SUPPLY LL</v>
          </cell>
          <cell r="I1791" t="str">
            <v>Allentown</v>
          </cell>
          <cell r="J1791" t="str">
            <v>Allentown</v>
          </cell>
          <cell r="K1791" t="str">
            <v>847 N GILMORE ST</v>
          </cell>
          <cell r="L1791" t="str">
            <v>PA</v>
          </cell>
          <cell r="M1791">
            <v>18109</v>
          </cell>
          <cell r="N1791" t="str">
            <v>847 N GILMORE ST Allentown, PA 18109</v>
          </cell>
        </row>
        <row r="1792">
          <cell r="G1792">
            <v>319476</v>
          </cell>
          <cell r="H1792" t="str">
            <v>Clear Star Janitorial &amp; Cleani</v>
          </cell>
          <cell r="I1792" t="str">
            <v>Denver</v>
          </cell>
          <cell r="K1792" t="str">
            <v>75 W Church St</v>
          </cell>
          <cell r="L1792" t="str">
            <v>PA</v>
          </cell>
          <cell r="M1792">
            <v>17517</v>
          </cell>
          <cell r="N1792" t="str">
            <v>75 W Church St Denver, PA 17517</v>
          </cell>
        </row>
        <row r="1793">
          <cell r="G1793">
            <v>243861</v>
          </cell>
          <cell r="H1793" t="str">
            <v>Lumbermen Associates Inc.</v>
          </cell>
          <cell r="I1793" t="str">
            <v>Bristol</v>
          </cell>
          <cell r="J1793" t="str">
            <v>Philly - NE</v>
          </cell>
          <cell r="K1793" t="str">
            <v>2101 Hunter Rd</v>
          </cell>
          <cell r="L1793" t="str">
            <v>PA</v>
          </cell>
          <cell r="M1793">
            <v>19007</v>
          </cell>
          <cell r="N1793" t="str">
            <v>2101 Hunter Rd Bristol, PA 19007</v>
          </cell>
        </row>
        <row r="1794">
          <cell r="G1794">
            <v>415483</v>
          </cell>
          <cell r="H1794" t="str">
            <v>EPHRATA RECEIVING WAREHOUSE</v>
          </cell>
          <cell r="I1794" t="str">
            <v>Lebanon</v>
          </cell>
          <cell r="K1794" t="str">
            <v>1503 Quentin Rd ECH Suite</v>
          </cell>
          <cell r="L1794" t="str">
            <v>PA</v>
          </cell>
          <cell r="M1794">
            <v>17042</v>
          </cell>
          <cell r="N1794" t="str">
            <v>1503 Quentin Rd ECH Suite Lebanon, PA 17042</v>
          </cell>
        </row>
        <row r="1795">
          <cell r="G1795">
            <v>417618</v>
          </cell>
          <cell r="H1795" t="str">
            <v>Jenner's Pond Retirement Commu</v>
          </cell>
          <cell r="I1795" t="str">
            <v>West Grove</v>
          </cell>
          <cell r="K1795" t="str">
            <v>100 Sycamore Dr</v>
          </cell>
          <cell r="L1795" t="str">
            <v>PA</v>
          </cell>
          <cell r="M1795">
            <v>19390</v>
          </cell>
          <cell r="N1795" t="str">
            <v>100 Sycamore Dr West Grove, PA 19390</v>
          </cell>
        </row>
        <row r="1796">
          <cell r="G1796">
            <v>285461</v>
          </cell>
          <cell r="H1796" t="str">
            <v>DANIELS FLOOR CARE</v>
          </cell>
          <cell r="I1796" t="str">
            <v>Bernville</v>
          </cell>
          <cell r="K1796" t="str">
            <v>75 Grange Rd</v>
          </cell>
          <cell r="L1796" t="str">
            <v>PA</v>
          </cell>
          <cell r="M1796">
            <v>19506</v>
          </cell>
          <cell r="N1796" t="str">
            <v>75 Grange Rd Bernville, PA 19506</v>
          </cell>
        </row>
        <row r="1797">
          <cell r="G1797">
            <v>243403</v>
          </cell>
          <cell r="H1797" t="str">
            <v>Ingleside Homes Inc.</v>
          </cell>
          <cell r="I1797" t="str">
            <v>Wilmington</v>
          </cell>
          <cell r="K1797" t="str">
            <v>1005 N Franklin St</v>
          </cell>
          <cell r="L1797" t="str">
            <v>DE</v>
          </cell>
          <cell r="M1797">
            <v>19806</v>
          </cell>
          <cell r="N1797" t="str">
            <v>1005 N Franklin St Wilmington, DE 19806</v>
          </cell>
        </row>
        <row r="1798">
          <cell r="G1798">
            <v>316832</v>
          </cell>
          <cell r="H1798" t="str">
            <v>BODY &amp; SOUL COMMUNITY CENTER</v>
          </cell>
          <cell r="I1798" t="str">
            <v>McVeytown</v>
          </cell>
          <cell r="J1798" t="str">
            <v>Lewistown</v>
          </cell>
          <cell r="K1798" t="str">
            <v>205 Chestnut Ridge Rd</v>
          </cell>
          <cell r="L1798" t="str">
            <v>PA</v>
          </cell>
          <cell r="M1798">
            <v>17051</v>
          </cell>
          <cell r="N1798" t="str">
            <v>205 Chestnut Ridge Rd McVeytown, PA 17051</v>
          </cell>
        </row>
        <row r="1799">
          <cell r="G1799">
            <v>432040</v>
          </cell>
          <cell r="H1799" t="str">
            <v>Phoenixville Recreation Dept</v>
          </cell>
          <cell r="I1799" t="str">
            <v>Phoenixville</v>
          </cell>
          <cell r="K1799" t="str">
            <v>123 Main St</v>
          </cell>
          <cell r="L1799" t="str">
            <v>PA</v>
          </cell>
          <cell r="M1799">
            <v>19460</v>
          </cell>
          <cell r="N1799" t="str">
            <v>123 Main St Phoenixville, PA 19460</v>
          </cell>
        </row>
        <row r="1800">
          <cell r="G1800">
            <v>265733</v>
          </cell>
          <cell r="H1800" t="str">
            <v>OSCARS PET RESORT OF GREENFIEL</v>
          </cell>
          <cell r="I1800" t="str">
            <v>Lancaster</v>
          </cell>
          <cell r="K1800" t="str">
            <v>521 Willow Rd</v>
          </cell>
          <cell r="L1800" t="str">
            <v>PA</v>
          </cell>
          <cell r="M1800">
            <v>17601</v>
          </cell>
          <cell r="N1800" t="str">
            <v>521 Willow Rd Lancaster, PA 17601</v>
          </cell>
        </row>
        <row r="1801">
          <cell r="G1801">
            <v>344229</v>
          </cell>
          <cell r="H1801" t="str">
            <v>LOYALSOCK TOWNSHIP SCHOOL-FOOD</v>
          </cell>
          <cell r="I1801" t="str">
            <v>Williamsport</v>
          </cell>
          <cell r="K1801" t="str">
            <v>1605 Four Mile Dr</v>
          </cell>
          <cell r="L1801" t="str">
            <v>PA</v>
          </cell>
          <cell r="M1801">
            <v>17701</v>
          </cell>
          <cell r="N1801" t="str">
            <v>1605 Four Mile Dr Williamsport, PA 17701</v>
          </cell>
        </row>
        <row r="1802">
          <cell r="G1802">
            <v>239934</v>
          </cell>
          <cell r="H1802" t="str">
            <v>EAST PETERSBURG FIRE CO</v>
          </cell>
          <cell r="I1802" t="str">
            <v>East Petersburg</v>
          </cell>
          <cell r="K1802" t="str">
            <v>6076 PINE ST</v>
          </cell>
          <cell r="L1802" t="str">
            <v>PA</v>
          </cell>
          <cell r="M1802">
            <v>17520</v>
          </cell>
          <cell r="N1802" t="str">
            <v>6076 PINE ST East Petersburg, PA 17520</v>
          </cell>
        </row>
        <row r="1803">
          <cell r="G1803">
            <v>416427</v>
          </cell>
          <cell r="H1803" t="str">
            <v>Bridle Path Elementary School</v>
          </cell>
          <cell r="I1803" t="str">
            <v>Lansdale</v>
          </cell>
          <cell r="K1803" t="str">
            <v>200 Bridle Path Rd</v>
          </cell>
          <cell r="L1803" t="str">
            <v>PA</v>
          </cell>
          <cell r="M1803">
            <v>19446</v>
          </cell>
          <cell r="N1803" t="str">
            <v>200 Bridle Path Rd Lansdale, PA 19446</v>
          </cell>
        </row>
        <row r="1804">
          <cell r="G1804">
            <v>241089</v>
          </cell>
          <cell r="H1804" t="str">
            <v>HOLY CROSS UNITED METHODIST</v>
          </cell>
          <cell r="I1804" t="str">
            <v>Reading</v>
          </cell>
          <cell r="K1804" t="str">
            <v>329 N 5th St</v>
          </cell>
          <cell r="L1804" t="str">
            <v>PA</v>
          </cell>
          <cell r="M1804">
            <v>19601</v>
          </cell>
          <cell r="N1804" t="str">
            <v>329 N 5th St Reading, PA 19601</v>
          </cell>
        </row>
        <row r="1805">
          <cell r="G1805">
            <v>241366</v>
          </cell>
          <cell r="H1805" t="str">
            <v>PARADISE CUSTOM KITCHENS#</v>
          </cell>
          <cell r="I1805" t="str">
            <v>Paradise</v>
          </cell>
          <cell r="K1805" t="str">
            <v>3333 Lincoln Hwy E</v>
          </cell>
          <cell r="L1805" t="str">
            <v>PA</v>
          </cell>
          <cell r="M1805">
            <v>17562</v>
          </cell>
          <cell r="N1805" t="str">
            <v>3333 Lincoln Hwy E Paradise, PA 17562</v>
          </cell>
        </row>
        <row r="1806">
          <cell r="G1806">
            <v>241787</v>
          </cell>
          <cell r="H1806" t="str">
            <v>SHARON E HOFFMEIER</v>
          </cell>
          <cell r="I1806" t="str">
            <v>East Petersburg</v>
          </cell>
          <cell r="K1806" t="str">
            <v>6281 Jackson Dr</v>
          </cell>
          <cell r="L1806" t="str">
            <v>PA</v>
          </cell>
          <cell r="M1806">
            <v>17520</v>
          </cell>
          <cell r="N1806" t="str">
            <v>6281 Jackson Dr East Petersburg, PA 17520</v>
          </cell>
        </row>
        <row r="1807">
          <cell r="G1807">
            <v>340854</v>
          </cell>
          <cell r="H1807" t="str">
            <v>COLUMBIA COTTAGE WYOMISSING</v>
          </cell>
          <cell r="I1807" t="str">
            <v>Wyomissing</v>
          </cell>
          <cell r="K1807" t="str">
            <v>3121 State Hill Rd</v>
          </cell>
          <cell r="L1807" t="str">
            <v>PA</v>
          </cell>
          <cell r="M1807">
            <v>19610</v>
          </cell>
          <cell r="N1807" t="str">
            <v>3121 State Hill Rd Wyomissing, PA 19610</v>
          </cell>
        </row>
        <row r="1808">
          <cell r="G1808">
            <v>324665</v>
          </cell>
          <cell r="H1808" t="str">
            <v>J VINASCO CONSULTING SERVICES</v>
          </cell>
          <cell r="I1808" t="str">
            <v>Millersville</v>
          </cell>
          <cell r="K1808" t="str">
            <v>43 Chamberlain Ln</v>
          </cell>
          <cell r="L1808" t="str">
            <v>PA</v>
          </cell>
          <cell r="M1808">
            <v>17551</v>
          </cell>
          <cell r="N1808" t="str">
            <v>43 Chamberlain Ln Millersville, PA 17551</v>
          </cell>
        </row>
        <row r="1809">
          <cell r="G1809">
            <v>240442</v>
          </cell>
          <cell r="H1809" t="str">
            <v>HOPE FIRE ENGINE &amp; HOSE*</v>
          </cell>
          <cell r="I1809" t="str">
            <v>Manheim</v>
          </cell>
          <cell r="K1809" t="str">
            <v>83 S Main St</v>
          </cell>
          <cell r="L1809" t="str">
            <v>PA</v>
          </cell>
          <cell r="M1809">
            <v>17545</v>
          </cell>
          <cell r="N1809" t="str">
            <v>83 S Main St Manheim, PA 17545</v>
          </cell>
        </row>
        <row r="1810">
          <cell r="G1810">
            <v>449037</v>
          </cell>
          <cell r="H1810" t="str">
            <v>CROSSWAY CHURCH</v>
          </cell>
          <cell r="I1810" t="str">
            <v>Millersville</v>
          </cell>
          <cell r="K1810" t="str">
            <v>330 Barbara St</v>
          </cell>
          <cell r="L1810" t="str">
            <v>PA</v>
          </cell>
          <cell r="M1810">
            <v>17551</v>
          </cell>
          <cell r="N1810" t="str">
            <v>330 Barbara St Millersville, PA 17551</v>
          </cell>
        </row>
        <row r="1811">
          <cell r="G1811">
            <v>432779</v>
          </cell>
          <cell r="H1811" t="str">
            <v>The Chimes Metro Inc</v>
          </cell>
          <cell r="I1811" t="str">
            <v>Newark</v>
          </cell>
          <cell r="K1811" t="str">
            <v>514 Interchange Blvd</v>
          </cell>
          <cell r="L1811" t="str">
            <v>DE</v>
          </cell>
          <cell r="M1811">
            <v>19711</v>
          </cell>
          <cell r="N1811" t="str">
            <v>514 Interchange Blvd Newark, DE 19711</v>
          </cell>
        </row>
        <row r="1812">
          <cell r="G1812">
            <v>240745</v>
          </cell>
          <cell r="H1812" t="str">
            <v>LANC HOUSE SOUTH</v>
          </cell>
          <cell r="I1812" t="str">
            <v>Lancaster</v>
          </cell>
          <cell r="K1812" t="str">
            <v>315 N Prince St</v>
          </cell>
          <cell r="L1812" t="str">
            <v>PA</v>
          </cell>
          <cell r="M1812">
            <v>17603</v>
          </cell>
          <cell r="N1812" t="str">
            <v>315 N Prince St Lancaster, PA 17603</v>
          </cell>
        </row>
        <row r="1813">
          <cell r="G1813">
            <v>431164</v>
          </cell>
          <cell r="H1813" t="str">
            <v>TARGET - ABINGTON</v>
          </cell>
          <cell r="I1813" t="str">
            <v>Abington</v>
          </cell>
          <cell r="J1813" t="str">
            <v>Philly Suburbs - Lower</v>
          </cell>
          <cell r="K1813" t="str">
            <v>1495 Old York Rd</v>
          </cell>
          <cell r="L1813" t="str">
            <v>PA</v>
          </cell>
          <cell r="M1813">
            <v>19001</v>
          </cell>
          <cell r="N1813" t="str">
            <v>1495 Old York Rd Abington, PA 19001</v>
          </cell>
        </row>
        <row r="1814">
          <cell r="G1814">
            <v>253713</v>
          </cell>
          <cell r="H1814" t="str">
            <v>B &amp; P NEAL ENTERPRISES INC#</v>
          </cell>
          <cell r="I1814" t="str">
            <v>Manheim</v>
          </cell>
          <cell r="K1814" t="str">
            <v>325 E Stiegel St</v>
          </cell>
          <cell r="L1814" t="str">
            <v>PA</v>
          </cell>
          <cell r="M1814">
            <v>17545</v>
          </cell>
          <cell r="N1814" t="str">
            <v>325 E Stiegel St Manheim, PA 17545</v>
          </cell>
        </row>
        <row r="1815">
          <cell r="G1815">
            <v>239984</v>
          </cell>
          <cell r="H1815" t="str">
            <v>ENGLESIDE CONG JEHOVAHS#</v>
          </cell>
          <cell r="I1815" t="str">
            <v>Lancaster</v>
          </cell>
          <cell r="K1815" t="str">
            <v>850 Hershey Ave</v>
          </cell>
          <cell r="L1815" t="str">
            <v>PA</v>
          </cell>
          <cell r="M1815">
            <v>17603</v>
          </cell>
          <cell r="N1815" t="str">
            <v>850 Hershey Ave Lancaster, PA 17603</v>
          </cell>
        </row>
        <row r="1816">
          <cell r="G1816">
            <v>241235</v>
          </cell>
          <cell r="H1816" t="str">
            <v>NEW HAVEN MENNONITE SCHOOL#</v>
          </cell>
          <cell r="I1816" t="str">
            <v>Lititz</v>
          </cell>
          <cell r="K1816" t="str">
            <v>225 Crest Rd</v>
          </cell>
          <cell r="L1816" t="str">
            <v>PA</v>
          </cell>
          <cell r="M1816">
            <v>17543</v>
          </cell>
          <cell r="N1816" t="str">
            <v>225 Crest Rd Lititz, PA 17543</v>
          </cell>
        </row>
        <row r="1817">
          <cell r="G1817">
            <v>458464</v>
          </cell>
          <cell r="H1817" t="str">
            <v>WILLIAMSPORT AREA SENIOR HIGH</v>
          </cell>
          <cell r="I1817" t="str">
            <v>Williamsport</v>
          </cell>
          <cell r="K1817" t="str">
            <v>2990 W 4th St</v>
          </cell>
          <cell r="L1817" t="str">
            <v>PA</v>
          </cell>
          <cell r="M1817">
            <v>17701</v>
          </cell>
          <cell r="N1817" t="str">
            <v>2990 W 4th St Williamsport, PA 17701</v>
          </cell>
        </row>
        <row r="1818">
          <cell r="G1818">
            <v>415872</v>
          </cell>
          <cell r="H1818" t="str">
            <v>WRIGHTSVILLE ELEMENTARY</v>
          </cell>
          <cell r="I1818" t="str">
            <v>Wrightsville</v>
          </cell>
          <cell r="K1818" t="str">
            <v>320 Chestnut St</v>
          </cell>
          <cell r="L1818" t="str">
            <v>PA</v>
          </cell>
          <cell r="M1818">
            <v>17368</v>
          </cell>
          <cell r="N1818" t="str">
            <v>320 Chestnut St Wrightsville, PA 17368</v>
          </cell>
        </row>
        <row r="1819">
          <cell r="G1819">
            <v>244718</v>
          </cell>
          <cell r="H1819" t="str">
            <v>Selective Interior Maintenance</v>
          </cell>
          <cell r="I1819" t="str">
            <v>Roslyn</v>
          </cell>
          <cell r="K1819" t="str">
            <v>1508 THOMSON RD</v>
          </cell>
          <cell r="L1819" t="str">
            <v>PA</v>
          </cell>
          <cell r="M1819">
            <v>19001</v>
          </cell>
          <cell r="N1819" t="str">
            <v>1508 THOMSON RD Roslyn, PA 19001</v>
          </cell>
        </row>
        <row r="1820">
          <cell r="G1820">
            <v>300185</v>
          </cell>
          <cell r="H1820" t="str">
            <v>PASBO#</v>
          </cell>
          <cell r="I1820" t="str">
            <v>Harrisburg</v>
          </cell>
          <cell r="K1820" t="str">
            <v>2608 Market Pl</v>
          </cell>
          <cell r="L1820" t="str">
            <v>PA</v>
          </cell>
          <cell r="M1820">
            <v>17110</v>
          </cell>
          <cell r="N1820" t="str">
            <v>2608 Market Pl Harrisburg, PA 17110</v>
          </cell>
        </row>
        <row r="1821">
          <cell r="G1821">
            <v>313808</v>
          </cell>
          <cell r="H1821" t="str">
            <v>WHITE STAR JANITORIAL LLC#</v>
          </cell>
          <cell r="I1821" t="str">
            <v>Wyomissing</v>
          </cell>
          <cell r="K1821" t="str">
            <v>807 N Wyomissing Blvd</v>
          </cell>
          <cell r="L1821" t="str">
            <v>PA</v>
          </cell>
          <cell r="M1821">
            <v>19610</v>
          </cell>
          <cell r="N1821" t="str">
            <v>807 N Wyomissing Blvd Wyomissing, PA 19610</v>
          </cell>
        </row>
        <row r="1822">
          <cell r="G1822">
            <v>305384</v>
          </cell>
          <cell r="H1822" t="str">
            <v>Nathan Balmer Employee</v>
          </cell>
          <cell r="I1822" t="str">
            <v>Myerstown</v>
          </cell>
          <cell r="K1822" t="str">
            <v>372 Royers Rd</v>
          </cell>
          <cell r="L1822" t="str">
            <v>PA</v>
          </cell>
          <cell r="M1822">
            <v>17067</v>
          </cell>
          <cell r="N1822" t="str">
            <v>372 Royers Rd Myerstown, PA 17067</v>
          </cell>
        </row>
        <row r="1823">
          <cell r="G1823">
            <v>241017</v>
          </cell>
          <cell r="H1823" t="str">
            <v>MANHEIM TWP COMMISSIONERS</v>
          </cell>
          <cell r="I1823" t="str">
            <v>Lancaster</v>
          </cell>
          <cell r="K1823" t="str">
            <v>1840 Municipal Dr</v>
          </cell>
          <cell r="L1823" t="str">
            <v>PA</v>
          </cell>
          <cell r="M1823">
            <v>17601</v>
          </cell>
          <cell r="N1823" t="str">
            <v>1840 Municipal Dr Lancaster, PA 17601</v>
          </cell>
        </row>
        <row r="1824">
          <cell r="G1824">
            <v>453223</v>
          </cell>
          <cell r="H1824" t="str">
            <v>Lumberman Associates Inc.</v>
          </cell>
          <cell r="I1824" t="str">
            <v>Bristol</v>
          </cell>
          <cell r="J1824" t="str">
            <v>Philly - NE</v>
          </cell>
          <cell r="K1824" t="str">
            <v>2101 Hunter Ln</v>
          </cell>
          <cell r="L1824" t="str">
            <v>PA</v>
          </cell>
          <cell r="M1824">
            <v>19007</v>
          </cell>
          <cell r="N1824" t="str">
            <v>2101 Hunter Ln Bristol, PA 19007</v>
          </cell>
        </row>
        <row r="1825">
          <cell r="G1825">
            <v>329753</v>
          </cell>
          <cell r="H1825" t="str">
            <v>Lakehurst BOE</v>
          </cell>
          <cell r="I1825" t="str">
            <v>Lakehurst</v>
          </cell>
          <cell r="J1825" t="str">
            <v>Jersey Shore - North</v>
          </cell>
          <cell r="K1825" t="str">
            <v>301 Union Ave</v>
          </cell>
          <cell r="L1825" t="str">
            <v>NJ</v>
          </cell>
          <cell r="M1825">
            <v>8733</v>
          </cell>
          <cell r="N1825" t="str">
            <v>301 Union Ave Lakehurst, NJ 08733</v>
          </cell>
        </row>
        <row r="1826">
          <cell r="G1826">
            <v>467810</v>
          </cell>
          <cell r="H1826" t="str">
            <v>CASA TRUCKING</v>
          </cell>
          <cell r="I1826" t="str">
            <v>Spring Glen</v>
          </cell>
          <cell r="K1826" t="str">
            <v>9053 Route 25</v>
          </cell>
          <cell r="L1826" t="str">
            <v>PA</v>
          </cell>
          <cell r="M1826">
            <v>17978</v>
          </cell>
          <cell r="N1826" t="str">
            <v>9053 Route 25 Spring Glen, PA 17978</v>
          </cell>
        </row>
        <row r="1827">
          <cell r="G1827">
            <v>304670</v>
          </cell>
          <cell r="H1827" t="str">
            <v>TGC Facility Solutions</v>
          </cell>
          <cell r="I1827" t="str">
            <v>Abbottstown</v>
          </cell>
          <cell r="J1827" t="str">
            <v>York - SW</v>
          </cell>
          <cell r="K1827" t="str">
            <v>421 Moulstown Rd</v>
          </cell>
          <cell r="L1827" t="str">
            <v>PA</v>
          </cell>
          <cell r="M1827">
            <v>17301</v>
          </cell>
          <cell r="N1827" t="str">
            <v>421 Moulstown Rd Abbottstown, PA 17301</v>
          </cell>
        </row>
        <row r="1828">
          <cell r="G1828">
            <v>433003</v>
          </cell>
          <cell r="H1828" t="str">
            <v>V.A. Medical Hospital</v>
          </cell>
          <cell r="I1828" t="str">
            <v>Coatesville</v>
          </cell>
          <cell r="K1828" t="str">
            <v>1400 Blackhorse Hill Rd</v>
          </cell>
          <cell r="L1828" t="str">
            <v>PA</v>
          </cell>
          <cell r="M1828">
            <v>19320</v>
          </cell>
          <cell r="N1828" t="str">
            <v>1400 Blackhorse Hill Rd Coatesville, PA 19320</v>
          </cell>
        </row>
        <row r="1829">
          <cell r="G1829">
            <v>469868</v>
          </cell>
          <cell r="H1829" t="str">
            <v>U GRO BENT CREEK</v>
          </cell>
          <cell r="I1829" t="str">
            <v>Lititz</v>
          </cell>
          <cell r="K1829" t="str">
            <v>1130 Erbs Quarry Rd</v>
          </cell>
          <cell r="L1829" t="str">
            <v>PA</v>
          </cell>
          <cell r="M1829">
            <v>17543</v>
          </cell>
          <cell r="N1829" t="str">
            <v>1130 Erbs Quarry Rd Lititz, PA 17543</v>
          </cell>
        </row>
        <row r="1830">
          <cell r="G1830">
            <v>265863</v>
          </cell>
          <cell r="H1830" t="str">
            <v>CURTIS PATTON</v>
          </cell>
          <cell r="I1830" t="str">
            <v>Oxford</v>
          </cell>
          <cell r="K1830" t="str">
            <v>396 Swinton Ct</v>
          </cell>
          <cell r="L1830" t="str">
            <v>PA</v>
          </cell>
          <cell r="M1830">
            <v>19363</v>
          </cell>
          <cell r="N1830" t="str">
            <v>396 Swinton Ct Oxford, PA 19363</v>
          </cell>
        </row>
        <row r="1831">
          <cell r="G1831">
            <v>239003</v>
          </cell>
          <cell r="H1831" t="str">
            <v>WILLOW VALLEY MED LAKES MNR HS</v>
          </cell>
          <cell r="I1831" t="str">
            <v>Willow Street</v>
          </cell>
          <cell r="K1831" t="str">
            <v>300 Willow Valley Lakes Dr</v>
          </cell>
          <cell r="L1831" t="str">
            <v>PA</v>
          </cell>
          <cell r="M1831">
            <v>17584</v>
          </cell>
          <cell r="N1831" t="str">
            <v>300 Willow Valley Lakes Dr Willow Street, PA 17584</v>
          </cell>
        </row>
        <row r="1832">
          <cell r="G1832">
            <v>344948</v>
          </cell>
          <cell r="H1832" t="str">
            <v>Gibbsboro BOE</v>
          </cell>
          <cell r="I1832" t="str">
            <v>Gibbsboro</v>
          </cell>
          <cell r="K1832" t="str">
            <v>37 Kirkwood Rd</v>
          </cell>
          <cell r="L1832" t="str">
            <v>NJ</v>
          </cell>
          <cell r="M1832">
            <v>8026</v>
          </cell>
          <cell r="N1832" t="str">
            <v>37 Kirkwood Rd Gibbsboro, NJ 08026</v>
          </cell>
        </row>
        <row r="1833">
          <cell r="G1833">
            <v>269825</v>
          </cell>
          <cell r="H1833" t="str">
            <v>T N T FLOOR SHINE V</v>
          </cell>
          <cell r="I1833" t="str">
            <v>Fayetteville</v>
          </cell>
          <cell r="K1833" t="str">
            <v>5500 Lincoln Way E (7R)</v>
          </cell>
          <cell r="L1833" t="str">
            <v>PA</v>
          </cell>
          <cell r="M1833">
            <v>17222</v>
          </cell>
          <cell r="N1833" t="str">
            <v>5500 Lincoln Way E (7R) Fayetteville, PA 17222</v>
          </cell>
        </row>
        <row r="1834">
          <cell r="G1834">
            <v>255961</v>
          </cell>
          <cell r="H1834" t="str">
            <v>LANC GENERAL HEALTH PAVILION S</v>
          </cell>
          <cell r="I1834" t="str">
            <v>Lancaster</v>
          </cell>
          <cell r="K1834" t="str">
            <v>2100 Harrisburg Pike</v>
          </cell>
          <cell r="L1834" t="str">
            <v>PA</v>
          </cell>
          <cell r="M1834">
            <v>17601</v>
          </cell>
          <cell r="N1834" t="str">
            <v>2100 Harrisburg Pike Lancaster, PA 17601</v>
          </cell>
        </row>
        <row r="1835">
          <cell r="G1835">
            <v>482858</v>
          </cell>
          <cell r="H1835" t="str">
            <v>Bursar Office Rowan University</v>
          </cell>
          <cell r="I1835" t="str">
            <v>Glassboro</v>
          </cell>
          <cell r="K1835" t="str">
            <v>70 Sewell St</v>
          </cell>
          <cell r="L1835" t="str">
            <v>NJ</v>
          </cell>
          <cell r="M1835">
            <v>8028</v>
          </cell>
          <cell r="N1835" t="str">
            <v>70 Sewell St Glassboro, NJ 08028</v>
          </cell>
        </row>
        <row r="1836">
          <cell r="G1836">
            <v>479531</v>
          </cell>
          <cell r="H1836" t="str">
            <v>Bermudian Springs Elem School</v>
          </cell>
          <cell r="I1836" t="str">
            <v>York Springs</v>
          </cell>
          <cell r="K1836" t="str">
            <v>7335 Carlisle Pike</v>
          </cell>
          <cell r="L1836" t="str">
            <v>PA</v>
          </cell>
          <cell r="M1836">
            <v>17372</v>
          </cell>
          <cell r="N1836" t="str">
            <v>7335 Carlisle Pike York Springs, PA 17372</v>
          </cell>
        </row>
        <row r="1837">
          <cell r="G1837">
            <v>239524</v>
          </cell>
          <cell r="H1837" t="str">
            <v>CENTURY SPOUTING CO INC#</v>
          </cell>
          <cell r="I1837" t="str">
            <v>ELIZABETHTOWN</v>
          </cell>
          <cell r="K1837" t="str">
            <v>2147 S Market St</v>
          </cell>
          <cell r="L1837" t="str">
            <v>PA</v>
          </cell>
          <cell r="M1837">
            <v>17022</v>
          </cell>
          <cell r="N1837" t="str">
            <v>2147 S Market St ELIZABETHTOWN, PA 17022</v>
          </cell>
        </row>
        <row r="1838">
          <cell r="G1838">
            <v>265707</v>
          </cell>
          <cell r="H1838" t="str">
            <v>H2 ENTERPRISES LLC</v>
          </cell>
          <cell r="I1838" t="str">
            <v>Lancaster</v>
          </cell>
          <cell r="K1838" t="str">
            <v>113 Millersville Rd</v>
          </cell>
          <cell r="L1838" t="str">
            <v>PA</v>
          </cell>
          <cell r="M1838">
            <v>17603</v>
          </cell>
          <cell r="N1838" t="str">
            <v>113 Millersville Rd Lancaster, PA 17603</v>
          </cell>
        </row>
        <row r="1839">
          <cell r="G1839">
            <v>316269</v>
          </cell>
          <cell r="H1839" t="str">
            <v>HOPE UNITED METHODIST CHURCH*</v>
          </cell>
          <cell r="I1839" t="str">
            <v>Ephrata</v>
          </cell>
          <cell r="K1839" t="str">
            <v>3474 Rothsville Rd</v>
          </cell>
          <cell r="L1839" t="str">
            <v>PA</v>
          </cell>
          <cell r="M1839">
            <v>17522</v>
          </cell>
          <cell r="N1839" t="str">
            <v>3474 Rothsville Rd Ephrata, PA 17522</v>
          </cell>
        </row>
        <row r="1840">
          <cell r="G1840">
            <v>481751</v>
          </cell>
          <cell r="H1840" t="str">
            <v>Fairfield Area SD Food Service</v>
          </cell>
          <cell r="I1840" t="str">
            <v>Fairfield</v>
          </cell>
          <cell r="K1840" t="str">
            <v>4840 Fairfield Rd</v>
          </cell>
          <cell r="L1840" t="str">
            <v>PA</v>
          </cell>
          <cell r="M1840">
            <v>17320</v>
          </cell>
          <cell r="N1840" t="str">
            <v>4840 Fairfield Rd Fairfield, PA 17320</v>
          </cell>
        </row>
        <row r="1841">
          <cell r="G1841">
            <v>317642</v>
          </cell>
          <cell r="H1841" t="str">
            <v>NEAT FREAK CLEAN LLC V</v>
          </cell>
          <cell r="I1841" t="str">
            <v>Lancaster</v>
          </cell>
          <cell r="K1841" t="str">
            <v>321 Atkins Ave</v>
          </cell>
          <cell r="L1841" t="str">
            <v>PA</v>
          </cell>
          <cell r="M1841">
            <v>17603</v>
          </cell>
          <cell r="N1841" t="str">
            <v>321 Atkins Ave Lancaster, PA 17603</v>
          </cell>
        </row>
        <row r="1842">
          <cell r="G1842">
            <v>241014</v>
          </cell>
          <cell r="H1842" t="str">
            <v>MANHEIM TOWNSHIP AMBULANCE</v>
          </cell>
          <cell r="I1842" t="str">
            <v>Lancaster</v>
          </cell>
          <cell r="K1842" t="str">
            <v>1820 Municipal Dr</v>
          </cell>
          <cell r="L1842" t="str">
            <v>PA</v>
          </cell>
          <cell r="M1842">
            <v>17601</v>
          </cell>
          <cell r="N1842" t="str">
            <v>1820 Municipal Dr Lancaster, PA 17601</v>
          </cell>
        </row>
        <row r="1843">
          <cell r="G1843">
            <v>455897</v>
          </cell>
          <cell r="H1843" t="str">
            <v>PSPM</v>
          </cell>
          <cell r="I1843" t="str">
            <v>Lebanon</v>
          </cell>
          <cell r="K1843" t="str">
            <v>17 Lebanon Valley Pkwy</v>
          </cell>
          <cell r="L1843" t="str">
            <v>PA</v>
          </cell>
          <cell r="M1843">
            <v>17042</v>
          </cell>
          <cell r="N1843" t="str">
            <v>17 Lebanon Valley Pkwy Lebanon, PA 17042</v>
          </cell>
        </row>
        <row r="1844">
          <cell r="G1844">
            <v>246191</v>
          </cell>
          <cell r="H1844" t="str">
            <v>St Michael the Archangel</v>
          </cell>
          <cell r="I1844" t="str">
            <v>Levittown</v>
          </cell>
          <cell r="K1844" t="str">
            <v>66 Levittown Pkwy</v>
          </cell>
          <cell r="L1844" t="str">
            <v>PA</v>
          </cell>
          <cell r="M1844">
            <v>19054</v>
          </cell>
          <cell r="N1844" t="str">
            <v>66 Levittown Pkwy Levittown, PA 19054</v>
          </cell>
        </row>
        <row r="1845">
          <cell r="G1845">
            <v>239554</v>
          </cell>
          <cell r="H1845" t="str">
            <v>CHIQUES CHURCH</v>
          </cell>
          <cell r="I1845" t="str">
            <v>Manheim</v>
          </cell>
          <cell r="K1845" t="str">
            <v>4045 Sunnyside Rd</v>
          </cell>
          <cell r="L1845" t="str">
            <v>PA</v>
          </cell>
          <cell r="M1845">
            <v>17545</v>
          </cell>
          <cell r="N1845" t="str">
            <v>4045 Sunnyside Rd Manheim, PA 17545</v>
          </cell>
        </row>
        <row r="1846">
          <cell r="G1846">
            <v>469850</v>
          </cell>
          <cell r="H1846" t="str">
            <v>U GRO HACC LANCASTER</v>
          </cell>
          <cell r="I1846" t="str">
            <v>Lancaster</v>
          </cell>
          <cell r="K1846" t="str">
            <v>1641 Old Philadelphia Pike</v>
          </cell>
          <cell r="L1846" t="str">
            <v>PA</v>
          </cell>
          <cell r="M1846">
            <v>17602</v>
          </cell>
          <cell r="N1846" t="str">
            <v>1641 Old Philadelphia Pike Lancaster, PA 17602</v>
          </cell>
        </row>
        <row r="1847">
          <cell r="G1847">
            <v>240585</v>
          </cell>
          <cell r="H1847" t="str">
            <v>JUNIATA COUNTY SCHOOL DISTRICT</v>
          </cell>
          <cell r="I1847" t="str">
            <v>Mifflintown</v>
          </cell>
          <cell r="J1847" t="str">
            <v>Lewistown</v>
          </cell>
          <cell r="K1847" t="str">
            <v>146 Weatherby Way</v>
          </cell>
          <cell r="L1847" t="str">
            <v>PA</v>
          </cell>
          <cell r="M1847">
            <v>17059</v>
          </cell>
          <cell r="N1847" t="str">
            <v>146 Weatherby Way Mifflintown, PA 17059</v>
          </cell>
        </row>
        <row r="1848">
          <cell r="G1848">
            <v>453025</v>
          </cell>
          <cell r="H1848" t="str">
            <v>Kidz Ink 5</v>
          </cell>
          <cell r="I1848" t="str">
            <v>SMYRNA</v>
          </cell>
          <cell r="K1848" t="str">
            <v>616 W Glenwood Ave</v>
          </cell>
          <cell r="L1848" t="str">
            <v>DE</v>
          </cell>
          <cell r="M1848">
            <v>19977</v>
          </cell>
          <cell r="N1848" t="str">
            <v>616 W Glenwood Ave SMYRNA, DE 19977</v>
          </cell>
        </row>
        <row r="1849">
          <cell r="G1849">
            <v>468733</v>
          </cell>
          <cell r="H1849" t="str">
            <v>William R Satz Middle School</v>
          </cell>
          <cell r="I1849" t="str">
            <v>Holmdel</v>
          </cell>
          <cell r="K1849" t="str">
            <v>24 Crawfords Corner Rd</v>
          </cell>
          <cell r="L1849" t="str">
            <v>NJ</v>
          </cell>
          <cell r="M1849">
            <v>7733</v>
          </cell>
          <cell r="N1849" t="str">
            <v>24 Crawfords Corner Rd Holmdel, NJ 07733</v>
          </cell>
        </row>
        <row r="1850">
          <cell r="G1850">
            <v>482979</v>
          </cell>
          <cell r="H1850" t="str">
            <v>Martin Furniture</v>
          </cell>
          <cell r="I1850" t="str">
            <v>Ephrata</v>
          </cell>
          <cell r="K1850" t="str">
            <v>230 S Fairmount Rd</v>
          </cell>
          <cell r="L1850" t="str">
            <v>PA</v>
          </cell>
          <cell r="M1850">
            <v>17522</v>
          </cell>
          <cell r="N1850" t="str">
            <v>230 S Fairmount Rd Ephrata, PA 17522</v>
          </cell>
        </row>
        <row r="1851">
          <cell r="G1851">
            <v>462866</v>
          </cell>
          <cell r="H1851" t="str">
            <v>LITITZ REC CENTER</v>
          </cell>
          <cell r="I1851" t="str">
            <v>Lititz</v>
          </cell>
          <cell r="K1851" t="str">
            <v>201 Rock Lititz Blvd Ste 10</v>
          </cell>
          <cell r="L1851" t="str">
            <v>PA</v>
          </cell>
          <cell r="M1851">
            <v>17543</v>
          </cell>
          <cell r="N1851" t="str">
            <v>201 Rock Lititz Blvd Ste 10 Lititz, PA 17543</v>
          </cell>
        </row>
        <row r="1852">
          <cell r="G1852">
            <v>242478</v>
          </cell>
          <cell r="H1852" t="str">
            <v>ZION LUTHERAN CHURCH</v>
          </cell>
          <cell r="I1852" t="str">
            <v>Leola</v>
          </cell>
          <cell r="K1852" t="str">
            <v>18 Quarry Rd</v>
          </cell>
          <cell r="L1852" t="str">
            <v>PA</v>
          </cell>
          <cell r="M1852">
            <v>17540</v>
          </cell>
          <cell r="N1852" t="str">
            <v>18 Quarry Rd Leola, PA 17540</v>
          </cell>
        </row>
        <row r="1853">
          <cell r="G1853">
            <v>481560</v>
          </cell>
          <cell r="H1853" t="str">
            <v>Tr-County Eye Care</v>
          </cell>
          <cell r="I1853" t="str">
            <v>New Britain</v>
          </cell>
          <cell r="K1853" t="str">
            <v>352 E Butler Ave</v>
          </cell>
          <cell r="L1853" t="str">
            <v>PA</v>
          </cell>
          <cell r="M1853">
            <v>18901</v>
          </cell>
          <cell r="N1853" t="str">
            <v>352 E Butler Ave New Britain, PA 18901</v>
          </cell>
        </row>
        <row r="1854">
          <cell r="G1854">
            <v>246089</v>
          </cell>
          <cell r="H1854" t="str">
            <v>Frank V. Radomski &amp; Sons Inc</v>
          </cell>
          <cell r="I1854" t="str">
            <v>Colmar</v>
          </cell>
          <cell r="K1854" t="str">
            <v>3404 Trewigtown Rd</v>
          </cell>
          <cell r="L1854" t="str">
            <v>PA</v>
          </cell>
          <cell r="M1854">
            <v>18915</v>
          </cell>
          <cell r="N1854" t="str">
            <v>3404 Trewigtown Rd Colmar, PA 18915</v>
          </cell>
        </row>
        <row r="1855">
          <cell r="G1855">
            <v>242408</v>
          </cell>
          <cell r="H1855" t="str">
            <v>WILLOW STREET MENN CHURCH</v>
          </cell>
          <cell r="I1855" t="str">
            <v>Willow Street</v>
          </cell>
          <cell r="K1855" t="str">
            <v>399 E Penn Grant Rd</v>
          </cell>
          <cell r="L1855" t="str">
            <v>PA</v>
          </cell>
          <cell r="M1855">
            <v>17584</v>
          </cell>
          <cell r="N1855" t="str">
            <v>399 E Penn Grant Rd Willow Street, PA 17584</v>
          </cell>
        </row>
        <row r="1856">
          <cell r="G1856">
            <v>271796</v>
          </cell>
          <cell r="H1856" t="str">
            <v>HEALTHDIRECT INSTITUTIONAL PHA</v>
          </cell>
          <cell r="I1856" t="str">
            <v>Lancaster</v>
          </cell>
          <cell r="K1856" t="str">
            <v>208 N Lime St</v>
          </cell>
          <cell r="L1856" t="str">
            <v>PA</v>
          </cell>
          <cell r="M1856">
            <v>17602</v>
          </cell>
          <cell r="N1856" t="str">
            <v>208 N Lime St Lancaster, PA 17602</v>
          </cell>
        </row>
        <row r="1857">
          <cell r="G1857">
            <v>428253</v>
          </cell>
          <cell r="H1857" t="str">
            <v>GL SANGREY APPLIANCE REPAIR</v>
          </cell>
          <cell r="I1857" t="str">
            <v>Willow Street</v>
          </cell>
          <cell r="K1857" t="str">
            <v>2850 Willow Street Pike N</v>
          </cell>
          <cell r="L1857" t="str">
            <v>PA</v>
          </cell>
          <cell r="M1857">
            <v>17584</v>
          </cell>
          <cell r="N1857" t="str">
            <v>2850 Willow Street Pike N Willow Street, PA 17584</v>
          </cell>
        </row>
        <row r="1858">
          <cell r="G1858">
            <v>273732</v>
          </cell>
          <cell r="H1858" t="str">
            <v>Pete Annick</v>
          </cell>
          <cell r="I1858" t="str">
            <v>Lancaster</v>
          </cell>
          <cell r="K1858" t="str">
            <v>1882 Manchester Ln</v>
          </cell>
          <cell r="L1858" t="str">
            <v>PA</v>
          </cell>
          <cell r="M1858">
            <v>17601</v>
          </cell>
          <cell r="N1858" t="str">
            <v>1882 Manchester Ln Lancaster, PA 17601</v>
          </cell>
        </row>
        <row r="1859">
          <cell r="G1859">
            <v>309347</v>
          </cell>
          <cell r="H1859" t="str">
            <v>G PATTERSON CLEANING#</v>
          </cell>
          <cell r="I1859" t="str">
            <v>Harrisburg</v>
          </cell>
          <cell r="K1859" t="str">
            <v>3902 Smarty Jones Dr</v>
          </cell>
          <cell r="L1859" t="str">
            <v>PA</v>
          </cell>
          <cell r="M1859">
            <v>17112</v>
          </cell>
          <cell r="N1859" t="str">
            <v>3902 Smarty Jones Dr Harrisburg, PA 17112</v>
          </cell>
        </row>
        <row r="1860">
          <cell r="G1860">
            <v>240818</v>
          </cell>
          <cell r="H1860" t="str">
            <v>LANDISVILLE CHURCH OF GOD</v>
          </cell>
          <cell r="I1860" t="str">
            <v>Landisville</v>
          </cell>
          <cell r="K1860" t="str">
            <v>171 Church St</v>
          </cell>
          <cell r="L1860" t="str">
            <v>PA</v>
          </cell>
          <cell r="M1860">
            <v>17538</v>
          </cell>
          <cell r="N1860" t="str">
            <v>171 Church St Landisville, PA 17538</v>
          </cell>
        </row>
        <row r="1861">
          <cell r="G1861">
            <v>320010</v>
          </cell>
          <cell r="H1861" t="str">
            <v>Gwynedd Mercy Academy Elementa</v>
          </cell>
          <cell r="I1861" t="str">
            <v>Ambler</v>
          </cell>
          <cell r="J1861" t="str">
            <v>Philly Subrubs - Central</v>
          </cell>
          <cell r="K1861" t="str">
            <v>816 Norristown Rd</v>
          </cell>
          <cell r="L1861" t="str">
            <v>PA</v>
          </cell>
          <cell r="M1861">
            <v>19002</v>
          </cell>
          <cell r="N1861" t="str">
            <v>816 Norristown Rd Ambler, PA 19002</v>
          </cell>
        </row>
        <row r="1862">
          <cell r="G1862">
            <v>240219</v>
          </cell>
          <cell r="H1862" t="str">
            <v>GLOSSBRENNER UM CHURCH</v>
          </cell>
          <cell r="I1862" t="str">
            <v>Mount Joy</v>
          </cell>
          <cell r="K1862" t="str">
            <v>713 Church St</v>
          </cell>
          <cell r="L1862" t="str">
            <v>PA</v>
          </cell>
          <cell r="M1862">
            <v>17552</v>
          </cell>
          <cell r="N1862" t="str">
            <v>713 Church St Mount Joy, PA 17552</v>
          </cell>
        </row>
        <row r="1863">
          <cell r="G1863">
            <v>318497</v>
          </cell>
          <cell r="H1863" t="str">
            <v>RHEEMS MENNONITE CHURCH</v>
          </cell>
          <cell r="I1863" t="str">
            <v>Mount Joy</v>
          </cell>
          <cell r="K1863" t="str">
            <v>1435 Schwanger Rd</v>
          </cell>
          <cell r="L1863" t="str">
            <v>PA</v>
          </cell>
          <cell r="M1863">
            <v>17552</v>
          </cell>
          <cell r="N1863" t="str">
            <v>1435 Schwanger Rd Mount Joy, PA 17552</v>
          </cell>
        </row>
        <row r="1864">
          <cell r="G1864">
            <v>346519</v>
          </cell>
          <cell r="H1864" t="str">
            <v>UNIVERSITY OF PENNSYLVANIA</v>
          </cell>
          <cell r="I1864" t="str">
            <v>Philadelphia</v>
          </cell>
          <cell r="K1864" t="str">
            <v>235 S 33RD ST</v>
          </cell>
          <cell r="L1864" t="str">
            <v>PA</v>
          </cell>
          <cell r="M1864">
            <v>19104</v>
          </cell>
          <cell r="N1864" t="str">
            <v>235 S 33RD ST Philadelphia, PA 19104</v>
          </cell>
        </row>
        <row r="1865">
          <cell r="G1865">
            <v>336703</v>
          </cell>
          <cell r="H1865" t="str">
            <v>Goshen Volunteer Fire Company</v>
          </cell>
          <cell r="I1865" t="str">
            <v>Cape May Court House</v>
          </cell>
          <cell r="K1865" t="str">
            <v>331 Route 47 N</v>
          </cell>
          <cell r="L1865" t="str">
            <v>NJ</v>
          </cell>
          <cell r="M1865">
            <v>8210</v>
          </cell>
          <cell r="N1865" t="str">
            <v>331 Route 47 N Cape May Court House, NJ 08210</v>
          </cell>
        </row>
        <row r="1866">
          <cell r="G1866">
            <v>267941</v>
          </cell>
          <cell r="H1866" t="str">
            <v>PARAMOUNT CONTRACTING#</v>
          </cell>
          <cell r="I1866" t="str">
            <v>Lancaster</v>
          </cell>
          <cell r="K1866" t="str">
            <v>219 Witmer Rd</v>
          </cell>
          <cell r="L1866" t="str">
            <v>PA</v>
          </cell>
          <cell r="M1866">
            <v>17602</v>
          </cell>
          <cell r="N1866" t="str">
            <v>219 Witmer Rd Lancaster, PA 17602</v>
          </cell>
        </row>
        <row r="1867">
          <cell r="G1867">
            <v>465487</v>
          </cell>
          <cell r="H1867" t="str">
            <v>Big Backyard</v>
          </cell>
          <cell r="I1867" t="str">
            <v>Philadelphia</v>
          </cell>
          <cell r="K1867" t="str">
            <v>240 E Gowen Ave</v>
          </cell>
          <cell r="L1867" t="str">
            <v>PA</v>
          </cell>
          <cell r="M1867">
            <v>19119</v>
          </cell>
          <cell r="N1867" t="str">
            <v>240 E Gowen Ave Philadelphia, PA 19119</v>
          </cell>
        </row>
        <row r="1868">
          <cell r="G1868">
            <v>419009</v>
          </cell>
          <cell r="H1868" t="str">
            <v>Central Bucks High School West</v>
          </cell>
          <cell r="I1868" t="str">
            <v>Doylestown</v>
          </cell>
          <cell r="J1868" t="str">
            <v>Philly Suburbs - North</v>
          </cell>
          <cell r="K1868" t="str">
            <v>375 W Court St</v>
          </cell>
          <cell r="L1868" t="str">
            <v>PA</v>
          </cell>
          <cell r="M1868">
            <v>18901</v>
          </cell>
          <cell r="N1868" t="str">
            <v>375 W Court St Doylestown, PA 18901</v>
          </cell>
        </row>
        <row r="1869">
          <cell r="G1869">
            <v>240074</v>
          </cell>
          <cell r="H1869" t="str">
            <v>FILLING CLEANERS</v>
          </cell>
          <cell r="I1869" t="str">
            <v>Lancaster</v>
          </cell>
          <cell r="K1869" t="str">
            <v>681 Harrisburg Ave</v>
          </cell>
          <cell r="L1869" t="str">
            <v>PA</v>
          </cell>
          <cell r="M1869">
            <v>17603</v>
          </cell>
          <cell r="N1869" t="str">
            <v>681 Harrisburg Ave Lancaster, PA 17603</v>
          </cell>
        </row>
        <row r="1870">
          <cell r="G1870">
            <v>325064</v>
          </cell>
          <cell r="H1870" t="str">
            <v>Care Connection</v>
          </cell>
          <cell r="I1870" t="str">
            <v>Philadelphia</v>
          </cell>
          <cell r="K1870" t="str">
            <v>2200 Michener St Ste 20</v>
          </cell>
          <cell r="L1870" t="str">
            <v>PA</v>
          </cell>
          <cell r="M1870">
            <v>19115</v>
          </cell>
          <cell r="N1870" t="str">
            <v>2200 Michener St Ste 20 Philadelphia, PA 19115</v>
          </cell>
        </row>
        <row r="1871">
          <cell r="G1871">
            <v>480972</v>
          </cell>
          <cell r="H1871" t="str">
            <v>MT Penn Elementary School</v>
          </cell>
          <cell r="I1871" t="str">
            <v>Reading</v>
          </cell>
          <cell r="K1871" t="str">
            <v>2310 Cumberland Ave</v>
          </cell>
          <cell r="L1871" t="str">
            <v>PA</v>
          </cell>
          <cell r="M1871">
            <v>19606</v>
          </cell>
          <cell r="N1871" t="str">
            <v>2310 Cumberland Ave Reading, PA 19606</v>
          </cell>
        </row>
        <row r="1872">
          <cell r="G1872">
            <v>239933</v>
          </cell>
          <cell r="H1872" t="str">
            <v>EAST PETERSBURG BOROUGH#</v>
          </cell>
          <cell r="I1872" t="str">
            <v>East Petersburg</v>
          </cell>
          <cell r="K1872" t="str">
            <v>6076 PINE ST</v>
          </cell>
          <cell r="L1872" t="str">
            <v>PA</v>
          </cell>
          <cell r="M1872">
            <v>17520</v>
          </cell>
          <cell r="N1872" t="str">
            <v>6076 PINE ST East Petersburg, PA 17520</v>
          </cell>
        </row>
        <row r="1873">
          <cell r="G1873">
            <v>462665</v>
          </cell>
          <cell r="H1873" t="str">
            <v>Facilities Loading Dock</v>
          </cell>
          <cell r="I1873" t="str">
            <v>Swarthmore</v>
          </cell>
          <cell r="K1873" t="str">
            <v>500 College Ave</v>
          </cell>
          <cell r="L1873" t="str">
            <v>PA</v>
          </cell>
          <cell r="M1873">
            <v>19081</v>
          </cell>
          <cell r="N1873" t="str">
            <v>500 College Ave Swarthmore, PA 19081</v>
          </cell>
        </row>
        <row r="1874">
          <cell r="G1874">
            <v>245422</v>
          </cell>
          <cell r="H1874" t="str">
            <v>Ron Reid Janitorial Services</v>
          </cell>
          <cell r="I1874" t="str">
            <v>Hatboro</v>
          </cell>
          <cell r="J1874" t="str">
            <v>Philly Suburbs - North</v>
          </cell>
          <cell r="K1874" t="str">
            <v>237 Jacksonville Rd Apt 5A</v>
          </cell>
          <cell r="L1874" t="str">
            <v>PA</v>
          </cell>
          <cell r="M1874">
            <v>19040</v>
          </cell>
          <cell r="N1874" t="str">
            <v>237 Jacksonville Rd Apt 5A Hatboro, PA 19040</v>
          </cell>
        </row>
        <row r="1875">
          <cell r="G1875">
            <v>286048</v>
          </cell>
          <cell r="H1875" t="str">
            <v>CC - CLEAN TOUCH SERVICES</v>
          </cell>
          <cell r="I1875" t="str">
            <v>Mountville</v>
          </cell>
          <cell r="K1875" t="str">
            <v>370 Arlene Dr</v>
          </cell>
          <cell r="L1875" t="str">
            <v>PA</v>
          </cell>
          <cell r="M1875">
            <v>17554</v>
          </cell>
          <cell r="N1875" t="str">
            <v>370 Arlene Dr Mountville, PA 17554</v>
          </cell>
        </row>
        <row r="1876">
          <cell r="G1876">
            <v>418104</v>
          </cell>
          <cell r="H1876" t="str">
            <v>Montgomery Elementary School</v>
          </cell>
          <cell r="I1876" t="str">
            <v>North Wales</v>
          </cell>
          <cell r="K1876" t="str">
            <v>1221 Stump Rd</v>
          </cell>
          <cell r="L1876" t="str">
            <v>PA</v>
          </cell>
          <cell r="M1876">
            <v>19454</v>
          </cell>
          <cell r="N1876" t="str">
            <v>1221 Stump Rd North Wales, PA 19454</v>
          </cell>
        </row>
        <row r="1877">
          <cell r="G1877">
            <v>239305</v>
          </cell>
          <cell r="H1877" t="str">
            <v>BETHEL BAPTIST CHURCH</v>
          </cell>
          <cell r="I1877" t="str">
            <v>Manheim</v>
          </cell>
          <cell r="K1877" t="str">
            <v>532 Lebanon Rd</v>
          </cell>
          <cell r="L1877" t="str">
            <v>PA</v>
          </cell>
          <cell r="M1877">
            <v>17545</v>
          </cell>
          <cell r="N1877" t="str">
            <v>532 Lebanon Rd Manheim, PA 17545</v>
          </cell>
        </row>
        <row r="1878">
          <cell r="G1878">
            <v>285503</v>
          </cell>
          <cell r="H1878" t="str">
            <v>Genesis Lehigh Commons</v>
          </cell>
          <cell r="I1878" t="str">
            <v>Macungie</v>
          </cell>
          <cell r="K1878" t="str">
            <v>1680 Spring Creek Rd</v>
          </cell>
          <cell r="L1878" t="str">
            <v>PA</v>
          </cell>
          <cell r="M1878">
            <v>18062</v>
          </cell>
          <cell r="N1878" t="str">
            <v>1680 Spring Creek Rd Macungie, PA 18062</v>
          </cell>
        </row>
        <row r="1879">
          <cell r="G1879">
            <v>331582</v>
          </cell>
          <cell r="H1879" t="str">
            <v>Heritage Hills Athletic I, LLC</v>
          </cell>
          <cell r="I1879" t="str">
            <v>York</v>
          </cell>
          <cell r="K1879" t="str">
            <v>2700 Mount Rose Ave</v>
          </cell>
          <cell r="L1879" t="str">
            <v>PA</v>
          </cell>
          <cell r="M1879">
            <v>17402</v>
          </cell>
          <cell r="N1879" t="str">
            <v>2700 Mount Rose Ave York, PA 17402</v>
          </cell>
        </row>
        <row r="1880">
          <cell r="G1880">
            <v>415457</v>
          </cell>
          <cell r="H1880" t="str">
            <v>ENGLESIDE CONG JEHOVAHS</v>
          </cell>
          <cell r="I1880" t="str">
            <v>Lancaster</v>
          </cell>
          <cell r="K1880" t="str">
            <v>850 Hershey Ave</v>
          </cell>
          <cell r="L1880" t="str">
            <v>PA</v>
          </cell>
          <cell r="M1880">
            <v>17603</v>
          </cell>
          <cell r="N1880" t="str">
            <v>850 Hershey Ave Lancaster, PA 17603</v>
          </cell>
        </row>
        <row r="1881">
          <cell r="G1881">
            <v>242248</v>
          </cell>
          <cell r="H1881" t="str">
            <v>UNIVERSAL ATHLETIC CLUB INC#</v>
          </cell>
          <cell r="I1881" t="str">
            <v>Lancaster</v>
          </cell>
          <cell r="K1881" t="str">
            <v>2323 Oregon Pike</v>
          </cell>
          <cell r="L1881" t="str">
            <v>PA</v>
          </cell>
          <cell r="M1881">
            <v>17601</v>
          </cell>
          <cell r="N1881" t="str">
            <v>2323 Oregon Pike Lancaster, PA 17601</v>
          </cell>
        </row>
        <row r="1882">
          <cell r="G1882">
            <v>240209</v>
          </cell>
          <cell r="H1882" t="str">
            <v>GIBBLE AUTO UPHOLSTERING</v>
          </cell>
          <cell r="I1882" t="str">
            <v>Manheim</v>
          </cell>
          <cell r="K1882" t="str">
            <v>925 Lancaster Rd</v>
          </cell>
          <cell r="L1882" t="str">
            <v>PA</v>
          </cell>
          <cell r="M1882">
            <v>17545</v>
          </cell>
          <cell r="N1882" t="str">
            <v>925 Lancaster Rd Manheim, PA 17545</v>
          </cell>
        </row>
        <row r="1883">
          <cell r="G1883">
            <v>239996</v>
          </cell>
          <cell r="H1883" t="str">
            <v>ALIVE CHURCH EPHRATA#</v>
          </cell>
          <cell r="I1883" t="str">
            <v>Ephrata</v>
          </cell>
          <cell r="K1883" t="str">
            <v>510 Stevens Rd</v>
          </cell>
          <cell r="L1883" t="str">
            <v>PA</v>
          </cell>
          <cell r="M1883">
            <v>17522</v>
          </cell>
          <cell r="N1883" t="str">
            <v>510 Stevens Rd Ephrata, PA 17522</v>
          </cell>
        </row>
        <row r="1884">
          <cell r="G1884">
            <v>330889</v>
          </cell>
          <cell r="H1884" t="str">
            <v>Building BOK LP</v>
          </cell>
          <cell r="I1884" t="str">
            <v>Philadelphia</v>
          </cell>
          <cell r="K1884" t="str">
            <v>1901 S 9th St</v>
          </cell>
          <cell r="L1884" t="str">
            <v>PA</v>
          </cell>
          <cell r="M1884">
            <v>19148</v>
          </cell>
          <cell r="N1884" t="str">
            <v>1901 S 9th St Philadelphia, PA 19148</v>
          </cell>
        </row>
        <row r="1885">
          <cell r="G1885">
            <v>298099</v>
          </cell>
          <cell r="H1885" t="str">
            <v>FIRST ALLIANCE CHURCH*</v>
          </cell>
          <cell r="I1885" t="str">
            <v>Harrisburg</v>
          </cell>
          <cell r="K1885" t="str">
            <v>403 S Progress Ave</v>
          </cell>
          <cell r="L1885" t="str">
            <v>PA</v>
          </cell>
          <cell r="M1885">
            <v>17109</v>
          </cell>
          <cell r="N1885" t="str">
            <v>403 S Progress Ave Harrisburg, PA 17109</v>
          </cell>
        </row>
        <row r="1886">
          <cell r="G1886">
            <v>483960</v>
          </cell>
          <cell r="H1886" t="str">
            <v>GMACC</v>
          </cell>
          <cell r="I1886" t="str">
            <v>Shillington</v>
          </cell>
          <cell r="K1886" t="str">
            <v>50 S WAVERLY ST</v>
          </cell>
          <cell r="L1886" t="str">
            <v>PA</v>
          </cell>
          <cell r="M1886">
            <v>19607</v>
          </cell>
          <cell r="N1886" t="str">
            <v>50 S WAVERLY ST Shillington, PA 19607</v>
          </cell>
        </row>
        <row r="1887">
          <cell r="G1887">
            <v>243731</v>
          </cell>
          <cell r="H1887" t="str">
            <v>Just Cleaning Services Inc</v>
          </cell>
          <cell r="I1887" t="str">
            <v>Hatboro</v>
          </cell>
          <cell r="J1887" t="str">
            <v>Philly Suburbs - North</v>
          </cell>
          <cell r="K1887" t="str">
            <v>708 PRESTON LN</v>
          </cell>
          <cell r="L1887" t="str">
            <v>PA</v>
          </cell>
          <cell r="M1887">
            <v>19040</v>
          </cell>
          <cell r="N1887" t="str">
            <v>708 PRESTON LN Hatboro, PA 19040</v>
          </cell>
        </row>
        <row r="1888">
          <cell r="G1888">
            <v>241925</v>
          </cell>
          <cell r="H1888" t="str">
            <v>ST MARYS CHURCH#</v>
          </cell>
          <cell r="I1888" t="str">
            <v>Lancaster</v>
          </cell>
          <cell r="K1888" t="str">
            <v>119 S Prince St</v>
          </cell>
          <cell r="L1888" t="str">
            <v>PA</v>
          </cell>
          <cell r="M1888">
            <v>17603</v>
          </cell>
          <cell r="N1888" t="str">
            <v>119 S Prince St Lancaster, PA 17603</v>
          </cell>
        </row>
        <row r="1889">
          <cell r="G1889">
            <v>344965</v>
          </cell>
          <cell r="H1889" t="str">
            <v>Dustin Nagy Excavating</v>
          </cell>
          <cell r="I1889" t="str">
            <v>Bainbridge</v>
          </cell>
          <cell r="J1889" t="str">
            <v>Lancaster - West</v>
          </cell>
          <cell r="K1889" t="str">
            <v>184 Wickersham Rd</v>
          </cell>
          <cell r="L1889" t="str">
            <v>PA</v>
          </cell>
          <cell r="M1889">
            <v>17502</v>
          </cell>
          <cell r="N1889" t="str">
            <v>184 Wickersham Rd Bainbridge, PA 17502</v>
          </cell>
        </row>
        <row r="1890">
          <cell r="G1890">
            <v>244493</v>
          </cell>
          <cell r="H1890" t="str">
            <v>SEAFOOD AMERICA</v>
          </cell>
          <cell r="I1890" t="str">
            <v>Warminster</v>
          </cell>
          <cell r="J1890" t="str">
            <v>Philly Suburbs - North</v>
          </cell>
          <cell r="K1890" t="str">
            <v>645 MEARNS ROAD</v>
          </cell>
          <cell r="L1890" t="str">
            <v>PA</v>
          </cell>
          <cell r="M1890">
            <v>18974</v>
          </cell>
          <cell r="N1890" t="str">
            <v>645 MEARNS ROAD Warminster, PA 18974</v>
          </cell>
        </row>
        <row r="1891">
          <cell r="G1891">
            <v>302051</v>
          </cell>
          <cell r="H1891" t="str">
            <v>Kidz Ink</v>
          </cell>
          <cell r="I1891" t="str">
            <v>Bear</v>
          </cell>
          <cell r="J1891" t="str">
            <v>Wilmington</v>
          </cell>
          <cell r="K1891" t="str">
            <v>1703 Porter Rd</v>
          </cell>
          <cell r="L1891" t="str">
            <v>DE</v>
          </cell>
          <cell r="M1891">
            <v>19701</v>
          </cell>
          <cell r="N1891" t="str">
            <v>1703 Porter Rd Bear, DE 19701</v>
          </cell>
        </row>
        <row r="1892">
          <cell r="G1892">
            <v>452962</v>
          </cell>
          <cell r="H1892" t="str">
            <v>Kidz Ink 1</v>
          </cell>
          <cell r="I1892" t="str">
            <v>Bear</v>
          </cell>
          <cell r="J1892" t="str">
            <v>Wilmington</v>
          </cell>
          <cell r="K1892" t="str">
            <v>1 Songsmith Dr</v>
          </cell>
          <cell r="L1892" t="str">
            <v>DE</v>
          </cell>
          <cell r="M1892">
            <v>19701</v>
          </cell>
          <cell r="N1892" t="str">
            <v>1 Songsmith Dr Bear, DE 19701</v>
          </cell>
        </row>
        <row r="1893">
          <cell r="G1893">
            <v>479646</v>
          </cell>
          <cell r="H1893" t="str">
            <v>Caron Treatment Centers</v>
          </cell>
          <cell r="I1893" t="str">
            <v>Wernersville</v>
          </cell>
          <cell r="K1893" t="str">
            <v>104 Flannery Way South</v>
          </cell>
          <cell r="L1893" t="str">
            <v>PA</v>
          </cell>
          <cell r="M1893">
            <v>19565</v>
          </cell>
          <cell r="N1893" t="str">
            <v>104 Flannery Way South Wernersville, PA 19565</v>
          </cell>
        </row>
        <row r="1894">
          <cell r="G1894">
            <v>317079</v>
          </cell>
          <cell r="H1894" t="str">
            <v>SONLIGHT RIVER BRETHREN SCHOOL</v>
          </cell>
          <cell r="I1894" t="str">
            <v>Mount Joy</v>
          </cell>
          <cell r="K1894" t="str">
            <v>4075 Siegrist Rd</v>
          </cell>
          <cell r="L1894" t="str">
            <v>PA</v>
          </cell>
          <cell r="M1894">
            <v>17552</v>
          </cell>
          <cell r="N1894" t="str">
            <v>4075 Siegrist Rd Mount Joy, PA 17552</v>
          </cell>
        </row>
        <row r="1895">
          <cell r="G1895">
            <v>239626</v>
          </cell>
          <cell r="H1895" t="str">
            <v>COCALICO BIOLOGICALS#</v>
          </cell>
          <cell r="I1895" t="str">
            <v>Stevens</v>
          </cell>
          <cell r="K1895" t="str">
            <v>449 Stevens Rd</v>
          </cell>
          <cell r="L1895" t="str">
            <v>PA</v>
          </cell>
          <cell r="M1895">
            <v>17578</v>
          </cell>
          <cell r="N1895" t="str">
            <v>449 Stevens Rd Stevens, PA 17578</v>
          </cell>
        </row>
        <row r="1896">
          <cell r="G1896">
            <v>241625</v>
          </cell>
          <cell r="H1896" t="str">
            <v>ROHRERSTOWN MENN CHURCH</v>
          </cell>
          <cell r="I1896" t="str">
            <v>Lancaster</v>
          </cell>
          <cell r="K1896" t="str">
            <v>601 Rohrerstown Rd</v>
          </cell>
          <cell r="L1896" t="str">
            <v>PA</v>
          </cell>
          <cell r="M1896">
            <v>17603</v>
          </cell>
          <cell r="N1896" t="str">
            <v>601 Rohrerstown Rd Lancaster, PA 17603</v>
          </cell>
        </row>
        <row r="1897">
          <cell r="G1897">
            <v>239926</v>
          </cell>
          <cell r="H1897" t="str">
            <v>EAST LAMPETER TOWNSHIP PARK*</v>
          </cell>
          <cell r="I1897" t="str">
            <v>Lancaster</v>
          </cell>
          <cell r="K1897" t="str">
            <v>2250 Old Philadelphia Pike</v>
          </cell>
          <cell r="L1897" t="str">
            <v>PA</v>
          </cell>
          <cell r="M1897">
            <v>17602</v>
          </cell>
          <cell r="N1897" t="str">
            <v>2250 Old Philadelphia Pike Lancaster, PA 17602</v>
          </cell>
        </row>
        <row r="1898">
          <cell r="G1898">
            <v>241518</v>
          </cell>
          <cell r="H1898" t="str">
            <v>Three Athletics</v>
          </cell>
          <cell r="I1898" t="str">
            <v>Lancaster</v>
          </cell>
          <cell r="K1898" t="str">
            <v>200 Running Pump Rd</v>
          </cell>
          <cell r="L1898" t="str">
            <v>PA</v>
          </cell>
          <cell r="M1898">
            <v>17603</v>
          </cell>
          <cell r="N1898" t="str">
            <v>200 Running Pump Rd Lancaster, PA 17603</v>
          </cell>
        </row>
        <row r="1899">
          <cell r="G1899">
            <v>470515</v>
          </cell>
          <cell r="H1899" t="str">
            <v>TWIN VALLEY- HONEY BROOK ELEME</v>
          </cell>
          <cell r="I1899" t="str">
            <v>Honey Brook</v>
          </cell>
          <cell r="K1899" t="str">
            <v>1530 Walnut Rd</v>
          </cell>
          <cell r="L1899" t="str">
            <v>PA</v>
          </cell>
          <cell r="M1899">
            <v>19344</v>
          </cell>
          <cell r="N1899" t="str">
            <v>1530 Walnut Rd Honey Brook, PA 19344</v>
          </cell>
        </row>
        <row r="1900">
          <cell r="G1900">
            <v>241989</v>
          </cell>
          <cell r="H1900" t="str">
            <v>STRASBURG PALLET</v>
          </cell>
          <cell r="I1900" t="str">
            <v>Strasburg</v>
          </cell>
          <cell r="K1900" t="str">
            <v>2940 White Oak Rd</v>
          </cell>
          <cell r="L1900" t="str">
            <v>PA</v>
          </cell>
          <cell r="M1900">
            <v>17579</v>
          </cell>
          <cell r="N1900" t="str">
            <v>2940 White Oak Rd Strasburg, PA 17579</v>
          </cell>
        </row>
        <row r="1901">
          <cell r="G1901">
            <v>330439</v>
          </cell>
          <cell r="H1901" t="str">
            <v>L STOLTZFUS LLC.#</v>
          </cell>
          <cell r="I1901" t="str">
            <v>Ronks</v>
          </cell>
          <cell r="K1901" t="str">
            <v>2771 Lincoln Hwy E</v>
          </cell>
          <cell r="L1901" t="str">
            <v>PA</v>
          </cell>
          <cell r="M1901">
            <v>17572</v>
          </cell>
          <cell r="N1901" t="str">
            <v>2771 Lincoln Hwy E Ronks, PA 17572</v>
          </cell>
        </row>
        <row r="1902">
          <cell r="G1902">
            <v>482520</v>
          </cell>
          <cell r="H1902" t="str">
            <v>Central Montco Tech Kitchen De</v>
          </cell>
          <cell r="I1902" t="str">
            <v>PLYMOUTH MEETING</v>
          </cell>
          <cell r="K1902" t="str">
            <v>821 PLYMOUTH RD</v>
          </cell>
          <cell r="L1902" t="str">
            <v>PA</v>
          </cell>
          <cell r="M1902">
            <v>19462</v>
          </cell>
          <cell r="N1902" t="str">
            <v>821 PLYMOUTH RD PLYMOUTH MEETING, PA 19462</v>
          </cell>
        </row>
        <row r="1903">
          <cell r="G1903">
            <v>484071</v>
          </cell>
          <cell r="H1903" t="str">
            <v>NOTTINGHAM VILLAGE Retirement</v>
          </cell>
          <cell r="I1903" t="str">
            <v>NORTHUMBERLAND</v>
          </cell>
          <cell r="K1903" t="str">
            <v>60 NEITZ RD</v>
          </cell>
          <cell r="L1903" t="str">
            <v>PA</v>
          </cell>
          <cell r="M1903">
            <v>17857</v>
          </cell>
          <cell r="N1903" t="str">
            <v>60 NEITZ RD NORTHUMBERLAND, PA 17857</v>
          </cell>
        </row>
        <row r="1904">
          <cell r="G1904">
            <v>241934</v>
          </cell>
          <cell r="H1904" t="str">
            <v>ST PAULS UNITED CHURCH OF</v>
          </cell>
          <cell r="I1904" t="str">
            <v>Manheim</v>
          </cell>
          <cell r="K1904" t="str">
            <v>50 N Main St</v>
          </cell>
          <cell r="L1904" t="str">
            <v>PA</v>
          </cell>
          <cell r="M1904">
            <v>17545</v>
          </cell>
          <cell r="N1904" t="str">
            <v>50 N Main St Manheim, PA 17545</v>
          </cell>
        </row>
        <row r="1905">
          <cell r="G1905">
            <v>326136</v>
          </cell>
          <cell r="H1905" t="str">
            <v>CC Dutch Country Farmers Marke</v>
          </cell>
          <cell r="I1905" t="str">
            <v>MIDDLETOWN</v>
          </cell>
          <cell r="K1905" t="str">
            <v>701 N Broad St</v>
          </cell>
          <cell r="L1905" t="str">
            <v>DE</v>
          </cell>
          <cell r="M1905">
            <v>19709</v>
          </cell>
          <cell r="N1905" t="str">
            <v>701 N Broad St MIDDLETOWN, DE 19709</v>
          </cell>
        </row>
        <row r="1906">
          <cell r="G1906">
            <v>468729</v>
          </cell>
          <cell r="H1906" t="str">
            <v>Cape Liquors</v>
          </cell>
          <cell r="I1906" t="str">
            <v>Cape May</v>
          </cell>
          <cell r="K1906" t="str">
            <v>918 Route 109</v>
          </cell>
          <cell r="L1906" t="str">
            <v>NJ</v>
          </cell>
          <cell r="M1906">
            <v>8204</v>
          </cell>
          <cell r="N1906" t="str">
            <v>918 Route 109 Cape May, NJ 08204</v>
          </cell>
        </row>
        <row r="1907">
          <cell r="G1907">
            <v>331288</v>
          </cell>
          <cell r="H1907" t="str">
            <v>Buena Regional School District</v>
          </cell>
          <cell r="I1907" t="str">
            <v>Buena</v>
          </cell>
          <cell r="K1907" t="str">
            <v>125 Weymouth Rd</v>
          </cell>
          <cell r="L1907" t="str">
            <v>NJ</v>
          </cell>
          <cell r="M1907">
            <v>8310</v>
          </cell>
          <cell r="N1907" t="str">
            <v>125 Weymouth Rd Buena, NJ 08310</v>
          </cell>
        </row>
        <row r="1908">
          <cell r="G1908">
            <v>307226</v>
          </cell>
          <cell r="H1908" t="str">
            <v>BOOKING HOUSE</v>
          </cell>
          <cell r="I1908" t="str">
            <v>Manheim</v>
          </cell>
          <cell r="K1908" t="str">
            <v>210 S Penn St</v>
          </cell>
          <cell r="L1908" t="str">
            <v>PA</v>
          </cell>
          <cell r="M1908">
            <v>17545</v>
          </cell>
          <cell r="N1908" t="str">
            <v>210 S Penn St Manheim, PA 17545</v>
          </cell>
        </row>
        <row r="1909">
          <cell r="G1909">
            <v>480440</v>
          </cell>
          <cell r="H1909" t="str">
            <v>Cape May City Fire Company</v>
          </cell>
          <cell r="I1909" t="str">
            <v>West Cape May</v>
          </cell>
          <cell r="K1909" t="str">
            <v>732 Broadway</v>
          </cell>
          <cell r="L1909" t="str">
            <v>NJ</v>
          </cell>
          <cell r="M1909">
            <v>8204</v>
          </cell>
          <cell r="N1909" t="str">
            <v>732 Broadway West Cape May, NJ 08204</v>
          </cell>
        </row>
        <row r="1910">
          <cell r="G1910">
            <v>472882</v>
          </cell>
          <cell r="H1910" t="str">
            <v>LESTER GLENN AUTO GROUP</v>
          </cell>
          <cell r="I1910" t="str">
            <v>Toms River</v>
          </cell>
          <cell r="J1910" t="str">
            <v>Jersey Shore - North</v>
          </cell>
          <cell r="K1910" t="str">
            <v>398 Route 37 E</v>
          </cell>
          <cell r="L1910" t="str">
            <v>NJ</v>
          </cell>
          <cell r="M1910">
            <v>8753</v>
          </cell>
          <cell r="N1910" t="str">
            <v>398 Route 37 E Toms River, NJ 08753</v>
          </cell>
        </row>
        <row r="1911">
          <cell r="G1911">
            <v>479324</v>
          </cell>
          <cell r="H1911" t="str">
            <v>U-GRO Brownstown</v>
          </cell>
          <cell r="I1911" t="str">
            <v>Ephrata</v>
          </cell>
          <cell r="K1911" t="str">
            <v>4170 Barrett Blvd</v>
          </cell>
          <cell r="L1911" t="str">
            <v>PA</v>
          </cell>
          <cell r="M1911">
            <v>17522</v>
          </cell>
          <cell r="N1911" t="str">
            <v>4170 Barrett Blvd Ephrata, PA 17522</v>
          </cell>
        </row>
        <row r="1912">
          <cell r="G1912">
            <v>340865</v>
          </cell>
          <cell r="H1912" t="str">
            <v>COLUMBIA COTTAGE COLLEGEVILLE</v>
          </cell>
          <cell r="I1912" t="str">
            <v>Collegeville</v>
          </cell>
          <cell r="K1912" t="str">
            <v>901 E Main St</v>
          </cell>
          <cell r="L1912" t="str">
            <v>PA</v>
          </cell>
          <cell r="M1912">
            <v>19426</v>
          </cell>
          <cell r="N1912" t="str">
            <v>901 E Main St Collegeville, PA 19426</v>
          </cell>
        </row>
        <row r="1913">
          <cell r="G1913">
            <v>343786</v>
          </cell>
          <cell r="H1913" t="str">
            <v>Hi-Tech Concrete Coatings LLC</v>
          </cell>
          <cell r="I1913" t="str">
            <v>Mount Joy</v>
          </cell>
          <cell r="K1913" t="str">
            <v>1003 Cornerstone Dr</v>
          </cell>
          <cell r="L1913" t="str">
            <v>PA</v>
          </cell>
          <cell r="M1913">
            <v>17552</v>
          </cell>
          <cell r="N1913" t="str">
            <v>1003 Cornerstone Dr Mount Joy, PA 17552</v>
          </cell>
        </row>
        <row r="1914">
          <cell r="G1914">
            <v>295321</v>
          </cell>
          <cell r="H1914" t="str">
            <v>S CLYDE WEAVER INC</v>
          </cell>
          <cell r="I1914" t="str">
            <v>East Petersburg</v>
          </cell>
          <cell r="K1914" t="str">
            <v>5253 Main St</v>
          </cell>
          <cell r="L1914" t="str">
            <v>PA</v>
          </cell>
          <cell r="M1914">
            <v>17520</v>
          </cell>
          <cell r="N1914" t="str">
            <v>5253 Main St East Petersburg, PA 17520</v>
          </cell>
        </row>
        <row r="1915">
          <cell r="G1915">
            <v>469867</v>
          </cell>
          <cell r="H1915" t="str">
            <v>U GRO ROHRERSTOWN</v>
          </cell>
          <cell r="I1915" t="str">
            <v>Lancaster</v>
          </cell>
          <cell r="K1915" t="str">
            <v>2301 Noll Dr</v>
          </cell>
          <cell r="L1915" t="str">
            <v>PA</v>
          </cell>
          <cell r="M1915">
            <v>17603</v>
          </cell>
          <cell r="N1915" t="str">
            <v>2301 Noll Dr Lancaster, PA 17603</v>
          </cell>
        </row>
        <row r="1916">
          <cell r="G1916">
            <v>461457</v>
          </cell>
          <cell r="H1916" t="str">
            <v>North Wales Elementary School</v>
          </cell>
          <cell r="I1916" t="str">
            <v>North Wales</v>
          </cell>
          <cell r="K1916" t="str">
            <v>201 Summit St</v>
          </cell>
          <cell r="L1916" t="str">
            <v>PA</v>
          </cell>
          <cell r="M1916">
            <v>19454</v>
          </cell>
          <cell r="N1916" t="str">
            <v>201 Summit St North Wales, PA 19454</v>
          </cell>
        </row>
        <row r="1917">
          <cell r="G1917">
            <v>240251</v>
          </cell>
          <cell r="H1917" t="str">
            <v>GRACE FELLOWSHIP CHURCH</v>
          </cell>
          <cell r="I1917" t="str">
            <v>Ephrata</v>
          </cell>
          <cell r="K1917" t="str">
            <v>822 Pointview Ave</v>
          </cell>
          <cell r="L1917" t="str">
            <v>PA</v>
          </cell>
          <cell r="M1917">
            <v>17522</v>
          </cell>
          <cell r="N1917" t="str">
            <v>822 Pointview Ave Ephrata, PA 17522</v>
          </cell>
        </row>
        <row r="1918">
          <cell r="G1918">
            <v>459625</v>
          </cell>
          <cell r="H1918" t="str">
            <v>Bayhealth Hospital Rec Dock</v>
          </cell>
          <cell r="I1918" t="str">
            <v>Dover</v>
          </cell>
          <cell r="K1918" t="str">
            <v>545 S Governors Ave</v>
          </cell>
          <cell r="L1918" t="str">
            <v>DE</v>
          </cell>
          <cell r="M1918">
            <v>19904</v>
          </cell>
          <cell r="N1918" t="str">
            <v>545 S Governors Ave Dover, DE 19904</v>
          </cell>
        </row>
        <row r="1919">
          <cell r="G1919">
            <v>481647</v>
          </cell>
          <cell r="H1919" t="str">
            <v>Oreland Evangelical Presbyteri</v>
          </cell>
          <cell r="I1919" t="str">
            <v>Oreland</v>
          </cell>
          <cell r="K1919" t="str">
            <v>1119 Church Rd</v>
          </cell>
          <cell r="L1919" t="str">
            <v>PA</v>
          </cell>
          <cell r="M1919">
            <v>19075</v>
          </cell>
          <cell r="N1919" t="str">
            <v>1119 Church Rd Oreland, PA 19075</v>
          </cell>
        </row>
        <row r="1920">
          <cell r="G1920">
            <v>482283</v>
          </cell>
          <cell r="H1920" t="str">
            <v>Lower Allen</v>
          </cell>
          <cell r="I1920" t="str">
            <v>CAMP HILL</v>
          </cell>
          <cell r="K1920" t="str">
            <v>1400 Saint Johns Rd</v>
          </cell>
          <cell r="L1920" t="str">
            <v>PA</v>
          </cell>
          <cell r="M1920">
            <v>17011</v>
          </cell>
          <cell r="N1920" t="str">
            <v>1400 Saint Johns Rd CAMP HILL, PA 17011</v>
          </cell>
        </row>
        <row r="1921">
          <cell r="G1921">
            <v>240588</v>
          </cell>
          <cell r="H1921" t="str">
            <v>K &amp; L PLATING CO#</v>
          </cell>
          <cell r="I1921" t="str">
            <v>Lancaster</v>
          </cell>
          <cell r="K1921" t="str">
            <v>524 E Mifflin St</v>
          </cell>
          <cell r="L1921" t="str">
            <v>PA</v>
          </cell>
          <cell r="M1921">
            <v>17602</v>
          </cell>
          <cell r="N1921" t="str">
            <v>524 E Mifflin St Lancaster, PA 17602</v>
          </cell>
        </row>
        <row r="1922">
          <cell r="G1922">
            <v>307365</v>
          </cell>
          <cell r="H1922" t="str">
            <v>WILLOW VALLEY MED LAKES HSK</v>
          </cell>
          <cell r="I1922" t="str">
            <v>Willow Street</v>
          </cell>
          <cell r="K1922" t="str">
            <v>300 Willow Valley Lakes Dr</v>
          </cell>
          <cell r="L1922" t="str">
            <v>PA</v>
          </cell>
          <cell r="M1922">
            <v>17584</v>
          </cell>
          <cell r="N1922" t="str">
            <v>300 Willow Valley Lakes Dr Willow Street, PA 17584</v>
          </cell>
        </row>
        <row r="1923">
          <cell r="G1923">
            <v>417109</v>
          </cell>
          <cell r="H1923" t="str">
            <v>EAST PENN MAINTENANCE GARAGE</v>
          </cell>
          <cell r="I1923" t="str">
            <v>Emmaus</v>
          </cell>
          <cell r="K1923" t="str">
            <v>1001 North St</v>
          </cell>
          <cell r="L1923" t="str">
            <v>PA</v>
          </cell>
          <cell r="M1923">
            <v>18049</v>
          </cell>
          <cell r="N1923" t="str">
            <v>1001 North St Emmaus, PA 18049</v>
          </cell>
        </row>
        <row r="1924">
          <cell r="G1924">
            <v>241987</v>
          </cell>
          <cell r="H1924" t="str">
            <v>STOWAWAY 2#</v>
          </cell>
          <cell r="I1924" t="str">
            <v>Lancaster</v>
          </cell>
          <cell r="K1924" t="str">
            <v>1655 Manheim Pike</v>
          </cell>
          <cell r="L1924" t="str">
            <v>PA</v>
          </cell>
          <cell r="M1924">
            <v>17601</v>
          </cell>
          <cell r="N1924" t="str">
            <v>1655 Manheim Pike Lancaster, PA 17601</v>
          </cell>
        </row>
        <row r="1925">
          <cell r="G1925">
            <v>418118</v>
          </cell>
          <cell r="H1925" t="str">
            <v>Moorestown High School</v>
          </cell>
          <cell r="I1925" t="str">
            <v>Moorestown</v>
          </cell>
          <cell r="J1925" t="str">
            <v>Cherry Hill</v>
          </cell>
          <cell r="K1925" t="str">
            <v>350 Bridgeboro Rd</v>
          </cell>
          <cell r="L1925" t="str">
            <v>NJ</v>
          </cell>
          <cell r="M1925">
            <v>8057</v>
          </cell>
          <cell r="N1925" t="str">
            <v>350 Bridgeboro Rd Moorestown, NJ 08057</v>
          </cell>
        </row>
        <row r="1926">
          <cell r="G1926">
            <v>448021</v>
          </cell>
          <cell r="H1926" t="str">
            <v>ST CLEMENTS MISSION HOUSE</v>
          </cell>
          <cell r="I1926" t="str">
            <v>Ephrata</v>
          </cell>
          <cell r="K1926" t="str">
            <v>330 Church Ave</v>
          </cell>
          <cell r="L1926" t="str">
            <v>PA</v>
          </cell>
          <cell r="M1926">
            <v>17522</v>
          </cell>
          <cell r="N1926" t="str">
            <v>330 Church Ave Ephrata, PA 17522</v>
          </cell>
        </row>
        <row r="1927">
          <cell r="G1927">
            <v>424470</v>
          </cell>
          <cell r="H1927" t="str">
            <v>WOODCREST VILLA</v>
          </cell>
          <cell r="I1927" t="str">
            <v>Lancaster</v>
          </cell>
          <cell r="K1927" t="str">
            <v>2001 Harrisburg Pike</v>
          </cell>
          <cell r="L1927" t="str">
            <v>PA</v>
          </cell>
          <cell r="M1927">
            <v>17601</v>
          </cell>
          <cell r="N1927" t="str">
            <v>2001 Harrisburg Pike Lancaster, PA 17601</v>
          </cell>
        </row>
        <row r="1928">
          <cell r="G1928">
            <v>267830</v>
          </cell>
          <cell r="H1928" t="str">
            <v>TUCKER IND. LIQUID COATINGS#</v>
          </cell>
          <cell r="I1928" t="str">
            <v>East Berlin</v>
          </cell>
          <cell r="K1928" t="str">
            <v>407 North Ave</v>
          </cell>
          <cell r="L1928" t="str">
            <v>PA</v>
          </cell>
          <cell r="M1928">
            <v>17316</v>
          </cell>
          <cell r="N1928" t="str">
            <v>407 North Ave East Berlin, PA 17316</v>
          </cell>
        </row>
        <row r="1929">
          <cell r="G1929">
            <v>469834</v>
          </cell>
          <cell r="H1929" t="str">
            <v>U GRO LEBANON</v>
          </cell>
          <cell r="I1929" t="str">
            <v>Lebanon</v>
          </cell>
          <cell r="K1929" t="str">
            <v>825 Helen Dr</v>
          </cell>
          <cell r="L1929" t="str">
            <v>PA</v>
          </cell>
          <cell r="M1929">
            <v>17042</v>
          </cell>
          <cell r="N1929" t="str">
            <v>825 Helen Dr Lebanon, PA 17042</v>
          </cell>
        </row>
        <row r="1930">
          <cell r="G1930">
            <v>242440</v>
          </cell>
          <cell r="H1930" t="str">
            <v>WYOMISSING SCHOOL DISTRICT</v>
          </cell>
          <cell r="I1930" t="str">
            <v>Wyomissing</v>
          </cell>
          <cell r="K1930" t="str">
            <v>630 Evans Ave</v>
          </cell>
          <cell r="L1930" t="str">
            <v>PA</v>
          </cell>
          <cell r="M1930">
            <v>19610</v>
          </cell>
          <cell r="N1930" t="str">
            <v>630 Evans Ave Wyomissing, PA 19610</v>
          </cell>
        </row>
        <row r="1931">
          <cell r="G1931">
            <v>240816</v>
          </cell>
          <cell r="H1931" t="str">
            <v>LANDIS VALLEY VILLAGE &amp; FARM M</v>
          </cell>
          <cell r="I1931" t="str">
            <v>Lancaster</v>
          </cell>
          <cell r="K1931" t="str">
            <v>2451 Kissel Hill Rd</v>
          </cell>
          <cell r="L1931" t="str">
            <v>PA</v>
          </cell>
          <cell r="M1931">
            <v>17601</v>
          </cell>
          <cell r="N1931" t="str">
            <v>2451 Kissel Hill Rd Lancaster, PA 17601</v>
          </cell>
        </row>
        <row r="1932">
          <cell r="G1932">
            <v>242489</v>
          </cell>
          <cell r="H1932" t="str">
            <v>HIGH ASSOCIATES</v>
          </cell>
          <cell r="I1932" t="str">
            <v>Lancaster</v>
          </cell>
          <cell r="K1932" t="str">
            <v>1853 William Penn Way</v>
          </cell>
          <cell r="L1932" t="str">
            <v>PA</v>
          </cell>
          <cell r="M1932">
            <v>17601</v>
          </cell>
          <cell r="N1932" t="str">
            <v>1853 William Penn Way Lancaster, PA 17601</v>
          </cell>
        </row>
        <row r="1933">
          <cell r="G1933">
            <v>311585</v>
          </cell>
          <cell r="H1933" t="str">
            <v>Berlin Farmers Market</v>
          </cell>
          <cell r="I1933" t="str">
            <v>Berlin</v>
          </cell>
          <cell r="J1933" t="str">
            <v>Cherry Hill</v>
          </cell>
          <cell r="K1933" t="str">
            <v>41 Clementon Rd</v>
          </cell>
          <cell r="L1933" t="str">
            <v>NJ</v>
          </cell>
          <cell r="M1933">
            <v>8009</v>
          </cell>
          <cell r="N1933" t="str">
            <v>41 Clementon Rd Berlin, NJ 08009</v>
          </cell>
        </row>
        <row r="1934">
          <cell r="G1934">
            <v>343284</v>
          </cell>
          <cell r="H1934" t="str">
            <v>Burke Motor Group</v>
          </cell>
          <cell r="I1934" t="str">
            <v>Cape May Court House</v>
          </cell>
          <cell r="K1934" t="str">
            <v>227 Bayberry Dr</v>
          </cell>
          <cell r="L1934" t="str">
            <v>NJ</v>
          </cell>
          <cell r="M1934">
            <v>8210</v>
          </cell>
          <cell r="N1934" t="str">
            <v>227 Bayberry Dr Cape May Court House, NJ 08210</v>
          </cell>
        </row>
        <row r="1935">
          <cell r="G1935">
            <v>239118</v>
          </cell>
          <cell r="H1935" t="str">
            <v>ADCOCK BROTHERS INC***</v>
          </cell>
          <cell r="I1935" t="str">
            <v>Manheim</v>
          </cell>
          <cell r="K1935" t="str">
            <v>14 Anthony Dr</v>
          </cell>
          <cell r="L1935" t="str">
            <v>PA</v>
          </cell>
          <cell r="M1935">
            <v>17545</v>
          </cell>
          <cell r="N1935" t="str">
            <v>14 Anthony Dr Manheim, PA 17545</v>
          </cell>
        </row>
        <row r="1936">
          <cell r="G1936">
            <v>241774</v>
          </cell>
          <cell r="H1936" t="str">
            <v>SC POULTRY</v>
          </cell>
          <cell r="I1936" t="str">
            <v>East Petersburg</v>
          </cell>
          <cell r="K1936" t="str">
            <v>5950 Main St</v>
          </cell>
          <cell r="L1936" t="str">
            <v>PA</v>
          </cell>
          <cell r="M1936">
            <v>17520</v>
          </cell>
          <cell r="N1936" t="str">
            <v>5950 Main St East Petersburg, PA 17520</v>
          </cell>
        </row>
        <row r="1937">
          <cell r="G1937">
            <v>278908</v>
          </cell>
          <cell r="H1937" t="str">
            <v>BERKSHIRE HATHAWAY HOME  CORP</v>
          </cell>
          <cell r="I1937" t="str">
            <v>Lancaster</v>
          </cell>
          <cell r="K1937" t="str">
            <v>150 N Pointe Blvd</v>
          </cell>
          <cell r="L1937" t="str">
            <v>PA</v>
          </cell>
          <cell r="M1937">
            <v>17601</v>
          </cell>
          <cell r="N1937" t="str">
            <v>150 N Pointe Blvd Lancaster, PA 17601</v>
          </cell>
        </row>
        <row r="1938">
          <cell r="G1938">
            <v>241079</v>
          </cell>
          <cell r="H1938" t="str">
            <v>Vanguard Development Corp</v>
          </cell>
          <cell r="I1938" t="str">
            <v>Lancaster</v>
          </cell>
          <cell r="K1938" t="str">
            <v>1801 Fruitville Pike Ste 200</v>
          </cell>
          <cell r="L1938" t="str">
            <v>PA</v>
          </cell>
          <cell r="M1938">
            <v>17601</v>
          </cell>
          <cell r="N1938" t="str">
            <v>1801 Fruitville Pike Ste 200 Lancaster, PA 17601</v>
          </cell>
        </row>
        <row r="1939">
          <cell r="G1939">
            <v>240962</v>
          </cell>
          <cell r="H1939" t="str">
            <v>Myers Janitorial Services</v>
          </cell>
          <cell r="I1939" t="str">
            <v>Stevens</v>
          </cell>
          <cell r="K1939" t="str">
            <v>11 Wild Deer Dr</v>
          </cell>
          <cell r="L1939" t="str">
            <v>PA</v>
          </cell>
          <cell r="M1939">
            <v>17578</v>
          </cell>
          <cell r="N1939" t="str">
            <v>11 Wild Deer Dr Stevens, PA 17578</v>
          </cell>
        </row>
        <row r="1940">
          <cell r="G1940">
            <v>307469</v>
          </cell>
          <cell r="H1940" t="str">
            <v>MCI Sales &amp; Service Center</v>
          </cell>
          <cell r="I1940" t="str">
            <v>Blackwood</v>
          </cell>
          <cell r="K1940" t="str">
            <v>14 Harmon Dr</v>
          </cell>
          <cell r="L1940" t="str">
            <v>NJ</v>
          </cell>
          <cell r="M1940">
            <v>8012</v>
          </cell>
          <cell r="N1940" t="str">
            <v>14 Harmon Dr Blackwood, NJ 08012</v>
          </cell>
        </row>
        <row r="1941">
          <cell r="G1941">
            <v>244576</v>
          </cell>
          <cell r="H1941" t="str">
            <v>Somerton United Methodist Chur</v>
          </cell>
          <cell r="I1941" t="str">
            <v>Philadelphia</v>
          </cell>
          <cell r="J1941" t="str">
            <v>Philly - NE</v>
          </cell>
          <cell r="K1941" t="str">
            <v>13073 Bustleton Ave</v>
          </cell>
          <cell r="L1941" t="str">
            <v>PA</v>
          </cell>
          <cell r="M1941">
            <v>19116</v>
          </cell>
          <cell r="N1941" t="str">
            <v>13073 Bustleton Ave Philadelphia, PA 19116</v>
          </cell>
        </row>
        <row r="1942">
          <cell r="G1942">
            <v>240782</v>
          </cell>
          <cell r="H1942" t="str">
            <v>LANCASTER CATHOLIC HIGH SCHOOL</v>
          </cell>
          <cell r="I1942" t="str">
            <v>Lancaster</v>
          </cell>
          <cell r="K1942" t="str">
            <v>650 Juliette Ave</v>
          </cell>
          <cell r="L1942" t="str">
            <v>PA</v>
          </cell>
          <cell r="M1942">
            <v>17601</v>
          </cell>
          <cell r="N1942" t="str">
            <v>650 Juliette Ave Lancaster, PA 17601</v>
          </cell>
        </row>
        <row r="1943">
          <cell r="G1943">
            <v>240297</v>
          </cell>
          <cell r="H1943" t="str">
            <v>HAMILTON PARK UNITED</v>
          </cell>
          <cell r="I1943" t="str">
            <v>Lancaster</v>
          </cell>
          <cell r="K1943" t="str">
            <v>1210 Maple Ave</v>
          </cell>
          <cell r="L1943" t="str">
            <v>PA</v>
          </cell>
          <cell r="M1943">
            <v>17603</v>
          </cell>
          <cell r="N1943" t="str">
            <v>1210 Maple Ave Lancaster, PA 17603</v>
          </cell>
        </row>
        <row r="1944">
          <cell r="G1944">
            <v>239504</v>
          </cell>
          <cell r="H1944" t="str">
            <v>CASSELS SIGN SHOP</v>
          </cell>
          <cell r="I1944" t="str">
            <v>Manheim</v>
          </cell>
          <cell r="K1944" t="str">
            <v>784 Fruitville Pike</v>
          </cell>
          <cell r="L1944" t="str">
            <v>PA</v>
          </cell>
          <cell r="M1944">
            <v>17545</v>
          </cell>
          <cell r="N1944" t="str">
            <v>784 Fruitville Pike Manheim, PA 17545</v>
          </cell>
        </row>
        <row r="1945">
          <cell r="G1945">
            <v>304641</v>
          </cell>
          <cell r="H1945" t="str">
            <v>KEYSTONE FIREWORKS#</v>
          </cell>
          <cell r="I1945" t="str">
            <v>Lancaster</v>
          </cell>
          <cell r="K1945" t="str">
            <v>2357 Lincoln Hwy E</v>
          </cell>
          <cell r="L1945" t="str">
            <v>PA</v>
          </cell>
          <cell r="M1945">
            <v>17602</v>
          </cell>
          <cell r="N1945" t="str">
            <v>2357 Lincoln Hwy E Lancaster, PA 17602</v>
          </cell>
        </row>
        <row r="1946">
          <cell r="G1946">
            <v>242389</v>
          </cell>
          <cell r="H1946" t="str">
            <v>White Oak Church of the Brethr</v>
          </cell>
          <cell r="I1946" t="str">
            <v>Manheim</v>
          </cell>
          <cell r="K1946" t="str">
            <v>1211 N Penryn Rd</v>
          </cell>
          <cell r="L1946" t="str">
            <v>PA</v>
          </cell>
          <cell r="M1946">
            <v>17545</v>
          </cell>
          <cell r="N1946" t="str">
            <v>1211 N Penryn Rd Manheim, PA 17545</v>
          </cell>
        </row>
        <row r="1947">
          <cell r="G1947">
            <v>243347</v>
          </cell>
          <cell r="H1947" t="str">
            <v>Doylestown Tennis Club</v>
          </cell>
          <cell r="I1947" t="str">
            <v>Doylestown</v>
          </cell>
          <cell r="J1947" t="str">
            <v>Philly Suburbs - North</v>
          </cell>
          <cell r="K1947" t="str">
            <v>10 Weldon Dr</v>
          </cell>
          <cell r="L1947" t="str">
            <v>PA</v>
          </cell>
          <cell r="M1947">
            <v>18901</v>
          </cell>
          <cell r="N1947" t="str">
            <v>10 Weldon Dr Doylestown, PA 18901</v>
          </cell>
        </row>
        <row r="1948">
          <cell r="G1948">
            <v>241171</v>
          </cell>
          <cell r="H1948" t="str">
            <v>MOUNTVILLE FIRE CO NO 1</v>
          </cell>
          <cell r="I1948" t="str">
            <v>Mountville</v>
          </cell>
          <cell r="K1948" t="str">
            <v>26 N Lemon St</v>
          </cell>
          <cell r="L1948" t="str">
            <v>PA</v>
          </cell>
          <cell r="M1948">
            <v>17554</v>
          </cell>
          <cell r="N1948" t="str">
            <v>26 N Lemon St Mountville, PA 17554</v>
          </cell>
        </row>
        <row r="1949">
          <cell r="G1949">
            <v>240266</v>
          </cell>
          <cell r="H1949" t="str">
            <v>GRAYBILL MACHINE INC</v>
          </cell>
          <cell r="I1949" t="str">
            <v>Lititz</v>
          </cell>
          <cell r="K1949" t="str">
            <v>221 W Lexington Rd</v>
          </cell>
          <cell r="L1949" t="str">
            <v>PA</v>
          </cell>
          <cell r="M1949">
            <v>17543</v>
          </cell>
          <cell r="N1949" t="str">
            <v>221 W Lexington Rd Lititz, PA 17543</v>
          </cell>
        </row>
        <row r="1950">
          <cell r="G1950">
            <v>471907</v>
          </cell>
          <cell r="H1950" t="str">
            <v>ADVANCED SCIENTIFICS V</v>
          </cell>
          <cell r="I1950" t="str">
            <v>MILLERSBURG</v>
          </cell>
          <cell r="K1950" t="str">
            <v>101 Teardrop Rd</v>
          </cell>
          <cell r="L1950" t="str">
            <v>PA</v>
          </cell>
          <cell r="M1950">
            <v>17061</v>
          </cell>
          <cell r="N1950" t="str">
            <v>101 Teardrop Rd MILLERSBURG, PA 17061</v>
          </cell>
        </row>
        <row r="1951">
          <cell r="G1951">
            <v>240829</v>
          </cell>
          <cell r="H1951" t="str">
            <v>LEACOCK TOWNSHIP</v>
          </cell>
          <cell r="I1951" t="str">
            <v>Gordonville</v>
          </cell>
          <cell r="K1951" t="str">
            <v>3545 W. Newport Rd</v>
          </cell>
          <cell r="L1951" t="str">
            <v>PA</v>
          </cell>
          <cell r="M1951">
            <v>17529</v>
          </cell>
          <cell r="N1951" t="str">
            <v>3545 W. Newport Rd Gordonville, PA 17529</v>
          </cell>
        </row>
        <row r="1952">
          <cell r="G1952">
            <v>242453</v>
          </cell>
          <cell r="H1952" t="str">
            <v>YORK CITY ICE ARENA</v>
          </cell>
          <cell r="I1952" t="str">
            <v>York</v>
          </cell>
          <cell r="K1952" t="str">
            <v>941 Vander Ave</v>
          </cell>
          <cell r="L1952" t="str">
            <v>PA</v>
          </cell>
          <cell r="M1952">
            <v>17403</v>
          </cell>
          <cell r="N1952" t="str">
            <v>941 Vander Ave York, PA 17403</v>
          </cell>
        </row>
        <row r="1953">
          <cell r="G1953">
            <v>472055</v>
          </cell>
          <cell r="H1953" t="str">
            <v>Church of the Saviour</v>
          </cell>
          <cell r="I1953" t="str">
            <v>Wayne</v>
          </cell>
          <cell r="K1953" t="str">
            <v>651 N Wayne Ave</v>
          </cell>
          <cell r="L1953" t="str">
            <v>PA</v>
          </cell>
          <cell r="M1953">
            <v>19087</v>
          </cell>
          <cell r="N1953" t="str">
            <v>651 N Wayne Ave Wayne, PA 19087</v>
          </cell>
        </row>
        <row r="1954">
          <cell r="G1954">
            <v>273311</v>
          </cell>
          <cell r="H1954" t="str">
            <v>OUR MOTHER PERPETUAL CHURCH</v>
          </cell>
          <cell r="I1954" t="str">
            <v>Ephrata</v>
          </cell>
          <cell r="K1954" t="str">
            <v>320 Church Ave</v>
          </cell>
          <cell r="L1954" t="str">
            <v>PA</v>
          </cell>
          <cell r="M1954">
            <v>17522</v>
          </cell>
          <cell r="N1954" t="str">
            <v>320 Church Ave Ephrata, PA 17522</v>
          </cell>
        </row>
        <row r="1955">
          <cell r="G1955">
            <v>311285</v>
          </cell>
          <cell r="H1955" t="str">
            <v>Susquehanna Auto Dodge</v>
          </cell>
          <cell r="I1955" t="str">
            <v>Wrightsville</v>
          </cell>
          <cell r="K1955" t="str">
            <v>950 Hellam St</v>
          </cell>
          <cell r="L1955" t="str">
            <v>PA</v>
          </cell>
          <cell r="M1955">
            <v>17368</v>
          </cell>
          <cell r="N1955" t="str">
            <v>950 Hellam St Wrightsville, PA 17368</v>
          </cell>
        </row>
        <row r="1956">
          <cell r="G1956">
            <v>429514</v>
          </cell>
          <cell r="H1956" t="str">
            <v>ALEXANDER B GOODE ELEMENTARY</v>
          </cell>
          <cell r="I1956" t="str">
            <v>York</v>
          </cell>
          <cell r="K1956" t="str">
            <v>251 N Broad St</v>
          </cell>
          <cell r="L1956" t="str">
            <v>PA</v>
          </cell>
          <cell r="M1956">
            <v>17403</v>
          </cell>
          <cell r="N1956" t="str">
            <v>251 N Broad St York, PA 17403</v>
          </cell>
        </row>
        <row r="1957">
          <cell r="G1957">
            <v>241279</v>
          </cell>
          <cell r="H1957" t="str">
            <v>NORTHERN YORK SD FOOD SERV#</v>
          </cell>
          <cell r="I1957" t="str">
            <v>Dillsburg</v>
          </cell>
          <cell r="K1957" t="str">
            <v>650 S Baltimore St</v>
          </cell>
          <cell r="L1957" t="str">
            <v>PA</v>
          </cell>
          <cell r="M1957">
            <v>17019</v>
          </cell>
          <cell r="N1957" t="str">
            <v>650 S Baltimore St Dillsburg, PA 17019</v>
          </cell>
        </row>
        <row r="1958">
          <cell r="G1958">
            <v>471990</v>
          </cell>
          <cell r="H1958" t="str">
            <v>NLFES -Jonestown Fire Company</v>
          </cell>
          <cell r="I1958" t="str">
            <v>Jonestown</v>
          </cell>
          <cell r="K1958" t="str">
            <v>107 S King St</v>
          </cell>
          <cell r="L1958" t="str">
            <v>PA</v>
          </cell>
          <cell r="M1958">
            <v>17038</v>
          </cell>
          <cell r="N1958" t="str">
            <v>107 S King St Jonestown, PA 17038</v>
          </cell>
        </row>
        <row r="1959">
          <cell r="G1959">
            <v>283211</v>
          </cell>
          <cell r="H1959" t="str">
            <v>Community Baptist Church</v>
          </cell>
          <cell r="I1959" t="str">
            <v>Bristol</v>
          </cell>
          <cell r="J1959" t="str">
            <v>Philly - NE</v>
          </cell>
          <cell r="K1959" t="str">
            <v>225 Radcliffe St</v>
          </cell>
          <cell r="L1959" t="str">
            <v>PA</v>
          </cell>
          <cell r="M1959">
            <v>19007</v>
          </cell>
          <cell r="N1959" t="str">
            <v>225 Radcliffe St Bristol, PA 19007</v>
          </cell>
        </row>
        <row r="1960">
          <cell r="G1960">
            <v>330258</v>
          </cell>
          <cell r="H1960" t="str">
            <v>Commercial Township BOE</v>
          </cell>
          <cell r="I1960" t="str">
            <v>Port Norris</v>
          </cell>
          <cell r="K1960" t="str">
            <v>1308 North Ave</v>
          </cell>
          <cell r="L1960" t="str">
            <v>NJ</v>
          </cell>
          <cell r="M1960">
            <v>8349</v>
          </cell>
          <cell r="N1960" t="str">
            <v>1308 North Ave Port Norris, NJ 08349</v>
          </cell>
        </row>
        <row r="1961">
          <cell r="G1961">
            <v>458869</v>
          </cell>
          <cell r="H1961" t="str">
            <v>Nash Elementary School</v>
          </cell>
          <cell r="I1961" t="str">
            <v>Harleysville</v>
          </cell>
          <cell r="K1961" t="str">
            <v>1560 Liberty Bell Dr</v>
          </cell>
          <cell r="L1961" t="str">
            <v>PA</v>
          </cell>
          <cell r="M1961">
            <v>19438</v>
          </cell>
          <cell r="N1961" t="str">
            <v>1560 Liberty Bell Dr Harleysville, PA 19438</v>
          </cell>
        </row>
        <row r="1962">
          <cell r="G1962">
            <v>474973</v>
          </cell>
          <cell r="H1962" t="str">
            <v>Facilities &amp; Operations LSP DD</v>
          </cell>
          <cell r="I1962" t="str">
            <v>Lancaster</v>
          </cell>
          <cell r="K1962" t="str">
            <v>760 Williamson Way Bldg 20</v>
          </cell>
          <cell r="L1962" t="str">
            <v>PA</v>
          </cell>
          <cell r="M1962">
            <v>17603</v>
          </cell>
          <cell r="N1962" t="str">
            <v>760 Williamson Way Bldg 20 Lancaster, PA 17603</v>
          </cell>
        </row>
        <row r="1963">
          <cell r="G1963">
            <v>241648</v>
          </cell>
          <cell r="H1963" t="str">
            <v>RUHLS UNITED METH CHURCH</v>
          </cell>
          <cell r="I1963" t="str">
            <v>Manheim</v>
          </cell>
          <cell r="K1963" t="str">
            <v>4810 Elizabethtown Rd</v>
          </cell>
          <cell r="L1963" t="str">
            <v>PA</v>
          </cell>
          <cell r="M1963">
            <v>17545</v>
          </cell>
          <cell r="N1963" t="str">
            <v>4810 Elizabethtown Rd Manheim, PA 17545</v>
          </cell>
        </row>
        <row r="1964">
          <cell r="G1964">
            <v>240246</v>
          </cell>
          <cell r="H1964" t="str">
            <v>GRACE CHURCH AT WILLOW VALLEY</v>
          </cell>
          <cell r="I1964" t="str">
            <v>Lancaster</v>
          </cell>
          <cell r="K1964" t="str">
            <v>300 Willow Valley Sq</v>
          </cell>
          <cell r="L1964" t="str">
            <v>PA</v>
          </cell>
          <cell r="M1964">
            <v>17602</v>
          </cell>
          <cell r="N1964" t="str">
            <v>300 Willow Valley Sq Lancaster, PA 17602</v>
          </cell>
        </row>
        <row r="1965">
          <cell r="G1965">
            <v>307472</v>
          </cell>
          <cell r="H1965" t="str">
            <v>James E. Conner Jr. Plumbing,</v>
          </cell>
          <cell r="I1965" t="str">
            <v>TURNERSVILLE</v>
          </cell>
          <cell r="K1965" t="str">
            <v>505 ROUTE 168</v>
          </cell>
          <cell r="L1965" t="str">
            <v>NJ</v>
          </cell>
          <cell r="M1965">
            <v>8012</v>
          </cell>
          <cell r="N1965" t="str">
            <v>505 ROUTE 168 TURNERSVILLE, NJ 08012</v>
          </cell>
        </row>
        <row r="1966">
          <cell r="G1966">
            <v>482841</v>
          </cell>
          <cell r="H1966" t="str">
            <v>Slate Road Supply</v>
          </cell>
          <cell r="I1966" t="str">
            <v>Ephrata</v>
          </cell>
          <cell r="K1966" t="str">
            <v>150 Slate Rd</v>
          </cell>
          <cell r="L1966" t="str">
            <v>PA</v>
          </cell>
          <cell r="M1966">
            <v>17522</v>
          </cell>
          <cell r="N1966" t="str">
            <v>150 Slate Rd Ephrata, PA 17522</v>
          </cell>
        </row>
        <row r="1967">
          <cell r="G1967">
            <v>436978</v>
          </cell>
          <cell r="H1967" t="str">
            <v>Aardvark Cleaning Company</v>
          </cell>
          <cell r="I1967" t="str">
            <v>Effort</v>
          </cell>
          <cell r="K1967" t="str">
            <v>192 Chipperfield Dr</v>
          </cell>
          <cell r="L1967" t="str">
            <v>PA</v>
          </cell>
          <cell r="M1967">
            <v>18330</v>
          </cell>
          <cell r="N1967" t="str">
            <v>192 Chipperfield Dr Effort, PA 18330</v>
          </cell>
        </row>
        <row r="1968">
          <cell r="G1968">
            <v>243006</v>
          </cell>
          <cell r="H1968" t="str">
            <v>Bob Wagner's Flooring America</v>
          </cell>
          <cell r="I1968" t="str">
            <v>West Chester</v>
          </cell>
          <cell r="K1968" t="str">
            <v>901 S Bolmar St Ste E</v>
          </cell>
          <cell r="L1968" t="str">
            <v>PA</v>
          </cell>
          <cell r="M1968">
            <v>19382</v>
          </cell>
          <cell r="N1968" t="str">
            <v>901 S Bolmar St Ste E West Chester, PA 19382</v>
          </cell>
        </row>
        <row r="1969">
          <cell r="G1969">
            <v>315440</v>
          </cell>
          <cell r="H1969" t="str">
            <v>ROTHSVILLE VOLUNTEER FIRE COMP</v>
          </cell>
          <cell r="I1969" t="str">
            <v>Lititz</v>
          </cell>
          <cell r="K1969" t="str">
            <v>2071 Main St</v>
          </cell>
          <cell r="L1969" t="str">
            <v>PA</v>
          </cell>
          <cell r="M1969">
            <v>17543</v>
          </cell>
          <cell r="N1969" t="str">
            <v>2071 Main St Lititz, PA 17543</v>
          </cell>
        </row>
        <row r="1970">
          <cell r="G1970">
            <v>466135</v>
          </cell>
          <cell r="H1970" t="str">
            <v>LEBANON HIGH SCHOOL</v>
          </cell>
          <cell r="I1970" t="str">
            <v>Lebanon</v>
          </cell>
          <cell r="K1970" t="str">
            <v>1000 S 8th St</v>
          </cell>
          <cell r="L1970" t="str">
            <v>PA</v>
          </cell>
          <cell r="M1970">
            <v>17042</v>
          </cell>
          <cell r="N1970" t="str">
            <v>1000 S 8th St Lebanon, PA 17042</v>
          </cell>
        </row>
        <row r="1971">
          <cell r="G1971">
            <v>239102</v>
          </cell>
          <cell r="H1971" t="str">
            <v>ABK REALTY</v>
          </cell>
          <cell r="I1971" t="str">
            <v>Lancaster</v>
          </cell>
          <cell r="K1971" t="str">
            <v>1834 Oregon Pike Ste 5</v>
          </cell>
          <cell r="L1971" t="str">
            <v>PA</v>
          </cell>
          <cell r="M1971">
            <v>17601</v>
          </cell>
          <cell r="N1971" t="str">
            <v>1834 Oregon Pike Ste 5 Lancaster, PA 17601</v>
          </cell>
        </row>
        <row r="1972">
          <cell r="G1972">
            <v>307988</v>
          </cell>
          <cell r="H1972" t="str">
            <v>MOYER NISSAN INC</v>
          </cell>
          <cell r="I1972" t="str">
            <v>Wernersville</v>
          </cell>
          <cell r="K1972" t="str">
            <v>6210 W Penn Ave</v>
          </cell>
          <cell r="L1972" t="str">
            <v>PA</v>
          </cell>
          <cell r="M1972">
            <v>19565</v>
          </cell>
          <cell r="N1972" t="str">
            <v>6210 W Penn Ave Wernersville, PA 19565</v>
          </cell>
        </row>
        <row r="1973">
          <cell r="G1973">
            <v>315518</v>
          </cell>
          <cell r="H1973" t="str">
            <v>LITITZ MENNONITE CHURCH</v>
          </cell>
          <cell r="I1973" t="str">
            <v>Lititz</v>
          </cell>
          <cell r="K1973" t="str">
            <v>165 Front St</v>
          </cell>
          <cell r="L1973" t="str">
            <v>PA</v>
          </cell>
          <cell r="M1973">
            <v>17543</v>
          </cell>
          <cell r="N1973" t="str">
            <v>165 Front St Lititz, PA 17543</v>
          </cell>
        </row>
        <row r="1974">
          <cell r="G1974">
            <v>285695</v>
          </cell>
          <cell r="H1974" t="str">
            <v>GOODS DISPOSAL SERVICE INC#</v>
          </cell>
          <cell r="I1974" t="str">
            <v>Ephrata</v>
          </cell>
          <cell r="K1974" t="str">
            <v>4361 Oregon Pike</v>
          </cell>
          <cell r="L1974" t="str">
            <v>PA</v>
          </cell>
          <cell r="M1974">
            <v>17522</v>
          </cell>
          <cell r="N1974" t="str">
            <v>4361 Oregon Pike Ephrata, PA 17522</v>
          </cell>
        </row>
        <row r="1975">
          <cell r="G1975">
            <v>240821</v>
          </cell>
          <cell r="H1975" t="str">
            <v>LAPP LUMBER CO</v>
          </cell>
          <cell r="I1975" t="str">
            <v>Paradise</v>
          </cell>
          <cell r="K1975" t="str">
            <v>1640 Mine Rd</v>
          </cell>
          <cell r="L1975" t="str">
            <v>PA</v>
          </cell>
          <cell r="M1975">
            <v>17562</v>
          </cell>
          <cell r="N1975" t="str">
            <v>1640 Mine Rd Paradise, PA 17562</v>
          </cell>
        </row>
        <row r="1976">
          <cell r="G1976">
            <v>240263</v>
          </cell>
          <cell r="H1976" t="str">
            <v>GRANDVIEW UNITED METHODIST CHU</v>
          </cell>
          <cell r="I1976" t="str">
            <v>Lancaster</v>
          </cell>
          <cell r="K1976" t="str">
            <v>888 Pleasure Rd</v>
          </cell>
          <cell r="L1976" t="str">
            <v>PA</v>
          </cell>
          <cell r="M1976">
            <v>17601</v>
          </cell>
          <cell r="N1976" t="str">
            <v>888 Pleasure Rd Lancaster, PA 17601</v>
          </cell>
        </row>
        <row r="1977">
          <cell r="G1977">
            <v>482767</v>
          </cell>
          <cell r="H1977" t="str">
            <v>G Kay Service</v>
          </cell>
          <cell r="I1977" t="str">
            <v>Mount Joy</v>
          </cell>
          <cell r="K1977" t="str">
            <v>964 W Main St</v>
          </cell>
          <cell r="L1977" t="str">
            <v>PA</v>
          </cell>
          <cell r="M1977">
            <v>17552</v>
          </cell>
          <cell r="N1977" t="str">
            <v>964 W Main St Mount Joy, PA 17552</v>
          </cell>
        </row>
        <row r="1978">
          <cell r="G1978">
            <v>273199</v>
          </cell>
          <cell r="H1978" t="str">
            <v>SRA CLEANING SERVICE#</v>
          </cell>
          <cell r="I1978" t="str">
            <v>New Providence</v>
          </cell>
          <cell r="K1978" t="str">
            <v>505 Sawmill Rd</v>
          </cell>
          <cell r="L1978" t="str">
            <v>PA</v>
          </cell>
          <cell r="M1978">
            <v>17560</v>
          </cell>
          <cell r="N1978" t="str">
            <v>505 Sawmill Rd New Providence, PA 17560</v>
          </cell>
        </row>
        <row r="1979">
          <cell r="G1979">
            <v>419027</v>
          </cell>
          <cell r="H1979" t="str">
            <v>William Tennent High School</v>
          </cell>
          <cell r="I1979" t="str">
            <v>Warminster</v>
          </cell>
          <cell r="J1979" t="str">
            <v>Philly Suburbs - North</v>
          </cell>
          <cell r="K1979" t="str">
            <v>333 Centennial Rd</v>
          </cell>
          <cell r="L1979" t="str">
            <v>PA</v>
          </cell>
          <cell r="M1979">
            <v>18974</v>
          </cell>
          <cell r="N1979" t="str">
            <v>333 Centennial Rd Warminster, PA 18974</v>
          </cell>
        </row>
        <row r="1980">
          <cell r="G1980">
            <v>268912</v>
          </cell>
          <cell r="H1980" t="str">
            <v>CC - SIMPLY SPOTLESS</v>
          </cell>
          <cell r="I1980" t="str">
            <v>ELIZABETHTOWN</v>
          </cell>
          <cell r="K1980" t="str">
            <v>229 Plum St</v>
          </cell>
          <cell r="L1980" t="str">
            <v>PA</v>
          </cell>
          <cell r="M1980">
            <v>17022</v>
          </cell>
          <cell r="N1980" t="str">
            <v>229 Plum St ELIZABETHTOWN, PA 17022</v>
          </cell>
        </row>
        <row r="1981">
          <cell r="G1981">
            <v>474334</v>
          </cell>
          <cell r="H1981" t="str">
            <v>Sheller Oil Company Inc</v>
          </cell>
          <cell r="I1981" t="str">
            <v>West Chester</v>
          </cell>
          <cell r="K1981" t="str">
            <v>603 Montgomery Ave</v>
          </cell>
          <cell r="L1981" t="str">
            <v>PA</v>
          </cell>
          <cell r="M1981">
            <v>19380</v>
          </cell>
          <cell r="N1981" t="str">
            <v>603 Montgomery Ave West Chester, PA 19380</v>
          </cell>
        </row>
        <row r="1982">
          <cell r="G1982">
            <v>301291</v>
          </cell>
          <cell r="H1982" t="str">
            <v>TIM HUGHES#</v>
          </cell>
          <cell r="I1982" t="str">
            <v>MIDDLETOWN</v>
          </cell>
          <cell r="K1982" t="str">
            <v>6 Berkley Dr</v>
          </cell>
          <cell r="L1982" t="str">
            <v>PA</v>
          </cell>
          <cell r="M1982">
            <v>17057</v>
          </cell>
          <cell r="N1982" t="str">
            <v>6 Berkley Dr MIDDLETOWN, PA 17057</v>
          </cell>
        </row>
        <row r="1983">
          <cell r="G1983">
            <v>298547</v>
          </cell>
          <cell r="H1983" t="str">
            <v>Ken Rowan Ceramic Tile</v>
          </cell>
          <cell r="I1983" t="str">
            <v>Hatboro</v>
          </cell>
          <cell r="J1983" t="str">
            <v>Philly Suburbs - North</v>
          </cell>
          <cell r="K1983" t="str">
            <v>244 Beatrice Ave</v>
          </cell>
          <cell r="L1983" t="str">
            <v>PA</v>
          </cell>
          <cell r="M1983">
            <v>19040</v>
          </cell>
          <cell r="N1983" t="str">
            <v>244 Beatrice Ave Hatboro, PA 19040</v>
          </cell>
        </row>
        <row r="1984">
          <cell r="G1984">
            <v>419000</v>
          </cell>
          <cell r="H1984" t="str">
            <v>WEST CHESTER SCHOOL DISTRICT</v>
          </cell>
          <cell r="I1984" t="str">
            <v>West Chester</v>
          </cell>
          <cell r="K1984" t="str">
            <v>306 Westtown Rd</v>
          </cell>
          <cell r="L1984" t="str">
            <v>PA</v>
          </cell>
          <cell r="M1984">
            <v>19382</v>
          </cell>
          <cell r="N1984" t="str">
            <v>306 Westtown Rd West Chester, PA 19382</v>
          </cell>
        </row>
        <row r="1985">
          <cell r="G1985">
            <v>465672</v>
          </cell>
          <cell r="H1985" t="str">
            <v>LANC COUNTY BIBLE HANOVER</v>
          </cell>
          <cell r="I1985" t="str">
            <v>Hanover</v>
          </cell>
          <cell r="K1985" t="str">
            <v>1504 Broadway</v>
          </cell>
          <cell r="L1985" t="str">
            <v>PA</v>
          </cell>
          <cell r="M1985">
            <v>17331</v>
          </cell>
          <cell r="N1985" t="str">
            <v>1504 Broadway Hanover, PA 17331</v>
          </cell>
        </row>
        <row r="1986">
          <cell r="G1986">
            <v>300307</v>
          </cell>
          <cell r="H1986" t="str">
            <v>Bermo LLC</v>
          </cell>
          <cell r="I1986" t="str">
            <v>Quakertown</v>
          </cell>
          <cell r="K1986" t="str">
            <v>351 W Broad St</v>
          </cell>
          <cell r="L1986" t="str">
            <v>PA</v>
          </cell>
          <cell r="M1986">
            <v>18951</v>
          </cell>
          <cell r="N1986" t="str">
            <v>351 W Broad St Quakertown, PA 18951</v>
          </cell>
        </row>
        <row r="1987">
          <cell r="G1987">
            <v>268508</v>
          </cell>
          <cell r="H1987" t="str">
            <v>SALEM EVANGELICAL &amp; REFORMED C</v>
          </cell>
          <cell r="I1987" t="str">
            <v>Stevens</v>
          </cell>
          <cell r="K1987" t="str">
            <v>12 E Church St</v>
          </cell>
          <cell r="L1987" t="str">
            <v>PA</v>
          </cell>
          <cell r="M1987">
            <v>17578</v>
          </cell>
          <cell r="N1987" t="str">
            <v>12 E Church St Stevens, PA 17578</v>
          </cell>
        </row>
        <row r="1988">
          <cell r="G1988">
            <v>415338</v>
          </cell>
          <cell r="H1988" t="str">
            <v>ARMSTRONG WORLD IND RIVER ROAD</v>
          </cell>
          <cell r="I1988" t="str">
            <v>Marietta</v>
          </cell>
          <cell r="K1988" t="str">
            <v>1507 River Rd</v>
          </cell>
          <cell r="L1988" t="str">
            <v>PA</v>
          </cell>
          <cell r="M1988">
            <v>17547</v>
          </cell>
          <cell r="N1988" t="str">
            <v>1507 River Rd Marietta, PA 17547</v>
          </cell>
        </row>
        <row r="1989">
          <cell r="G1989">
            <v>285089</v>
          </cell>
          <cell r="H1989" t="str">
            <v>UNIQUE LIMOUSINE INC</v>
          </cell>
          <cell r="I1989" t="str">
            <v>Harrisburg</v>
          </cell>
          <cell r="K1989" t="str">
            <v>1900 Crooked Hill Rd</v>
          </cell>
          <cell r="L1989" t="str">
            <v>PA</v>
          </cell>
          <cell r="M1989">
            <v>17110</v>
          </cell>
          <cell r="N1989" t="str">
            <v>1900 Crooked Hill Rd Harrisburg, PA 17110</v>
          </cell>
        </row>
        <row r="1990">
          <cell r="G1990">
            <v>240670</v>
          </cell>
          <cell r="H1990" t="str">
            <v>KOHL BROS INC</v>
          </cell>
          <cell r="I1990" t="str">
            <v>Myerstown</v>
          </cell>
          <cell r="K1990" t="str">
            <v>5 E Muth Ave</v>
          </cell>
          <cell r="L1990" t="str">
            <v>PA</v>
          </cell>
          <cell r="M1990">
            <v>17067</v>
          </cell>
          <cell r="N1990" t="str">
            <v>5 E Muth Ave Myerstown, PA 17067</v>
          </cell>
        </row>
        <row r="1991">
          <cell r="G1991">
            <v>240101</v>
          </cell>
          <cell r="H1991" t="str">
            <v>FLINCHBAUGH ENGINEERING</v>
          </cell>
          <cell r="I1991" t="str">
            <v>York</v>
          </cell>
          <cell r="K1991" t="str">
            <v>4387 Run Way Bldg 2</v>
          </cell>
          <cell r="L1991" t="str">
            <v>PA</v>
          </cell>
          <cell r="M1991">
            <v>17406</v>
          </cell>
          <cell r="N1991" t="str">
            <v>4387 Run Way Bldg 2 York, PA 17406</v>
          </cell>
        </row>
        <row r="1992">
          <cell r="G1992">
            <v>481004</v>
          </cell>
          <cell r="H1992" t="str">
            <v>Bob Wagner's Flooring America</v>
          </cell>
          <cell r="I1992" t="str">
            <v>West Chester</v>
          </cell>
          <cell r="K1992" t="str">
            <v>901 S Bolmar St Ste E</v>
          </cell>
          <cell r="L1992" t="str">
            <v>PA</v>
          </cell>
          <cell r="M1992">
            <v>19382</v>
          </cell>
          <cell r="N1992" t="str">
            <v>901 S Bolmar St Ste E West Chester, PA 19382</v>
          </cell>
        </row>
        <row r="1993">
          <cell r="G1993">
            <v>330471</v>
          </cell>
          <cell r="H1993" t="str">
            <v>The Grove at Centerton</v>
          </cell>
          <cell r="I1993" t="str">
            <v>Pittsgrove</v>
          </cell>
          <cell r="K1993" t="str">
            <v>1022 Almond Rd</v>
          </cell>
          <cell r="L1993" t="str">
            <v>NJ</v>
          </cell>
          <cell r="M1993">
            <v>8318</v>
          </cell>
          <cell r="N1993" t="str">
            <v>1022 Almond Rd Pittsgrove, NJ 08318</v>
          </cell>
        </row>
        <row r="1994">
          <cell r="G1994">
            <v>241382</v>
          </cell>
          <cell r="H1994" t="str">
            <v>PELLMAN FOODS INC</v>
          </cell>
          <cell r="I1994" t="str">
            <v>New Holland</v>
          </cell>
          <cell r="K1994" t="str">
            <v>122 S Shirk Rd</v>
          </cell>
          <cell r="L1994" t="str">
            <v>PA</v>
          </cell>
          <cell r="M1994">
            <v>17557</v>
          </cell>
          <cell r="N1994" t="str">
            <v>122 S Shirk Rd New Holland, PA 17557</v>
          </cell>
        </row>
        <row r="1995">
          <cell r="G1995">
            <v>312501</v>
          </cell>
          <cell r="H1995" t="str">
            <v>RACEKRAFTERS AUTOMOTIVE</v>
          </cell>
          <cell r="I1995" t="str">
            <v>Lancaster</v>
          </cell>
          <cell r="K1995" t="str">
            <v>1397 Arcadia Rd Ste 104</v>
          </cell>
          <cell r="L1995" t="str">
            <v>PA</v>
          </cell>
          <cell r="M1995">
            <v>17601</v>
          </cell>
          <cell r="N1995" t="str">
            <v>1397 Arcadia Rd Ste 104 Lancaster, PA 17601</v>
          </cell>
        </row>
        <row r="1996">
          <cell r="G1996">
            <v>336658</v>
          </cell>
          <cell r="H1996" t="str">
            <v>Luz Medicine PC</v>
          </cell>
          <cell r="I1996" t="str">
            <v>Ephrata</v>
          </cell>
          <cell r="K1996" t="str">
            <v>29 Cloister Ave</v>
          </cell>
          <cell r="L1996" t="str">
            <v>PA</v>
          </cell>
          <cell r="M1996">
            <v>17522</v>
          </cell>
          <cell r="N1996" t="str">
            <v>29 Cloister Ave Ephrata, PA 17522</v>
          </cell>
        </row>
        <row r="1997">
          <cell r="G1997">
            <v>448988</v>
          </cell>
          <cell r="H1997" t="str">
            <v>Early Learning Center</v>
          </cell>
          <cell r="I1997" t="str">
            <v>Landenberg</v>
          </cell>
          <cell r="K1997" t="str">
            <v>1769 New London Rd</v>
          </cell>
          <cell r="L1997" t="str">
            <v>PA</v>
          </cell>
          <cell r="M1997">
            <v>19350</v>
          </cell>
          <cell r="N1997" t="str">
            <v>1769 New London Rd Landenberg, PA 19350</v>
          </cell>
        </row>
        <row r="1998">
          <cell r="G1998">
            <v>242070</v>
          </cell>
          <cell r="H1998" t="str">
            <v>TELL MANUFACTURING</v>
          </cell>
          <cell r="I1998" t="str">
            <v>Lititz</v>
          </cell>
          <cell r="K1998" t="str">
            <v>18 Richard Dr</v>
          </cell>
          <cell r="L1998" t="str">
            <v>PA</v>
          </cell>
          <cell r="M1998">
            <v>17543</v>
          </cell>
          <cell r="N1998" t="str">
            <v>18 Richard Dr Lititz, PA 17543</v>
          </cell>
        </row>
        <row r="1999">
          <cell r="G1999">
            <v>247068</v>
          </cell>
          <cell r="H1999" t="str">
            <v>Heart &amp; Paw Acquistion Co, LLC</v>
          </cell>
          <cell r="I1999" t="str">
            <v>Berwyn</v>
          </cell>
          <cell r="K1999" t="str">
            <v>1055 Westlakes Dr Ste 300</v>
          </cell>
          <cell r="L1999" t="str">
            <v>PA</v>
          </cell>
          <cell r="M1999">
            <v>19312</v>
          </cell>
          <cell r="N1999" t="str">
            <v>1055 Westlakes Dr Ste 300 Berwyn, PA 19312</v>
          </cell>
        </row>
        <row r="2000">
          <cell r="G2000">
            <v>241066</v>
          </cell>
          <cell r="H2000" t="str">
            <v>MAY GRANT ASSOC</v>
          </cell>
          <cell r="I2000" t="str">
            <v>Lancaster</v>
          </cell>
          <cell r="K2000" t="str">
            <v>694 Good Dr Ste 112</v>
          </cell>
          <cell r="L2000" t="str">
            <v>PA</v>
          </cell>
          <cell r="M2000">
            <v>17601</v>
          </cell>
          <cell r="N2000" t="str">
            <v>694 Good Dr Ste 112 Lancaster, PA 17601</v>
          </cell>
        </row>
        <row r="2001">
          <cell r="G2001">
            <v>431539</v>
          </cell>
          <cell r="H2001" t="str">
            <v>Avon Grove High School</v>
          </cell>
          <cell r="I2001" t="str">
            <v>West Grove</v>
          </cell>
          <cell r="K2001" t="str">
            <v>257 State Rd</v>
          </cell>
          <cell r="L2001" t="str">
            <v>PA</v>
          </cell>
          <cell r="M2001">
            <v>19390</v>
          </cell>
          <cell r="N2001" t="str">
            <v>257 State Rd West Grove, PA 19390</v>
          </cell>
        </row>
        <row r="2002">
          <cell r="G2002">
            <v>241255</v>
          </cell>
          <cell r="H2002" t="str">
            <v>NEWPORT SCHOOL DISTRICT</v>
          </cell>
          <cell r="I2002" t="str">
            <v>Newport</v>
          </cell>
          <cell r="J2002" t="str">
            <v>Harrisburg - N</v>
          </cell>
          <cell r="K2002" t="str">
            <v>559 N 5th St</v>
          </cell>
          <cell r="L2002" t="str">
            <v>PA</v>
          </cell>
          <cell r="M2002">
            <v>17074</v>
          </cell>
          <cell r="N2002" t="str">
            <v>559 N 5th St Newport, PA 17074</v>
          </cell>
        </row>
        <row r="2003">
          <cell r="G2003">
            <v>432862</v>
          </cell>
          <cell r="H2003" t="str">
            <v>SHICK ELEMENTARY SCHOOL</v>
          </cell>
          <cell r="I2003" t="str">
            <v>Montoursville</v>
          </cell>
          <cell r="K2003" t="str">
            <v>2800 Four Mile Dr</v>
          </cell>
          <cell r="L2003" t="str">
            <v>PA</v>
          </cell>
          <cell r="M2003">
            <v>17754</v>
          </cell>
          <cell r="N2003" t="str">
            <v>2800 Four Mile Dr Montoursville, PA 17754</v>
          </cell>
        </row>
        <row r="2004">
          <cell r="G2004">
            <v>245510</v>
          </cell>
          <cell r="H2004" t="str">
            <v>St David Church</v>
          </cell>
          <cell r="I2004" t="str">
            <v>WILLOW GROVE</v>
          </cell>
          <cell r="J2004" t="str">
            <v>Philly Suburbs - North</v>
          </cell>
          <cell r="K2004" t="str">
            <v>316 Easton Rd</v>
          </cell>
          <cell r="L2004" t="str">
            <v>PA</v>
          </cell>
          <cell r="M2004">
            <v>19090</v>
          </cell>
          <cell r="N2004" t="str">
            <v>316 Easton Rd WILLOW GROVE, PA 19090</v>
          </cell>
        </row>
        <row r="2005">
          <cell r="G2005">
            <v>415649</v>
          </cell>
          <cell r="H2005" t="str">
            <v>PENN MANOR MIDDLE SCHOOL</v>
          </cell>
          <cell r="I2005" t="str">
            <v>Lancaster</v>
          </cell>
          <cell r="K2005" t="str">
            <v>2950 Charlestown Rd</v>
          </cell>
          <cell r="L2005" t="str">
            <v>PA</v>
          </cell>
          <cell r="M2005">
            <v>17603</v>
          </cell>
          <cell r="N2005" t="str">
            <v>2950 Charlestown Rd Lancaster, PA 17603</v>
          </cell>
        </row>
        <row r="2006">
          <cell r="G2006">
            <v>468731</v>
          </cell>
          <cell r="H2006" t="str">
            <v>ADMINISTRATION</v>
          </cell>
          <cell r="I2006" t="str">
            <v>Holmdel</v>
          </cell>
          <cell r="K2006" t="str">
            <v>65 McCampbell Rd</v>
          </cell>
          <cell r="L2006" t="str">
            <v>NJ</v>
          </cell>
          <cell r="M2006">
            <v>7733</v>
          </cell>
          <cell r="N2006" t="str">
            <v>65 McCampbell Rd Holmdel, NJ 07733</v>
          </cell>
        </row>
        <row r="2007">
          <cell r="G2007">
            <v>446984</v>
          </cell>
          <cell r="H2007" t="str">
            <v>THE RUG BEATER</v>
          </cell>
          <cell r="I2007" t="str">
            <v>Leola</v>
          </cell>
          <cell r="K2007" t="str">
            <v>327 S State St</v>
          </cell>
          <cell r="L2007" t="str">
            <v>PA</v>
          </cell>
          <cell r="M2007">
            <v>17540</v>
          </cell>
          <cell r="N2007" t="str">
            <v>327 S State St Leola, PA 17540</v>
          </cell>
        </row>
        <row r="2008">
          <cell r="G2008">
            <v>329971</v>
          </cell>
          <cell r="H2008" t="str">
            <v>Southampton Fire Company No 1</v>
          </cell>
          <cell r="I2008" t="str">
            <v>Southampton</v>
          </cell>
          <cell r="J2008" t="str">
            <v>Philly Suburbs - North</v>
          </cell>
          <cell r="K2008" t="str">
            <v>925 Street Rd</v>
          </cell>
          <cell r="L2008" t="str">
            <v>PA</v>
          </cell>
          <cell r="M2008">
            <v>18966</v>
          </cell>
          <cell r="N2008" t="str">
            <v>925 Street Rd Southampton, PA 18966</v>
          </cell>
        </row>
        <row r="2009">
          <cell r="G2009">
            <v>239347</v>
          </cell>
          <cell r="H2009" t="str">
            <v>TRANS EQUIPMENT CO#</v>
          </cell>
          <cell r="I2009" t="str">
            <v>Ephrata</v>
          </cell>
          <cell r="K2009" t="str">
            <v>4423 Oregon Pike</v>
          </cell>
          <cell r="L2009" t="str">
            <v>PA</v>
          </cell>
          <cell r="M2009">
            <v>17522</v>
          </cell>
          <cell r="N2009" t="str">
            <v>4423 Oregon Pike Ephrata, PA 17522</v>
          </cell>
        </row>
        <row r="2010">
          <cell r="G2010">
            <v>345514</v>
          </cell>
          <cell r="H2010" t="str">
            <v>LSC Communications LLC Brands</v>
          </cell>
          <cell r="I2010" t="str">
            <v>York</v>
          </cell>
          <cell r="K2010" t="str">
            <v>301 Butterfly Commons Dr</v>
          </cell>
          <cell r="L2010" t="str">
            <v>PA</v>
          </cell>
          <cell r="M2010">
            <v>17402</v>
          </cell>
          <cell r="N2010" t="str">
            <v>301 Butterfly Commons Dr York, PA 17402</v>
          </cell>
        </row>
        <row r="2011">
          <cell r="G2011">
            <v>467245</v>
          </cell>
          <cell r="H2011" t="str">
            <v>Upper Township Administration</v>
          </cell>
          <cell r="I2011" t="str">
            <v>Woodbine</v>
          </cell>
          <cell r="K2011" t="str">
            <v>2100 Route 631</v>
          </cell>
          <cell r="L2011" t="str">
            <v>NJ</v>
          </cell>
          <cell r="M2011">
            <v>8270</v>
          </cell>
          <cell r="N2011" t="str">
            <v>2100 Route 631 Woodbine, NJ 08270</v>
          </cell>
        </row>
        <row r="2012">
          <cell r="G2012">
            <v>418143</v>
          </cell>
          <cell r="H2012" t="str">
            <v>Central Warehouse - Lower Meri</v>
          </cell>
          <cell r="I2012" t="str">
            <v>Bala Cynwyd</v>
          </cell>
          <cell r="J2012" t="str">
            <v>Philly - NW</v>
          </cell>
          <cell r="K2012" t="str">
            <v>55 Rock Hill Rd</v>
          </cell>
          <cell r="L2012" t="str">
            <v>PA</v>
          </cell>
          <cell r="M2012">
            <v>19004</v>
          </cell>
          <cell r="N2012" t="str">
            <v>55 Rock Hill Rd Bala Cynwyd, PA 19004</v>
          </cell>
        </row>
        <row r="2013">
          <cell r="G2013">
            <v>461576</v>
          </cell>
          <cell r="H2013" t="str">
            <v>York Ave Elementary School</v>
          </cell>
          <cell r="I2013" t="str">
            <v>Lansdale</v>
          </cell>
          <cell r="K2013" t="str">
            <v>700 York Ave</v>
          </cell>
          <cell r="L2013" t="str">
            <v>PA</v>
          </cell>
          <cell r="M2013">
            <v>19446</v>
          </cell>
          <cell r="N2013" t="str">
            <v>700 York Ave Lansdale, PA 19446</v>
          </cell>
        </row>
        <row r="2014">
          <cell r="G2014">
            <v>245908</v>
          </cell>
          <cell r="H2014" t="str">
            <v>Grace Bible Fellowship</v>
          </cell>
          <cell r="I2014" t="str">
            <v>Quakertown</v>
          </cell>
          <cell r="K2014" t="str">
            <v>1811 N Old Bethlehem Pike</v>
          </cell>
          <cell r="L2014" t="str">
            <v>PA</v>
          </cell>
          <cell r="M2014">
            <v>18951</v>
          </cell>
          <cell r="N2014" t="str">
            <v>1811 N Old Bethlehem Pike Quakertown, PA 18951</v>
          </cell>
        </row>
        <row r="2015">
          <cell r="G2015">
            <v>286889</v>
          </cell>
          <cell r="H2015" t="str">
            <v>Montgomery County Intermediate</v>
          </cell>
          <cell r="I2015" t="str">
            <v>NORRISTOWN</v>
          </cell>
          <cell r="K2015" t="str">
            <v>2 W Lafayette St</v>
          </cell>
          <cell r="L2015" t="str">
            <v>PA</v>
          </cell>
          <cell r="M2015">
            <v>19401</v>
          </cell>
          <cell r="N2015" t="str">
            <v>2 W Lafayette St NORRISTOWN, PA 19401</v>
          </cell>
        </row>
        <row r="2016">
          <cell r="G2016">
            <v>302608</v>
          </cell>
          <cell r="H2016" t="str">
            <v>Benz Hydraulics Inc.</v>
          </cell>
          <cell r="I2016" t="str">
            <v>New Castle</v>
          </cell>
          <cell r="K2016" t="str">
            <v>153 S Dupont Hwy</v>
          </cell>
          <cell r="L2016" t="str">
            <v>DE</v>
          </cell>
          <cell r="M2016">
            <v>19720</v>
          </cell>
          <cell r="N2016" t="str">
            <v>153 S Dupont Hwy New Castle, DE 19720</v>
          </cell>
        </row>
        <row r="2017">
          <cell r="G2017">
            <v>345066</v>
          </cell>
          <cell r="H2017" t="str">
            <v>Church World Service</v>
          </cell>
          <cell r="I2017" t="str">
            <v>Lancaster</v>
          </cell>
          <cell r="K2017" t="str">
            <v>439 E King St</v>
          </cell>
          <cell r="L2017" t="str">
            <v>PA</v>
          </cell>
          <cell r="M2017">
            <v>17602</v>
          </cell>
          <cell r="N2017" t="str">
            <v>439 E King St Lancaster, PA 17602</v>
          </cell>
        </row>
        <row r="2018">
          <cell r="G2018">
            <v>272804</v>
          </cell>
          <cell r="H2018" t="str">
            <v>Burlington Electrical Testing</v>
          </cell>
          <cell r="I2018" t="str">
            <v>Croydon</v>
          </cell>
          <cell r="J2018" t="str">
            <v>Philly - NE</v>
          </cell>
          <cell r="K2018" t="str">
            <v>300 Cedar Ave</v>
          </cell>
          <cell r="L2018" t="str">
            <v>PA</v>
          </cell>
          <cell r="M2018">
            <v>19021</v>
          </cell>
          <cell r="N2018" t="str">
            <v>300 Cedar Ave Croydon, PA 19021</v>
          </cell>
        </row>
        <row r="2019">
          <cell r="G2019">
            <v>285018</v>
          </cell>
          <cell r="H2019" t="str">
            <v>ADVANCED COOLING TECHNOLOGIES</v>
          </cell>
          <cell r="I2019" t="str">
            <v>Lancaster</v>
          </cell>
          <cell r="K2019" t="str">
            <v>1046 New Holland Ave</v>
          </cell>
          <cell r="L2019" t="str">
            <v>PA</v>
          </cell>
          <cell r="M2019">
            <v>17601</v>
          </cell>
          <cell r="N2019" t="str">
            <v>1046 New Holland Ave Lancaster, PA 17601</v>
          </cell>
        </row>
        <row r="2020">
          <cell r="G2020">
            <v>342785</v>
          </cell>
          <cell r="H2020" t="str">
            <v>SAINT FRANCIS ANIMAL HOSPITAL</v>
          </cell>
          <cell r="I2020" t="str">
            <v>Mountville</v>
          </cell>
          <cell r="K2020" t="str">
            <v>308 Primrose Ln</v>
          </cell>
          <cell r="L2020" t="str">
            <v>PA</v>
          </cell>
          <cell r="M2020">
            <v>17554</v>
          </cell>
          <cell r="N2020" t="str">
            <v>308 Primrose Ln Mountville, PA 17554</v>
          </cell>
        </row>
        <row r="2021">
          <cell r="G2021">
            <v>480534</v>
          </cell>
          <cell r="H2021" t="str">
            <v>Caesar's Loading Dock</v>
          </cell>
          <cell r="I2021" t="str">
            <v>Atlantic City</v>
          </cell>
          <cell r="J2021" t="str">
            <v>Atlantic City</v>
          </cell>
          <cell r="K2021" t="str">
            <v>Arkansas &amp; Boardwalk Ave</v>
          </cell>
          <cell r="L2021" t="str">
            <v>NJ</v>
          </cell>
          <cell r="M2021">
            <v>8401</v>
          </cell>
          <cell r="N2021" t="str">
            <v>Arkansas &amp; Boardwalk Ave Atlantic City, NJ 08401</v>
          </cell>
        </row>
        <row r="2022">
          <cell r="G2022">
            <v>239062</v>
          </cell>
          <cell r="H2022" t="str">
            <v>STONEMILL PROPERTY MGMT</v>
          </cell>
          <cell r="I2022" t="str">
            <v>AKRON</v>
          </cell>
          <cell r="J2022" t="str">
            <v>Lancaster - NE</v>
          </cell>
          <cell r="K2022" t="str">
            <v>328 S 7th St</v>
          </cell>
          <cell r="L2022" t="str">
            <v>PA</v>
          </cell>
          <cell r="M2022">
            <v>17501</v>
          </cell>
          <cell r="N2022" t="str">
            <v>328 S 7th St AKRON, PA 17501</v>
          </cell>
        </row>
        <row r="2023">
          <cell r="G2023">
            <v>481118</v>
          </cell>
          <cell r="H2023" t="str">
            <v>BURGARD ELEMENTARY</v>
          </cell>
          <cell r="I2023" t="str">
            <v>Manheim</v>
          </cell>
          <cell r="K2023" t="str">
            <v>111 S Penn St</v>
          </cell>
          <cell r="L2023" t="str">
            <v>PA</v>
          </cell>
          <cell r="M2023">
            <v>17545</v>
          </cell>
          <cell r="N2023" t="str">
            <v>111 S Penn St Manheim, PA 17545</v>
          </cell>
        </row>
        <row r="2024">
          <cell r="G2024">
            <v>333039</v>
          </cell>
          <cell r="H2024" t="str">
            <v>CHRIST LUTHERAN CHURCH</v>
          </cell>
          <cell r="I2024" t="str">
            <v>Lancaster</v>
          </cell>
          <cell r="K2024" t="str">
            <v>2 W Strawberry St</v>
          </cell>
          <cell r="L2024" t="str">
            <v>PA</v>
          </cell>
          <cell r="M2024">
            <v>17603</v>
          </cell>
          <cell r="N2024" t="str">
            <v>2 W Strawberry St Lancaster, PA 17603</v>
          </cell>
        </row>
        <row r="2025">
          <cell r="G2025">
            <v>481208</v>
          </cell>
          <cell r="H2025" t="str">
            <v>Titus Martin</v>
          </cell>
          <cell r="I2025" t="str">
            <v>KIRKWOOD</v>
          </cell>
          <cell r="K2025" t="str">
            <v>1960 NOBLE RD</v>
          </cell>
          <cell r="L2025" t="str">
            <v>PA</v>
          </cell>
          <cell r="M2025">
            <v>17536</v>
          </cell>
          <cell r="N2025" t="str">
            <v>1960 NOBLE RD KIRKWOOD, PA 17536</v>
          </cell>
        </row>
        <row r="2026">
          <cell r="G2026">
            <v>283338</v>
          </cell>
          <cell r="H2026" t="str">
            <v>ELIZABETHTOWN HERSHEY KOA#</v>
          </cell>
          <cell r="I2026" t="str">
            <v>ELIZABETHTOWN</v>
          </cell>
          <cell r="K2026" t="str">
            <v>1980 Turnpike Rd</v>
          </cell>
          <cell r="L2026" t="str">
            <v>PA</v>
          </cell>
          <cell r="M2026">
            <v>17022</v>
          </cell>
          <cell r="N2026" t="str">
            <v>1980 Turnpike Rd ELIZABETHTOWN, PA 17022</v>
          </cell>
        </row>
        <row r="2027">
          <cell r="G2027">
            <v>344362</v>
          </cell>
          <cell r="H2027" t="str">
            <v>Philadelphia Chinatown Dev Cor</v>
          </cell>
          <cell r="I2027" t="str">
            <v>Philadelphia</v>
          </cell>
          <cell r="K2027" t="str">
            <v>301 N 9th St</v>
          </cell>
          <cell r="L2027" t="str">
            <v>PA</v>
          </cell>
          <cell r="M2027">
            <v>19107</v>
          </cell>
          <cell r="N2027" t="str">
            <v>301 N 9th St Philadelphia, PA 19107</v>
          </cell>
        </row>
        <row r="2028">
          <cell r="G2028">
            <v>416397</v>
          </cell>
          <cell r="H2028" t="str">
            <v>Bob Wagner's Flooring America</v>
          </cell>
          <cell r="I2028" t="str">
            <v>West Chester</v>
          </cell>
          <cell r="K2028" t="str">
            <v>1330 W Chester Pike</v>
          </cell>
          <cell r="L2028" t="str">
            <v>PA</v>
          </cell>
          <cell r="M2028">
            <v>19382</v>
          </cell>
          <cell r="N2028" t="str">
            <v>1330 W Chester Pike West Chester, PA 19382</v>
          </cell>
        </row>
        <row r="2029">
          <cell r="G2029">
            <v>335604</v>
          </cell>
          <cell r="H2029" t="str">
            <v>PAUL LEFEVER</v>
          </cell>
          <cell r="I2029" t="str">
            <v>Lancaster</v>
          </cell>
          <cell r="K2029" t="str">
            <v>315 Lampeter Rd</v>
          </cell>
          <cell r="L2029" t="str">
            <v>PA</v>
          </cell>
          <cell r="M2029">
            <v>17602</v>
          </cell>
          <cell r="N2029" t="str">
            <v>315 Lampeter Rd Lancaster, PA 17602</v>
          </cell>
        </row>
        <row r="2030">
          <cell r="G2030">
            <v>264922</v>
          </cell>
          <cell r="H2030" t="str">
            <v>LEHMAN INSURANCE AGENCY INC</v>
          </cell>
          <cell r="I2030" t="str">
            <v>Ephrata</v>
          </cell>
          <cell r="K2030" t="str">
            <v>1686 W Main St</v>
          </cell>
          <cell r="L2030" t="str">
            <v>PA</v>
          </cell>
          <cell r="M2030">
            <v>17522</v>
          </cell>
          <cell r="N2030" t="str">
            <v>1686 W Main St Ephrata, PA 17522</v>
          </cell>
        </row>
        <row r="2031">
          <cell r="G2031">
            <v>246118</v>
          </cell>
          <cell r="H2031" t="str">
            <v>Richboro Beer &amp; Soda</v>
          </cell>
          <cell r="I2031" t="str">
            <v>Richboro</v>
          </cell>
          <cell r="J2031" t="str">
            <v>Philly Suburbs - North</v>
          </cell>
          <cell r="K2031" t="str">
            <v>1078 2nd Street Pike</v>
          </cell>
          <cell r="L2031" t="str">
            <v>PA</v>
          </cell>
          <cell r="M2031">
            <v>18954</v>
          </cell>
          <cell r="N2031" t="str">
            <v>1078 2nd Street Pike Richboro, PA 18954</v>
          </cell>
        </row>
        <row r="2032">
          <cell r="G2032">
            <v>315018</v>
          </cell>
          <cell r="H2032" t="str">
            <v>Maddie Colon</v>
          </cell>
          <cell r="I2032" t="str">
            <v>Philadelphia</v>
          </cell>
          <cell r="K2032" t="str">
            <v>1330 Magee Ave</v>
          </cell>
          <cell r="L2032" t="str">
            <v>PA</v>
          </cell>
          <cell r="M2032">
            <v>19111</v>
          </cell>
          <cell r="N2032" t="str">
            <v>1330 Magee Ave Philadelphia, PA 19111</v>
          </cell>
        </row>
        <row r="2033">
          <cell r="G2033">
            <v>240358</v>
          </cell>
          <cell r="H2033" t="str">
            <v>HEMPFIELD CHURCH OF THE BRETHR</v>
          </cell>
          <cell r="I2033" t="str">
            <v>Manheim</v>
          </cell>
          <cell r="K2033" t="str">
            <v>1186 Stevens St</v>
          </cell>
          <cell r="L2033" t="str">
            <v>PA</v>
          </cell>
          <cell r="M2033">
            <v>17545</v>
          </cell>
          <cell r="N2033" t="str">
            <v>1186 Stevens St Manheim, PA 17545</v>
          </cell>
        </row>
        <row r="2034">
          <cell r="G2034">
            <v>472658</v>
          </cell>
          <cell r="H2034" t="str">
            <v>Temple Beth Israel V - York JC</v>
          </cell>
          <cell r="I2034" t="str">
            <v>York</v>
          </cell>
          <cell r="K2034" t="str">
            <v>2000 Hollywood Dr</v>
          </cell>
          <cell r="L2034" t="str">
            <v>PA</v>
          </cell>
          <cell r="M2034">
            <v>17403</v>
          </cell>
          <cell r="N2034" t="str">
            <v>2000 Hollywood Dr York, PA 17403</v>
          </cell>
        </row>
        <row r="2035">
          <cell r="G2035">
            <v>343239</v>
          </cell>
          <cell r="H2035" t="str">
            <v>TRENTON CITY HALL</v>
          </cell>
          <cell r="I2035" t="str">
            <v>Trenton</v>
          </cell>
          <cell r="K2035" t="str">
            <v>319 E State St</v>
          </cell>
          <cell r="L2035" t="str">
            <v>NJ</v>
          </cell>
          <cell r="M2035">
            <v>8608</v>
          </cell>
          <cell r="N2035" t="str">
            <v>319 E State St Trenton, NJ 08608</v>
          </cell>
        </row>
        <row r="2036">
          <cell r="G2036">
            <v>239741</v>
          </cell>
          <cell r="H2036" t="str">
            <v>CROSSGATES GOLF CLUB</v>
          </cell>
          <cell r="I2036" t="str">
            <v>Millersville</v>
          </cell>
          <cell r="K2036" t="str">
            <v>1 Crossland Pass</v>
          </cell>
          <cell r="L2036" t="str">
            <v>PA</v>
          </cell>
          <cell r="M2036">
            <v>17551</v>
          </cell>
          <cell r="N2036" t="str">
            <v>1 Crossland Pass Millersville, PA 17551</v>
          </cell>
        </row>
        <row r="2037">
          <cell r="G2037">
            <v>327407</v>
          </cell>
          <cell r="H2037" t="str">
            <v>TEMPLE BETH ISRAEL#</v>
          </cell>
          <cell r="I2037" t="str">
            <v>York</v>
          </cell>
          <cell r="K2037" t="str">
            <v>2090 Hollywood Dr</v>
          </cell>
          <cell r="L2037" t="str">
            <v>PA</v>
          </cell>
          <cell r="M2037">
            <v>17403</v>
          </cell>
          <cell r="N2037" t="str">
            <v>2090 Hollywood Dr York, PA 17403</v>
          </cell>
        </row>
        <row r="2038">
          <cell r="G2038">
            <v>305036</v>
          </cell>
          <cell r="H2038" t="str">
            <v>Souderton Brethren In Christ C</v>
          </cell>
          <cell r="I2038" t="str">
            <v>Souderton</v>
          </cell>
          <cell r="K2038" t="str">
            <v>494 Cherry Rd</v>
          </cell>
          <cell r="L2038" t="str">
            <v>PA</v>
          </cell>
          <cell r="M2038">
            <v>18964</v>
          </cell>
          <cell r="N2038" t="str">
            <v>494 Cherry Rd Souderton, PA 18964</v>
          </cell>
        </row>
        <row r="2039">
          <cell r="G2039">
            <v>273703</v>
          </cell>
          <cell r="H2039" t="str">
            <v>Seabrook House - Main</v>
          </cell>
          <cell r="I2039" t="str">
            <v>Bridgeton</v>
          </cell>
          <cell r="K2039" t="str">
            <v>133 Polk Ln</v>
          </cell>
          <cell r="L2039" t="str">
            <v>NJ</v>
          </cell>
          <cell r="M2039">
            <v>8302</v>
          </cell>
          <cell r="N2039" t="str">
            <v>133 Polk Ln Bridgeton, NJ 08302</v>
          </cell>
        </row>
        <row r="2040">
          <cell r="G2040">
            <v>239181</v>
          </cell>
          <cell r="H2040" t="str">
            <v>ANDREWS EXCAVATING LLC</v>
          </cell>
          <cell r="I2040" t="str">
            <v>Willow Street</v>
          </cell>
          <cell r="K2040" t="str">
            <v>5 W Willow Rd</v>
          </cell>
          <cell r="L2040" t="str">
            <v>PA</v>
          </cell>
          <cell r="M2040">
            <v>17584</v>
          </cell>
          <cell r="N2040" t="str">
            <v>5 W Willow Rd Willow Street, PA 17584</v>
          </cell>
        </row>
        <row r="2041">
          <cell r="G2041">
            <v>325104</v>
          </cell>
          <cell r="H2041" t="str">
            <v>IGLESIA DE DIOS PENTECOSTAL#</v>
          </cell>
          <cell r="I2041" t="str">
            <v>Lancaster</v>
          </cell>
          <cell r="K2041" t="str">
            <v>609 Prospect St</v>
          </cell>
          <cell r="L2041" t="str">
            <v>PA</v>
          </cell>
          <cell r="M2041">
            <v>17603</v>
          </cell>
          <cell r="N2041" t="str">
            <v>609 Prospect St Lancaster, PA 17603</v>
          </cell>
        </row>
        <row r="2042">
          <cell r="G2042">
            <v>253834</v>
          </cell>
          <cell r="H2042" t="str">
            <v>REAMSTOWN FIRE CO. NO. 1</v>
          </cell>
          <cell r="I2042" t="str">
            <v>Stevens</v>
          </cell>
          <cell r="K2042" t="str">
            <v>12 E Church St</v>
          </cell>
          <cell r="L2042" t="str">
            <v>PA</v>
          </cell>
          <cell r="M2042">
            <v>17578</v>
          </cell>
          <cell r="N2042" t="str">
            <v>12 E Church St Stevens, PA 17578</v>
          </cell>
        </row>
        <row r="2043">
          <cell r="G2043">
            <v>308672</v>
          </cell>
          <cell r="H2043" t="str">
            <v>FAULCONS ENTERPRISES &amp; CO</v>
          </cell>
          <cell r="I2043" t="str">
            <v>Harrisburg</v>
          </cell>
          <cell r="K2043" t="str">
            <v>1306 N 14th St</v>
          </cell>
          <cell r="L2043" t="str">
            <v>PA</v>
          </cell>
          <cell r="M2043">
            <v>17103</v>
          </cell>
          <cell r="N2043" t="str">
            <v>1306 N 14th St Harrisburg, PA 17103</v>
          </cell>
        </row>
        <row r="2044">
          <cell r="G2044">
            <v>344755</v>
          </cell>
          <cell r="H2044" t="str">
            <v>Culpeper of Leola LLC</v>
          </cell>
          <cell r="I2044" t="str">
            <v>Leola</v>
          </cell>
          <cell r="K2044" t="str">
            <v>33 Glenola Dr</v>
          </cell>
          <cell r="L2044" t="str">
            <v>PA</v>
          </cell>
          <cell r="M2044">
            <v>17540</v>
          </cell>
          <cell r="N2044" t="str">
            <v>33 Glenola Dr Leola, PA 17540</v>
          </cell>
        </row>
        <row r="2045">
          <cell r="G2045">
            <v>241452</v>
          </cell>
          <cell r="H2045" t="str">
            <v>PLEASANT VALLEY MENNONITE SCHO</v>
          </cell>
          <cell r="I2045" t="str">
            <v>Ephrata</v>
          </cell>
          <cell r="K2045" t="str">
            <v>144 Pleasant Valley Rd</v>
          </cell>
          <cell r="L2045" t="str">
            <v>PA</v>
          </cell>
          <cell r="M2045">
            <v>17522</v>
          </cell>
          <cell r="N2045" t="str">
            <v>144 Pleasant Valley Rd Ephrata, PA 17522</v>
          </cell>
        </row>
        <row r="2046">
          <cell r="G2046">
            <v>329625</v>
          </cell>
          <cell r="H2046" t="str">
            <v>Robbinsville School</v>
          </cell>
          <cell r="I2046" t="str">
            <v>Robbinsville</v>
          </cell>
          <cell r="K2046" t="str">
            <v>155 Robbinsville Edinburg Rd</v>
          </cell>
          <cell r="L2046" t="str">
            <v>NJ</v>
          </cell>
          <cell r="M2046">
            <v>8691</v>
          </cell>
          <cell r="N2046" t="str">
            <v>155 Robbinsville Edinburg Rd Robbinsville, NJ 08691</v>
          </cell>
        </row>
        <row r="2047">
          <cell r="G2047">
            <v>482964</v>
          </cell>
          <cell r="H2047" t="str">
            <v>Mike Palm</v>
          </cell>
          <cell r="I2047" t="str">
            <v>Reinholds</v>
          </cell>
          <cell r="K2047" t="str">
            <v>65 Steeple Ct</v>
          </cell>
          <cell r="L2047" t="str">
            <v>PA</v>
          </cell>
          <cell r="M2047">
            <v>17569</v>
          </cell>
          <cell r="N2047" t="str">
            <v>65 Steeple Ct Reinholds, PA 17569</v>
          </cell>
        </row>
        <row r="2048">
          <cell r="G2048">
            <v>308303</v>
          </cell>
          <cell r="H2048" t="str">
            <v>Northwood Racquet &amp; Fitness Cl</v>
          </cell>
          <cell r="I2048" t="str">
            <v>EASTON</v>
          </cell>
          <cell r="K2048" t="str">
            <v>3738 Northwood Ave</v>
          </cell>
          <cell r="L2048" t="str">
            <v>PA</v>
          </cell>
          <cell r="M2048">
            <v>18045</v>
          </cell>
          <cell r="N2048" t="str">
            <v>3738 Northwood Ave EASTON, PA 18045</v>
          </cell>
        </row>
        <row r="2049">
          <cell r="G2049">
            <v>469832</v>
          </cell>
          <cell r="H2049" t="str">
            <v>Autohaus Image Keepers</v>
          </cell>
          <cell r="I2049" t="str">
            <v>Lancaster</v>
          </cell>
          <cell r="K2049" t="str">
            <v>1373 Manheim Pike</v>
          </cell>
          <cell r="L2049" t="str">
            <v>PA</v>
          </cell>
          <cell r="M2049">
            <v>17601</v>
          </cell>
          <cell r="N2049" t="str">
            <v>1373 Manheim Pike Lancaster, PA 17601</v>
          </cell>
        </row>
        <row r="2050">
          <cell r="G2050">
            <v>239394</v>
          </cell>
          <cell r="H2050" t="str">
            <v>BROWN BEARING &amp; DRIVE SOLUTION</v>
          </cell>
          <cell r="I2050" t="str">
            <v>Lancaster</v>
          </cell>
          <cell r="K2050" t="str">
            <v>171 Greenfield Rd</v>
          </cell>
          <cell r="L2050" t="str">
            <v>PA</v>
          </cell>
          <cell r="M2050">
            <v>17601</v>
          </cell>
          <cell r="N2050" t="str">
            <v>171 Greenfield Rd Lancaster, PA 17601</v>
          </cell>
        </row>
        <row r="2051">
          <cell r="G2051">
            <v>281418</v>
          </cell>
          <cell r="H2051" t="str">
            <v>MARIETTA COMMUNITY CHAPEL</v>
          </cell>
          <cell r="I2051" t="str">
            <v>Marietta</v>
          </cell>
          <cell r="K2051" t="str">
            <v>1125 River Rd</v>
          </cell>
          <cell r="L2051" t="str">
            <v>PA</v>
          </cell>
          <cell r="M2051">
            <v>17547</v>
          </cell>
          <cell r="N2051" t="str">
            <v>1125 River Rd Marietta, PA 17547</v>
          </cell>
        </row>
        <row r="2052">
          <cell r="G2052">
            <v>471885</v>
          </cell>
          <cell r="H2052" t="str">
            <v>Millserville - Lehigh Hall</v>
          </cell>
          <cell r="I2052" t="str">
            <v>Millersville</v>
          </cell>
          <cell r="K2052" t="str">
            <v>80 Brooks Dr</v>
          </cell>
          <cell r="L2052" t="str">
            <v>PA</v>
          </cell>
          <cell r="M2052">
            <v>17551</v>
          </cell>
          <cell r="N2052" t="str">
            <v>80 Brooks Dr Millersville, PA 17551</v>
          </cell>
        </row>
        <row r="2053">
          <cell r="G2053">
            <v>480988</v>
          </cell>
          <cell r="H2053" t="str">
            <v>GOODS STORE</v>
          </cell>
          <cell r="I2053" t="str">
            <v>Ephrata</v>
          </cell>
          <cell r="K2053" t="str">
            <v>1127 S State St</v>
          </cell>
          <cell r="L2053" t="str">
            <v>PA</v>
          </cell>
          <cell r="M2053">
            <v>17522</v>
          </cell>
          <cell r="N2053" t="str">
            <v>1127 S State St Ephrata, PA 17522</v>
          </cell>
        </row>
        <row r="2054">
          <cell r="G2054">
            <v>342664</v>
          </cell>
          <cell r="H2054" t="str">
            <v>Atlantic Palace Condominium</v>
          </cell>
          <cell r="I2054" t="str">
            <v>Atlantic City</v>
          </cell>
          <cell r="J2054" t="str">
            <v>Atlantic City</v>
          </cell>
          <cell r="K2054" t="str">
            <v>1507 Boardwalk</v>
          </cell>
          <cell r="L2054" t="str">
            <v>NJ</v>
          </cell>
          <cell r="M2054">
            <v>8401</v>
          </cell>
          <cell r="N2054" t="str">
            <v>1507 Boardwalk Atlantic City, NJ 08401</v>
          </cell>
        </row>
        <row r="2055">
          <cell r="G2055">
            <v>313135</v>
          </cell>
          <cell r="H2055" t="str">
            <v>DR HAROLD H GEORGE</v>
          </cell>
          <cell r="I2055" t="str">
            <v>Landisville</v>
          </cell>
          <cell r="K2055" t="str">
            <v>365 Stony Battery Rd</v>
          </cell>
          <cell r="L2055" t="str">
            <v>PA</v>
          </cell>
          <cell r="M2055">
            <v>17538</v>
          </cell>
          <cell r="N2055" t="str">
            <v>365 Stony Battery Rd Landisville, PA 17538</v>
          </cell>
        </row>
        <row r="2056">
          <cell r="G2056">
            <v>239397</v>
          </cell>
          <cell r="H2056" t="str">
            <v>BRUBAKER CHRYSLER MOTORS#</v>
          </cell>
          <cell r="I2056" t="str">
            <v>Lancaster</v>
          </cell>
          <cell r="K2056" t="str">
            <v>1020 Lititz Ave # 60</v>
          </cell>
          <cell r="L2056" t="str">
            <v>PA</v>
          </cell>
          <cell r="M2056">
            <v>17602</v>
          </cell>
          <cell r="N2056" t="str">
            <v>1020 Lititz Ave # 60 Lancaster, PA 17602</v>
          </cell>
        </row>
        <row r="2057">
          <cell r="G2057">
            <v>456603</v>
          </cell>
          <cell r="H2057" t="str">
            <v>Congress Hall</v>
          </cell>
          <cell r="I2057" t="str">
            <v>Cape May</v>
          </cell>
          <cell r="K2057" t="str">
            <v>251 Beach Ave</v>
          </cell>
          <cell r="L2057" t="str">
            <v>NJ</v>
          </cell>
          <cell r="M2057">
            <v>8204</v>
          </cell>
          <cell r="N2057" t="str">
            <v>251 Beach Ave Cape May, NJ 08204</v>
          </cell>
        </row>
        <row r="2058">
          <cell r="G2058">
            <v>242021</v>
          </cell>
          <cell r="H2058" t="str">
            <v>SULLIVAN COUNTY SCHOOL DISTRIC</v>
          </cell>
          <cell r="I2058" t="str">
            <v>Laporte</v>
          </cell>
          <cell r="K2058" t="str">
            <v>777 South St</v>
          </cell>
          <cell r="L2058" t="str">
            <v>PA</v>
          </cell>
          <cell r="M2058">
            <v>18626</v>
          </cell>
          <cell r="N2058" t="str">
            <v>777 South St Laporte, PA 18626</v>
          </cell>
        </row>
        <row r="2059">
          <cell r="G2059">
            <v>480259</v>
          </cell>
          <cell r="H2059" t="str">
            <v>LANC CO BIBLE WILKES BARRE</v>
          </cell>
          <cell r="I2059" t="str">
            <v>Wilkes Barre</v>
          </cell>
          <cell r="K2059" t="str">
            <v>667 S River St</v>
          </cell>
          <cell r="L2059" t="str">
            <v>PA</v>
          </cell>
          <cell r="M2059">
            <v>18705</v>
          </cell>
          <cell r="N2059" t="str">
            <v>667 S River St Wilkes Barre, PA 18705</v>
          </cell>
        </row>
        <row r="2060">
          <cell r="G2060">
            <v>467204</v>
          </cell>
          <cell r="H2060" t="str">
            <v>Tohickon Middle School</v>
          </cell>
          <cell r="I2060" t="str">
            <v>Doylestown</v>
          </cell>
          <cell r="J2060" t="str">
            <v>Philly Suburbs - North</v>
          </cell>
          <cell r="K2060" t="str">
            <v>5051 Old Easton Rd</v>
          </cell>
          <cell r="L2060" t="str">
            <v>PA</v>
          </cell>
          <cell r="M2060">
            <v>18902</v>
          </cell>
          <cell r="N2060" t="str">
            <v>5051 Old Easton Rd Doylestown, PA 18902</v>
          </cell>
        </row>
        <row r="2061">
          <cell r="G2061">
            <v>282605</v>
          </cell>
          <cell r="H2061" t="str">
            <v>HIGH AUTO SERVICE #</v>
          </cell>
          <cell r="I2061" t="str">
            <v>Lititz</v>
          </cell>
          <cell r="K2061" t="str">
            <v>1603 Rothsville Rd</v>
          </cell>
          <cell r="L2061" t="str">
            <v>PA</v>
          </cell>
          <cell r="M2061">
            <v>17543</v>
          </cell>
          <cell r="N2061" t="str">
            <v>1603 Rothsville Rd Lititz, PA 17543</v>
          </cell>
        </row>
        <row r="2062">
          <cell r="G2062">
            <v>245826</v>
          </cell>
          <cell r="H2062" t="str">
            <v>Pierson Creek Kennels</v>
          </cell>
          <cell r="I2062" t="str">
            <v>Lambertville</v>
          </cell>
          <cell r="J2062" t="str">
            <v>New Hope - W</v>
          </cell>
          <cell r="K2062" t="str">
            <v>1484 Route 179</v>
          </cell>
          <cell r="L2062" t="str">
            <v>NJ</v>
          </cell>
          <cell r="M2062">
            <v>8530</v>
          </cell>
          <cell r="N2062" t="str">
            <v>1484 Route 179 Lambertville, NJ 08530</v>
          </cell>
        </row>
        <row r="2063">
          <cell r="G2063">
            <v>430032</v>
          </cell>
          <cell r="H2063" t="str">
            <v>Doylestown Fire Company #1</v>
          </cell>
          <cell r="I2063" t="str">
            <v>Doylestown</v>
          </cell>
          <cell r="J2063" t="str">
            <v>Philly Suburbs - North</v>
          </cell>
          <cell r="K2063" t="str">
            <v>68 Shewell Ave</v>
          </cell>
          <cell r="L2063" t="str">
            <v>PA</v>
          </cell>
          <cell r="M2063">
            <v>18901</v>
          </cell>
          <cell r="N2063" t="str">
            <v>68 Shewell Ave Doylestown, PA 18901</v>
          </cell>
        </row>
        <row r="2064">
          <cell r="G2064">
            <v>325871</v>
          </cell>
          <cell r="H2064" t="str">
            <v>WEST HEMPFIELD FIRE &amp; RESCUE</v>
          </cell>
          <cell r="I2064" t="str">
            <v>Lancaster</v>
          </cell>
          <cell r="K2064" t="str">
            <v>3476 Marietta Ave</v>
          </cell>
          <cell r="L2064" t="str">
            <v>PA</v>
          </cell>
          <cell r="M2064">
            <v>17601</v>
          </cell>
          <cell r="N2064" t="str">
            <v>3476 Marietta Ave Lancaster, PA 17601</v>
          </cell>
        </row>
        <row r="2065">
          <cell r="G2065">
            <v>418753</v>
          </cell>
          <cell r="H2065" t="str">
            <v>Talley Middle School</v>
          </cell>
          <cell r="I2065" t="str">
            <v>Wilmington</v>
          </cell>
          <cell r="K2065" t="str">
            <v>1110 Cypress Rd</v>
          </cell>
          <cell r="L2065" t="str">
            <v>DE</v>
          </cell>
          <cell r="M2065">
            <v>19810</v>
          </cell>
          <cell r="N2065" t="str">
            <v>1110 Cypress Rd Wilmington, DE 19810</v>
          </cell>
        </row>
        <row r="2066">
          <cell r="G2066">
            <v>473388</v>
          </cell>
          <cell r="H2066" t="str">
            <v>Action Janitorial</v>
          </cell>
          <cell r="I2066" t="str">
            <v>Longport</v>
          </cell>
          <cell r="K2066" t="str">
            <v>218 N Colgate Ave</v>
          </cell>
          <cell r="L2066" t="str">
            <v>NJ</v>
          </cell>
          <cell r="M2066">
            <v>8403</v>
          </cell>
          <cell r="N2066" t="str">
            <v>218 N Colgate Ave Longport, NJ 08403</v>
          </cell>
        </row>
        <row r="2067">
          <cell r="G2067">
            <v>322725</v>
          </cell>
          <cell r="H2067" t="str">
            <v>BRUNNERVILLE FIRE CO</v>
          </cell>
          <cell r="I2067" t="str">
            <v>Lititz</v>
          </cell>
          <cell r="K2067" t="str">
            <v>1302 Church St</v>
          </cell>
          <cell r="L2067" t="str">
            <v>PA</v>
          </cell>
          <cell r="M2067">
            <v>17543</v>
          </cell>
          <cell r="N2067" t="str">
            <v>1302 Church St Lititz, PA 17543</v>
          </cell>
        </row>
        <row r="2068">
          <cell r="G2068">
            <v>471946</v>
          </cell>
          <cell r="H2068" t="str">
            <v>Elkins Park 382</v>
          </cell>
          <cell r="I2068" t="str">
            <v>Elkins Park</v>
          </cell>
          <cell r="K2068" t="str">
            <v>876 Jenkintown Rd</v>
          </cell>
          <cell r="L2068" t="str">
            <v>PA</v>
          </cell>
          <cell r="M2068">
            <v>19027</v>
          </cell>
          <cell r="N2068" t="str">
            <v>876 Jenkintown Rd Elkins Park, PA 19027</v>
          </cell>
        </row>
        <row r="2069">
          <cell r="G2069">
            <v>471949</v>
          </cell>
          <cell r="H2069" t="str">
            <v>Whitpain 385</v>
          </cell>
          <cell r="I2069" t="str">
            <v>Blue Bell</v>
          </cell>
          <cell r="K2069" t="str">
            <v>960 Wentz Rd</v>
          </cell>
          <cell r="L2069" t="str">
            <v>PA</v>
          </cell>
          <cell r="M2069">
            <v>19422</v>
          </cell>
          <cell r="N2069" t="str">
            <v>960 Wentz Rd Blue Bell, PA 19422</v>
          </cell>
        </row>
        <row r="2070">
          <cell r="G2070">
            <v>316491</v>
          </cell>
          <cell r="H2070" t="str">
            <v>NEFFSVILLE CHRISTIAN PRESCHOOL</v>
          </cell>
          <cell r="I2070" t="str">
            <v>Lancaster</v>
          </cell>
          <cell r="K2070" t="str">
            <v>2660 Lititz Pike</v>
          </cell>
          <cell r="L2070" t="str">
            <v>PA</v>
          </cell>
          <cell r="M2070">
            <v>17601</v>
          </cell>
          <cell r="N2070" t="str">
            <v>2660 Lititz Pike Lancaster, PA 17601</v>
          </cell>
        </row>
        <row r="2071">
          <cell r="G2071">
            <v>317062</v>
          </cell>
          <cell r="H2071" t="str">
            <v>BYERLAND MENNONITE CHURCH</v>
          </cell>
          <cell r="I2071" t="str">
            <v>Willow Street</v>
          </cell>
          <cell r="K2071" t="str">
            <v>931 Byerland Church Rd</v>
          </cell>
          <cell r="L2071" t="str">
            <v>PA</v>
          </cell>
          <cell r="M2071">
            <v>17584</v>
          </cell>
          <cell r="N2071" t="str">
            <v>931 Byerland Church Rd Willow Street, PA 17584</v>
          </cell>
        </row>
        <row r="2072">
          <cell r="G2072">
            <v>310818</v>
          </cell>
          <cell r="H2072" t="str">
            <v>OUTTEN CHEVROLET OF HAMBURG</v>
          </cell>
          <cell r="I2072" t="str">
            <v>Hamburg</v>
          </cell>
          <cell r="K2072" t="str">
            <v>1080 S 4th St</v>
          </cell>
          <cell r="L2072" t="str">
            <v>PA</v>
          </cell>
          <cell r="M2072">
            <v>19526</v>
          </cell>
          <cell r="N2072" t="str">
            <v>1080 S 4th St Hamburg, PA 19526</v>
          </cell>
        </row>
        <row r="2073">
          <cell r="G2073">
            <v>337486</v>
          </cell>
          <cell r="H2073" t="str">
            <v>Auger Fabrication Inc.</v>
          </cell>
          <cell r="I2073" t="str">
            <v>Downingtown</v>
          </cell>
          <cell r="K2073" t="str">
            <v>4102 Edges Mill Rd</v>
          </cell>
          <cell r="L2073" t="str">
            <v>PA</v>
          </cell>
          <cell r="M2073">
            <v>19335</v>
          </cell>
          <cell r="N2073" t="str">
            <v>4102 Edges Mill Rd Downingtown, PA 19335</v>
          </cell>
        </row>
        <row r="2074">
          <cell r="G2074">
            <v>239990</v>
          </cell>
          <cell r="H2074" t="str">
            <v>EPHRATA COMMUNITY AMBULANCE AS</v>
          </cell>
          <cell r="I2074" t="str">
            <v>Ephrata</v>
          </cell>
          <cell r="K2074" t="str">
            <v>528 W Main St</v>
          </cell>
          <cell r="L2074" t="str">
            <v>PA</v>
          </cell>
          <cell r="M2074">
            <v>17522</v>
          </cell>
          <cell r="N2074" t="str">
            <v>528 W Main St Ephrata, PA 17522</v>
          </cell>
        </row>
        <row r="2075">
          <cell r="G2075">
            <v>415446</v>
          </cell>
          <cell r="H2075" t="str">
            <v>EAST TOWNE MALL</v>
          </cell>
          <cell r="I2075" t="str">
            <v>Lancaster</v>
          </cell>
          <cell r="K2075" t="str">
            <v>2090 Lincoln Hwy E</v>
          </cell>
          <cell r="L2075" t="str">
            <v>PA</v>
          </cell>
          <cell r="M2075">
            <v>17602</v>
          </cell>
          <cell r="N2075" t="str">
            <v>2090 Lincoln Hwy E Lancaster, PA 17602</v>
          </cell>
        </row>
        <row r="2076">
          <cell r="G2076">
            <v>282186</v>
          </cell>
          <cell r="H2076" t="str">
            <v>MARTIN FURNITURE &amp; MATTRESS</v>
          </cell>
          <cell r="I2076" t="str">
            <v>Ephrata</v>
          </cell>
          <cell r="K2076" t="str">
            <v>1717 W Main St</v>
          </cell>
          <cell r="L2076" t="str">
            <v>PA</v>
          </cell>
          <cell r="M2076">
            <v>17522</v>
          </cell>
          <cell r="N2076" t="str">
            <v>1717 W Main St Ephrata, PA 17522</v>
          </cell>
        </row>
        <row r="2077">
          <cell r="G2077">
            <v>447043</v>
          </cell>
          <cell r="H2077" t="str">
            <v>SCHOOL DISTRICT OF LANCASTER</v>
          </cell>
          <cell r="I2077" t="str">
            <v>Lancaster</v>
          </cell>
          <cell r="K2077" t="str">
            <v>1075 Grofftown Rd</v>
          </cell>
          <cell r="L2077" t="str">
            <v>PA</v>
          </cell>
          <cell r="M2077">
            <v>17602</v>
          </cell>
          <cell r="N2077" t="str">
            <v>1075 Grofftown Rd Lancaster, PA 17602</v>
          </cell>
        </row>
        <row r="2078">
          <cell r="G2078">
            <v>331559</v>
          </cell>
          <cell r="H2078" t="str">
            <v>POWER X3 PROPERTY MAINTENANCE</v>
          </cell>
          <cell r="I2078" t="str">
            <v>Mount Joy</v>
          </cell>
          <cell r="K2078" t="str">
            <v>208 E Main St</v>
          </cell>
          <cell r="L2078" t="str">
            <v>PA</v>
          </cell>
          <cell r="M2078">
            <v>17552</v>
          </cell>
          <cell r="N2078" t="str">
            <v>208 E Main St Mount Joy, PA 17552</v>
          </cell>
        </row>
        <row r="2079">
          <cell r="G2079">
            <v>243323</v>
          </cell>
          <cell r="H2079" t="str">
            <v>Devereux Whitlock Center</v>
          </cell>
          <cell r="I2079" t="str">
            <v>Berwyn</v>
          </cell>
          <cell r="K2079" t="str">
            <v>139 Leopard Rd</v>
          </cell>
          <cell r="L2079" t="str">
            <v>PA</v>
          </cell>
          <cell r="M2079">
            <v>19312</v>
          </cell>
          <cell r="N2079" t="str">
            <v>139 Leopard Rd Berwyn, PA 19312</v>
          </cell>
        </row>
        <row r="2080">
          <cell r="G2080">
            <v>431515</v>
          </cell>
          <cell r="H2080" t="str">
            <v>PEQUEA VALLEY PUBLIC LIBRARY</v>
          </cell>
          <cell r="I2080" t="str">
            <v>Intercourse</v>
          </cell>
          <cell r="K2080" t="str">
            <v>31 Center S</v>
          </cell>
          <cell r="L2080" t="str">
            <v>PA</v>
          </cell>
          <cell r="M2080">
            <v>17534</v>
          </cell>
          <cell r="N2080" t="str">
            <v>31 Center S Intercourse, PA 17534</v>
          </cell>
        </row>
        <row r="2081">
          <cell r="G2081">
            <v>462979</v>
          </cell>
          <cell r="H2081" t="str">
            <v>Wegmans Collegeville</v>
          </cell>
          <cell r="I2081" t="str">
            <v>Collegeville</v>
          </cell>
          <cell r="K2081" t="str">
            <v>600 Commerce Drive</v>
          </cell>
          <cell r="L2081" t="str">
            <v>PA</v>
          </cell>
          <cell r="M2081">
            <v>19426</v>
          </cell>
          <cell r="N2081" t="str">
            <v>600 Commerce Drive Collegeville, PA 19426</v>
          </cell>
        </row>
        <row r="2082">
          <cell r="G2082">
            <v>307934</v>
          </cell>
          <cell r="H2082" t="str">
            <v>Hysen Xhoxhaj</v>
          </cell>
          <cell r="I2082" t="str">
            <v>Huntingdon Valley</v>
          </cell>
          <cell r="J2082" t="str">
            <v>Philly Suburbs - North</v>
          </cell>
          <cell r="K2082" t="str">
            <v>2560 Walton Rd</v>
          </cell>
          <cell r="L2082" t="str">
            <v>PA</v>
          </cell>
          <cell r="M2082">
            <v>19006</v>
          </cell>
          <cell r="N2082" t="str">
            <v>2560 Walton Rd Huntingdon Valley, PA 19006</v>
          </cell>
        </row>
        <row r="2083">
          <cell r="G2083">
            <v>297406</v>
          </cell>
          <cell r="H2083" t="str">
            <v>ARBORIST ENTERPRISES INC</v>
          </cell>
          <cell r="I2083" t="str">
            <v>Manheim</v>
          </cell>
          <cell r="K2083" t="str">
            <v>1926 Auction Rd</v>
          </cell>
          <cell r="L2083" t="str">
            <v>PA</v>
          </cell>
          <cell r="M2083">
            <v>17545</v>
          </cell>
          <cell r="N2083" t="str">
            <v>1926 Auction Rd Manheim, PA 17545</v>
          </cell>
        </row>
        <row r="2084">
          <cell r="G2084">
            <v>311898</v>
          </cell>
          <cell r="H2084" t="str">
            <v>CORNERSTONE BAPTIST CHURCH#</v>
          </cell>
          <cell r="I2084" t="str">
            <v>Lititz</v>
          </cell>
          <cell r="K2084" t="str">
            <v>80 W Brubaker Valley Rd</v>
          </cell>
          <cell r="L2084" t="str">
            <v>PA</v>
          </cell>
          <cell r="M2084">
            <v>17543</v>
          </cell>
          <cell r="N2084" t="str">
            <v>80 W Brubaker Valley Rd Lititz, PA 17543</v>
          </cell>
        </row>
        <row r="2085">
          <cell r="G2085">
            <v>467575</v>
          </cell>
          <cell r="H2085" t="str">
            <v>SPOOKY NOOK SPORTS</v>
          </cell>
          <cell r="I2085" t="str">
            <v>East Petersburg</v>
          </cell>
          <cell r="K2085" t="str">
            <v>1901 Miller Rd</v>
          </cell>
          <cell r="L2085" t="str">
            <v>PA</v>
          </cell>
          <cell r="M2085">
            <v>17520</v>
          </cell>
          <cell r="N2085" t="str">
            <v>1901 Miller Rd East Petersburg, PA 17520</v>
          </cell>
        </row>
        <row r="2086">
          <cell r="G2086">
            <v>241152</v>
          </cell>
          <cell r="H2086" t="str">
            <v>MONROE TOWNSHIP</v>
          </cell>
          <cell r="I2086" t="str">
            <v>Mechanicsburg</v>
          </cell>
          <cell r="K2086" t="str">
            <v>1220 Boiling Springs Rd</v>
          </cell>
          <cell r="L2086" t="str">
            <v>PA</v>
          </cell>
          <cell r="M2086">
            <v>17055</v>
          </cell>
          <cell r="N2086" t="str">
            <v>1220 Boiling Springs Rd Mechanicsburg, PA 17055</v>
          </cell>
        </row>
        <row r="2087">
          <cell r="G2087">
            <v>292950</v>
          </cell>
          <cell r="H2087" t="str">
            <v>MBIZI CLEANING SERVICE LLC#</v>
          </cell>
          <cell r="I2087" t="str">
            <v>Lancaster</v>
          </cell>
          <cell r="K2087" t="str">
            <v>962 Mill Mar Rd</v>
          </cell>
          <cell r="L2087" t="str">
            <v>PA</v>
          </cell>
          <cell r="M2087">
            <v>17601</v>
          </cell>
          <cell r="N2087" t="str">
            <v>962 Mill Mar Rd Lancaster, PA 17601</v>
          </cell>
        </row>
        <row r="2088">
          <cell r="G2088">
            <v>328504</v>
          </cell>
          <cell r="H2088" t="str">
            <v>Elite Therapy Solutions</v>
          </cell>
          <cell r="I2088" t="str">
            <v>Downingtown</v>
          </cell>
          <cell r="K2088" t="str">
            <v>983 E Lancaster Ave Apt A</v>
          </cell>
          <cell r="L2088" t="str">
            <v>PA</v>
          </cell>
          <cell r="M2088">
            <v>19335</v>
          </cell>
          <cell r="N2088" t="str">
            <v>983 E Lancaster Ave Apt A Downingtown, PA 19335</v>
          </cell>
        </row>
        <row r="2089">
          <cell r="G2089">
            <v>480737</v>
          </cell>
          <cell r="H2089" t="str">
            <v>CSIU Work Foundations+</v>
          </cell>
          <cell r="I2089" t="str">
            <v>Sunbury</v>
          </cell>
          <cell r="K2089" t="str">
            <v>911 Greenough St</v>
          </cell>
          <cell r="L2089" t="str">
            <v>PA</v>
          </cell>
          <cell r="M2089">
            <v>17801</v>
          </cell>
          <cell r="N2089" t="str">
            <v>911 Greenough St Sunbury, PA 17801</v>
          </cell>
        </row>
        <row r="2090">
          <cell r="G2090">
            <v>286450</v>
          </cell>
          <cell r="H2090" t="str">
            <v>GCJ Facility Services LLC</v>
          </cell>
          <cell r="I2090" t="str">
            <v>Warminster</v>
          </cell>
          <cell r="J2090" t="str">
            <v>Philly Suburbs - North</v>
          </cell>
          <cell r="K2090" t="str">
            <v>626 Jacksonville Road Ste 210</v>
          </cell>
          <cell r="L2090" t="str">
            <v>PA</v>
          </cell>
          <cell r="M2090">
            <v>18974</v>
          </cell>
          <cell r="N2090" t="str">
            <v>626 Jacksonville Road Ste 210 Warminster, PA 18974</v>
          </cell>
        </row>
        <row r="2091">
          <cell r="G2091">
            <v>330034</v>
          </cell>
          <cell r="H2091" t="str">
            <v>JOSE L OTERO</v>
          </cell>
          <cell r="I2091" t="str">
            <v>Lancaster</v>
          </cell>
          <cell r="K2091" t="str">
            <v>401 Eden Rd</v>
          </cell>
          <cell r="L2091" t="str">
            <v>PA</v>
          </cell>
          <cell r="M2091">
            <v>17601</v>
          </cell>
          <cell r="N2091" t="str">
            <v>401 Eden Rd Lancaster, PA 17601</v>
          </cell>
        </row>
        <row r="2092">
          <cell r="G2092">
            <v>239977</v>
          </cell>
          <cell r="H2092" t="str">
            <v>EMMANUEL UNITED METH CHURCH</v>
          </cell>
          <cell r="I2092" t="str">
            <v>Brownstown</v>
          </cell>
          <cell r="K2092" t="str">
            <v>11 N Church St</v>
          </cell>
          <cell r="L2092" t="str">
            <v>PA</v>
          </cell>
          <cell r="M2092">
            <v>17508</v>
          </cell>
          <cell r="N2092" t="str">
            <v>11 N Church St Brownstown, PA 17508</v>
          </cell>
        </row>
        <row r="2093">
          <cell r="G2093">
            <v>241062</v>
          </cell>
          <cell r="H2093" t="str">
            <v>DENTISTRY FOR LIFE</v>
          </cell>
          <cell r="I2093" t="str">
            <v>Lancaster</v>
          </cell>
          <cell r="K2093" t="str">
            <v>620 Delp Rd</v>
          </cell>
          <cell r="L2093" t="str">
            <v>PA</v>
          </cell>
          <cell r="M2093">
            <v>17601</v>
          </cell>
          <cell r="N2093" t="str">
            <v>620 Delp Rd Lancaster, PA 17601</v>
          </cell>
        </row>
        <row r="2094">
          <cell r="G2094">
            <v>285976</v>
          </cell>
          <cell r="H2094" t="str">
            <v>MOHLER CHURCH OF THE BRETHREN#</v>
          </cell>
          <cell r="I2094" t="str">
            <v>Ephrata</v>
          </cell>
          <cell r="K2094" t="str">
            <v>21 E Mohler Church Rd</v>
          </cell>
          <cell r="L2094" t="str">
            <v>PA</v>
          </cell>
          <cell r="M2094">
            <v>17522</v>
          </cell>
          <cell r="N2094" t="str">
            <v>21 E Mohler Church Rd Ephrata, PA 17522</v>
          </cell>
        </row>
        <row r="2095">
          <cell r="G2095">
            <v>241368</v>
          </cell>
          <cell r="H2095" t="str">
            <v>PARKESBURG FREE LIBRARY</v>
          </cell>
          <cell r="I2095" t="str">
            <v>Parkesburg</v>
          </cell>
          <cell r="K2095" t="str">
            <v>105 West St</v>
          </cell>
          <cell r="L2095" t="str">
            <v>PA</v>
          </cell>
          <cell r="M2095">
            <v>19365</v>
          </cell>
          <cell r="N2095" t="str">
            <v>105 West St Parkesburg, PA 19365</v>
          </cell>
        </row>
        <row r="2096">
          <cell r="G2096">
            <v>265759</v>
          </cell>
          <cell r="H2096" t="str">
            <v>Industrial Services Inc.</v>
          </cell>
          <cell r="I2096" t="str">
            <v>WHITEHALL</v>
          </cell>
          <cell r="K2096" t="str">
            <v>2300 Eberhart Rd</v>
          </cell>
          <cell r="L2096" t="str">
            <v>PA</v>
          </cell>
          <cell r="M2096">
            <v>18052</v>
          </cell>
          <cell r="N2096" t="str">
            <v>2300 Eberhart Rd WHITEHALL, PA 18052</v>
          </cell>
        </row>
        <row r="2097">
          <cell r="G2097">
            <v>240545</v>
          </cell>
          <cell r="H2097" t="str">
            <v>JERUSALEM LUTHERAN CHURCH</v>
          </cell>
          <cell r="I2097" t="str">
            <v>Lititz</v>
          </cell>
          <cell r="K2097" t="str">
            <v>36 Church Sq</v>
          </cell>
          <cell r="L2097" t="str">
            <v>PA</v>
          </cell>
          <cell r="M2097">
            <v>17543</v>
          </cell>
          <cell r="N2097" t="str">
            <v>36 Church Sq Lititz, PA 17543</v>
          </cell>
        </row>
        <row r="2098">
          <cell r="G2098">
            <v>436014</v>
          </cell>
          <cell r="H2098" t="str">
            <v>Traditions at Longwood</v>
          </cell>
          <cell r="I2098" t="str">
            <v>Kennett Square</v>
          </cell>
          <cell r="K2098" t="str">
            <v>100 Primrose Dr</v>
          </cell>
          <cell r="L2098" t="str">
            <v>PA</v>
          </cell>
          <cell r="M2098">
            <v>19348</v>
          </cell>
          <cell r="N2098" t="str">
            <v>100 Primrose Dr Kennett Square, PA 19348</v>
          </cell>
        </row>
        <row r="2099">
          <cell r="G2099">
            <v>244083</v>
          </cell>
          <cell r="H2099" t="str">
            <v>Northern Ophthalmic Associates</v>
          </cell>
          <cell r="I2099" t="str">
            <v>Jenkintown</v>
          </cell>
          <cell r="K2099" t="str">
            <v>500 York Rd</v>
          </cell>
          <cell r="L2099" t="str">
            <v>PA</v>
          </cell>
          <cell r="M2099">
            <v>19046</v>
          </cell>
          <cell r="N2099" t="str">
            <v>500 York Rd Jenkintown, PA 19046</v>
          </cell>
        </row>
        <row r="2100">
          <cell r="G2100">
            <v>322645</v>
          </cell>
          <cell r="H2100" t="str">
            <v>CLOISTER LAUNDROMAT#</v>
          </cell>
          <cell r="I2100" t="str">
            <v>Ephrata</v>
          </cell>
          <cell r="K2100" t="str">
            <v>127 Schoeneck Rd</v>
          </cell>
          <cell r="L2100" t="str">
            <v>PA</v>
          </cell>
          <cell r="M2100">
            <v>17522</v>
          </cell>
          <cell r="N2100" t="str">
            <v>127 Schoeneck Rd Ephrata, PA 17522</v>
          </cell>
        </row>
        <row r="2101">
          <cell r="G2101">
            <v>457144</v>
          </cell>
          <cell r="H2101" t="str">
            <v>WILLOW VALLEY CULTURAL CENTER</v>
          </cell>
          <cell r="I2101" t="str">
            <v>Willow Street</v>
          </cell>
          <cell r="K2101" t="str">
            <v>900 Willow Valley Lakes Dr</v>
          </cell>
          <cell r="L2101" t="str">
            <v>PA</v>
          </cell>
          <cell r="M2101">
            <v>17584</v>
          </cell>
          <cell r="N2101" t="str">
            <v>900 Willow Valley Lakes Dr Willow Street, PA 17584</v>
          </cell>
        </row>
        <row r="2102">
          <cell r="G2102">
            <v>241860</v>
          </cell>
          <cell r="H2102" t="str">
            <v>SOUTH LEBANON TOWNSHIP</v>
          </cell>
          <cell r="I2102" t="str">
            <v>Lebanon</v>
          </cell>
          <cell r="K2102" t="str">
            <v>1800 S 5th Ave</v>
          </cell>
          <cell r="L2102" t="str">
            <v>PA</v>
          </cell>
          <cell r="M2102">
            <v>17042</v>
          </cell>
          <cell r="N2102" t="str">
            <v>1800 S 5th Ave Lebanon, PA 17042</v>
          </cell>
        </row>
        <row r="2103">
          <cell r="G2103">
            <v>471878</v>
          </cell>
          <cell r="H2103" t="str">
            <v>Millersville - Jefferson Hall</v>
          </cell>
          <cell r="I2103" t="str">
            <v>Millersville</v>
          </cell>
          <cell r="K2103" t="str">
            <v>164 W Cottage Ave</v>
          </cell>
          <cell r="L2103" t="str">
            <v>PA</v>
          </cell>
          <cell r="M2103">
            <v>17551</v>
          </cell>
          <cell r="N2103" t="str">
            <v>164 W Cottage Ave Millersville, PA 17551</v>
          </cell>
        </row>
        <row r="2104">
          <cell r="G2104">
            <v>246237</v>
          </cell>
          <cell r="H2104" t="str">
            <v>Upper Dublin School District</v>
          </cell>
          <cell r="I2104" t="str">
            <v>Maple Glen</v>
          </cell>
          <cell r="K2104" t="str">
            <v>1580 Fort Washington Ave</v>
          </cell>
          <cell r="L2104" t="str">
            <v>PA</v>
          </cell>
          <cell r="M2104">
            <v>19002</v>
          </cell>
          <cell r="N2104" t="str">
            <v>1580 Fort Washington Ave Maple Glen, PA 19002</v>
          </cell>
        </row>
        <row r="2105">
          <cell r="G2105">
            <v>242316</v>
          </cell>
          <cell r="H2105" t="str">
            <v>WARWICK AUTO PARK</v>
          </cell>
          <cell r="I2105" t="str">
            <v>Lititz</v>
          </cell>
          <cell r="K2105" t="str">
            <v>700 Furnace Hills Pike</v>
          </cell>
          <cell r="L2105" t="str">
            <v>PA</v>
          </cell>
          <cell r="M2105">
            <v>17543</v>
          </cell>
          <cell r="N2105" t="str">
            <v>700 Furnace Hills Pike Lititz, PA 17543</v>
          </cell>
        </row>
        <row r="2106">
          <cell r="G2106">
            <v>317747</v>
          </cell>
          <cell r="H2106" t="str">
            <v>BLACK HORSE ANIMAL HOSPITAL</v>
          </cell>
          <cell r="I2106" t="str">
            <v>Kinzers</v>
          </cell>
          <cell r="K2106" t="str">
            <v>5081 Lincoln Hwy</v>
          </cell>
          <cell r="L2106" t="str">
            <v>PA</v>
          </cell>
          <cell r="M2106">
            <v>17535</v>
          </cell>
          <cell r="N2106" t="str">
            <v>5081 Lincoln Hwy Kinzers, PA 17535</v>
          </cell>
        </row>
        <row r="2107">
          <cell r="G2107">
            <v>240931</v>
          </cell>
          <cell r="H2107" t="str">
            <v>LORDS HOUSE OF PRAYER</v>
          </cell>
          <cell r="I2107" t="str">
            <v>Lancaster</v>
          </cell>
          <cell r="K2107" t="str">
            <v>133 E Vine St</v>
          </cell>
          <cell r="L2107" t="str">
            <v>PA</v>
          </cell>
          <cell r="M2107">
            <v>17602</v>
          </cell>
          <cell r="N2107" t="str">
            <v>133 E Vine St Lancaster, PA 17602</v>
          </cell>
        </row>
        <row r="2108">
          <cell r="G2108">
            <v>317257</v>
          </cell>
          <cell r="H2108" t="str">
            <v>UNITED ELECTRIC SUPPLY V</v>
          </cell>
          <cell r="I2108" t="str">
            <v>Dover</v>
          </cell>
          <cell r="K2108" t="str">
            <v>551 S Dupont Hwy</v>
          </cell>
          <cell r="L2108" t="str">
            <v>DE</v>
          </cell>
          <cell r="M2108">
            <v>19901</v>
          </cell>
          <cell r="N2108" t="str">
            <v>551 S Dupont Hwy Dover, DE 19901</v>
          </cell>
        </row>
        <row r="2109">
          <cell r="G2109">
            <v>345626</v>
          </cell>
          <cell r="H2109" t="str">
            <v>RIVERTON BOARD OF EDUCATION</v>
          </cell>
          <cell r="I2109" t="str">
            <v>Riverton</v>
          </cell>
          <cell r="J2109" t="str">
            <v>Cherry Hill</v>
          </cell>
          <cell r="K2109" t="str">
            <v>600 5th Street</v>
          </cell>
          <cell r="L2109" t="str">
            <v>NJ</v>
          </cell>
          <cell r="M2109">
            <v>8077</v>
          </cell>
          <cell r="N2109" t="str">
            <v>600 5th Street Riverton, NJ 08077</v>
          </cell>
        </row>
        <row r="2110">
          <cell r="G2110">
            <v>474419</v>
          </cell>
          <cell r="H2110" t="str">
            <v>KING &amp; QUEEN SERVICES LLC</v>
          </cell>
          <cell r="I2110" t="str">
            <v>Manheim</v>
          </cell>
          <cell r="K2110" t="str">
            <v>196 N LAUREL ST</v>
          </cell>
          <cell r="L2110" t="str">
            <v>PA</v>
          </cell>
          <cell r="M2110">
            <v>17545</v>
          </cell>
          <cell r="N2110" t="str">
            <v>196 N LAUREL ST Manheim, PA 17545</v>
          </cell>
        </row>
        <row r="2111">
          <cell r="G2111">
            <v>471859</v>
          </cell>
          <cell r="H2111" t="str">
            <v>Millersville Biemsderfer Field</v>
          </cell>
          <cell r="I2111" t="str">
            <v>Millersville</v>
          </cell>
          <cell r="K2111" t="str">
            <v>35 Pucillo Drive</v>
          </cell>
          <cell r="L2111" t="str">
            <v>PA</v>
          </cell>
          <cell r="M2111">
            <v>17551</v>
          </cell>
          <cell r="N2111" t="str">
            <v>35 Pucillo Drive Millersville, PA 17551</v>
          </cell>
        </row>
        <row r="2112">
          <cell r="G2112">
            <v>469287</v>
          </cell>
          <cell r="H2112" t="str">
            <v>Oak Park Elementary School</v>
          </cell>
          <cell r="I2112" t="str">
            <v>Lansdale</v>
          </cell>
          <cell r="K2112" t="str">
            <v>500 Squirrel Ln</v>
          </cell>
          <cell r="L2112" t="str">
            <v>PA</v>
          </cell>
          <cell r="M2112">
            <v>19446</v>
          </cell>
          <cell r="N2112" t="str">
            <v>500 Squirrel Ln Lansdale, PA 19446</v>
          </cell>
        </row>
        <row r="2113">
          <cell r="G2113">
            <v>240884</v>
          </cell>
          <cell r="H2113" t="str">
            <v>LIGHTHOUSE ASSEMBLY OF GOD</v>
          </cell>
          <cell r="I2113" t="str">
            <v>New Holland</v>
          </cell>
          <cell r="K2113" t="str">
            <v>105 Earland Dr</v>
          </cell>
          <cell r="L2113" t="str">
            <v>PA</v>
          </cell>
          <cell r="M2113">
            <v>17557</v>
          </cell>
          <cell r="N2113" t="str">
            <v>105 Earland Dr New Holland, PA 17557</v>
          </cell>
        </row>
        <row r="2114">
          <cell r="G2114">
            <v>240354</v>
          </cell>
          <cell r="H2114" t="str">
            <v>HEISEY MECHANICAL LTD</v>
          </cell>
          <cell r="I2114" t="str">
            <v>Columbia</v>
          </cell>
          <cell r="K2114" t="str">
            <v>615 Florence St</v>
          </cell>
          <cell r="L2114" t="str">
            <v>PA</v>
          </cell>
          <cell r="M2114">
            <v>17512</v>
          </cell>
          <cell r="N2114" t="str">
            <v>615 Florence St Columbia, PA 17512</v>
          </cell>
        </row>
        <row r="2115">
          <cell r="G2115">
            <v>451010</v>
          </cell>
          <cell r="H2115" t="str">
            <v>CAPTIVEAIRE</v>
          </cell>
          <cell r="I2115" t="str">
            <v>East Petersburg</v>
          </cell>
          <cell r="K2115" t="str">
            <v>1185 Enterprise Rd</v>
          </cell>
          <cell r="L2115" t="str">
            <v>PA</v>
          </cell>
          <cell r="M2115">
            <v>17520</v>
          </cell>
          <cell r="N2115" t="str">
            <v>1185 Enterprise Rd East Petersburg, PA 17520</v>
          </cell>
        </row>
        <row r="2116">
          <cell r="G2116">
            <v>469621</v>
          </cell>
          <cell r="H2116" t="str">
            <v>Donegal-DIS Food Service</v>
          </cell>
          <cell r="I2116" t="str">
            <v>Marietta</v>
          </cell>
          <cell r="K2116" t="str">
            <v>1177 River Rd</v>
          </cell>
          <cell r="L2116" t="str">
            <v>PA</v>
          </cell>
          <cell r="M2116">
            <v>17547</v>
          </cell>
          <cell r="N2116" t="str">
            <v>1177 River Rd Marietta, PA 17547</v>
          </cell>
        </row>
        <row r="2117">
          <cell r="G2117">
            <v>345355</v>
          </cell>
          <cell r="H2117" t="str">
            <v>White Oak Campground</v>
          </cell>
          <cell r="I2117" t="str">
            <v>Quarryville</v>
          </cell>
          <cell r="K2117" t="str">
            <v>3156 White Oak Rd</v>
          </cell>
          <cell r="L2117" t="str">
            <v>PA</v>
          </cell>
          <cell r="M2117">
            <v>17566</v>
          </cell>
          <cell r="N2117" t="str">
            <v>3156 White Oak Rd Quarryville, PA 17566</v>
          </cell>
        </row>
        <row r="2118">
          <cell r="G2118">
            <v>246332</v>
          </cell>
          <cell r="H2118" t="str">
            <v>Stutz Candy</v>
          </cell>
          <cell r="I2118" t="str">
            <v>Hatboro</v>
          </cell>
          <cell r="J2118" t="str">
            <v>Philly Suburbs - North</v>
          </cell>
          <cell r="K2118" t="str">
            <v>400 S Warminster Rd</v>
          </cell>
          <cell r="L2118" t="str">
            <v>PA</v>
          </cell>
          <cell r="M2118">
            <v>19040</v>
          </cell>
          <cell r="N2118" t="str">
            <v>400 S Warminster Rd Hatboro, PA 19040</v>
          </cell>
        </row>
        <row r="2119">
          <cell r="G2119">
            <v>254583</v>
          </cell>
          <cell r="H2119" t="str">
            <v>REGINA REVOIR</v>
          </cell>
          <cell r="I2119" t="str">
            <v>Mount Joy</v>
          </cell>
          <cell r="K2119" t="str">
            <v>222 W Donegal St</v>
          </cell>
          <cell r="L2119" t="str">
            <v>PA</v>
          </cell>
          <cell r="M2119">
            <v>17552</v>
          </cell>
          <cell r="N2119" t="str">
            <v>222 W Donegal St Mount Joy, PA 17552</v>
          </cell>
        </row>
        <row r="2120">
          <cell r="G2120">
            <v>463771</v>
          </cell>
          <cell r="H2120" t="str">
            <v>MARTIN FLOORING INC</v>
          </cell>
          <cell r="I2120" t="str">
            <v>East Earl</v>
          </cell>
          <cell r="K2120" t="str">
            <v>136 Vine St</v>
          </cell>
          <cell r="L2120" t="str">
            <v>PA</v>
          </cell>
          <cell r="M2120">
            <v>17519</v>
          </cell>
          <cell r="N2120" t="str">
            <v>136 Vine St East Earl, PA 17519</v>
          </cell>
        </row>
        <row r="2121">
          <cell r="G2121">
            <v>272808</v>
          </cell>
          <cell r="H2121" t="str">
            <v>Robert Diller</v>
          </cell>
          <cell r="I2121" t="str">
            <v>Lititz</v>
          </cell>
          <cell r="K2121" t="str">
            <v>1 Sussex Place</v>
          </cell>
          <cell r="L2121" t="str">
            <v>PA</v>
          </cell>
          <cell r="M2121">
            <v>17543</v>
          </cell>
          <cell r="N2121" t="str">
            <v>1 Sussex Place Lititz, PA 17543</v>
          </cell>
        </row>
        <row r="2122">
          <cell r="G2122">
            <v>471879</v>
          </cell>
          <cell r="H2122" t="str">
            <v>Millersville - Lombardo</v>
          </cell>
          <cell r="I2122" t="str">
            <v>Millersville</v>
          </cell>
          <cell r="K2122" t="str">
            <v>88 James Street</v>
          </cell>
          <cell r="L2122" t="str">
            <v>PA</v>
          </cell>
          <cell r="M2122">
            <v>17551</v>
          </cell>
          <cell r="N2122" t="str">
            <v>88 James Street Millersville, PA 17551</v>
          </cell>
        </row>
        <row r="2123">
          <cell r="G2123">
            <v>260252</v>
          </cell>
          <cell r="H2123" t="str">
            <v>Worthington Armstrong Venture</v>
          </cell>
          <cell r="I2123" t="str">
            <v>Malvern</v>
          </cell>
          <cell r="K2123" t="str">
            <v>101 Lindenwood Dr Ste 350</v>
          </cell>
          <cell r="L2123" t="str">
            <v>PA</v>
          </cell>
          <cell r="M2123">
            <v>19355</v>
          </cell>
          <cell r="N2123" t="str">
            <v>101 Lindenwood Dr Ste 350 Malvern, PA 19355</v>
          </cell>
        </row>
        <row r="2124">
          <cell r="G2124">
            <v>242477</v>
          </cell>
          <cell r="H2124" t="str">
            <v>ZION LUTHERAN CHURCH</v>
          </cell>
          <cell r="I2124" t="str">
            <v>Landisville</v>
          </cell>
          <cell r="K2124" t="str">
            <v>75 E Brandt Blvd</v>
          </cell>
          <cell r="L2124" t="str">
            <v>PA</v>
          </cell>
          <cell r="M2124">
            <v>17538</v>
          </cell>
          <cell r="N2124" t="str">
            <v>75 E Brandt Blvd Landisville, PA 17538</v>
          </cell>
        </row>
        <row r="2125">
          <cell r="G2125">
            <v>415368</v>
          </cell>
          <cell r="H2125" t="str">
            <v>Boyertown Area School District</v>
          </cell>
          <cell r="I2125" t="str">
            <v>Boyertown</v>
          </cell>
          <cell r="K2125" t="str">
            <v>1131 Montgomery Ave</v>
          </cell>
          <cell r="L2125" t="str">
            <v>PA</v>
          </cell>
          <cell r="M2125">
            <v>19512</v>
          </cell>
          <cell r="N2125" t="str">
            <v>1131 Montgomery Ave Boyertown, PA 19512</v>
          </cell>
        </row>
        <row r="2126">
          <cell r="G2126">
            <v>299826</v>
          </cell>
          <cell r="H2126" t="str">
            <v>ABC COMMERCIAL CLEANING#</v>
          </cell>
          <cell r="I2126" t="str">
            <v>Ephrata</v>
          </cell>
          <cell r="K2126" t="str">
            <v>132 W Sunset Ave</v>
          </cell>
          <cell r="L2126" t="str">
            <v>PA</v>
          </cell>
          <cell r="M2126">
            <v>17522</v>
          </cell>
          <cell r="N2126" t="str">
            <v>132 W Sunset Ave Ephrata, PA 17522</v>
          </cell>
        </row>
        <row r="2127">
          <cell r="G2127">
            <v>240731</v>
          </cell>
          <cell r="H2127" t="str">
            <v>LANC CTY FIREMEN'S ASSOC INC</v>
          </cell>
          <cell r="I2127" t="str">
            <v>Lititz</v>
          </cell>
          <cell r="K2127" t="str">
            <v>630 E Oregon Rd</v>
          </cell>
          <cell r="L2127" t="str">
            <v>PA</v>
          </cell>
          <cell r="M2127">
            <v>17543</v>
          </cell>
          <cell r="N2127" t="str">
            <v>630 E Oregon Rd Lititz, PA 17543</v>
          </cell>
        </row>
        <row r="2128">
          <cell r="G2128">
            <v>240546</v>
          </cell>
          <cell r="H2128" t="str">
            <v>JERUSALEM CHURCH</v>
          </cell>
          <cell r="I2128" t="str">
            <v>Manheim</v>
          </cell>
          <cell r="K2128" t="str">
            <v>1620 Newport Rd</v>
          </cell>
          <cell r="L2128" t="str">
            <v>PA</v>
          </cell>
          <cell r="M2128">
            <v>17545</v>
          </cell>
          <cell r="N2128" t="str">
            <v>1620 Newport Rd Manheim, PA 17545</v>
          </cell>
        </row>
        <row r="2129">
          <cell r="G2129">
            <v>322846</v>
          </cell>
          <cell r="H2129" t="str">
            <v>MOMMA BEAR ENTERTAINMENT LLC</v>
          </cell>
          <cell r="I2129" t="str">
            <v>Lebanon</v>
          </cell>
          <cell r="K2129" t="str">
            <v>451 State Route 117</v>
          </cell>
          <cell r="L2129" t="str">
            <v>PA</v>
          </cell>
          <cell r="M2129">
            <v>17042</v>
          </cell>
          <cell r="N2129" t="str">
            <v>451 State Route 117 Lebanon, PA 17042</v>
          </cell>
        </row>
        <row r="2130">
          <cell r="G2130">
            <v>417418</v>
          </cell>
          <cell r="H2130" t="str">
            <v>Gwyn Nor Elementary School</v>
          </cell>
          <cell r="I2130" t="str">
            <v>North Wales</v>
          </cell>
          <cell r="K2130" t="str">
            <v>139 Hancock Rd</v>
          </cell>
          <cell r="L2130" t="str">
            <v>PA</v>
          </cell>
          <cell r="M2130">
            <v>19454</v>
          </cell>
          <cell r="N2130" t="str">
            <v>139 Hancock Rd North Wales, PA 19454</v>
          </cell>
        </row>
        <row r="2131">
          <cell r="G2131">
            <v>468781</v>
          </cell>
          <cell r="H2131" t="str">
            <v>WILLOW VALLEY CULTURAL CENTER</v>
          </cell>
          <cell r="I2131" t="str">
            <v>Willow Street</v>
          </cell>
          <cell r="K2131" t="str">
            <v>900 Willow Valley Lakes Dr</v>
          </cell>
          <cell r="L2131" t="str">
            <v>PA</v>
          </cell>
          <cell r="M2131">
            <v>17584</v>
          </cell>
          <cell r="N2131" t="str">
            <v>900 Willow Valley Lakes Dr Willow Street, PA 17584</v>
          </cell>
        </row>
        <row r="2132">
          <cell r="G2132">
            <v>439606</v>
          </cell>
          <cell r="H2132" t="str">
            <v>5 Points Automotive Service</v>
          </cell>
          <cell r="I2132" t="str">
            <v>Montgomeryville</v>
          </cell>
          <cell r="K2132" t="str">
            <v>104 Bettys Ave</v>
          </cell>
          <cell r="L2132" t="str">
            <v>PA</v>
          </cell>
          <cell r="M2132">
            <v>18936</v>
          </cell>
          <cell r="N2132" t="str">
            <v>104 Bettys Ave Montgomeryville, PA 18936</v>
          </cell>
        </row>
        <row r="2133">
          <cell r="G2133">
            <v>342235</v>
          </cell>
          <cell r="H2133" t="str">
            <v>EuroOptic Ltd.</v>
          </cell>
          <cell r="I2133" t="str">
            <v>Muncy</v>
          </cell>
          <cell r="K2133" t="str">
            <v>1203 Lycoming Mall Cir</v>
          </cell>
          <cell r="L2133" t="str">
            <v>PA</v>
          </cell>
          <cell r="M2133">
            <v>17756</v>
          </cell>
          <cell r="N2133" t="str">
            <v>1203 Lycoming Mall Cir Muncy, PA 17756</v>
          </cell>
        </row>
        <row r="2134">
          <cell r="G2134">
            <v>239945</v>
          </cell>
          <cell r="H2134" t="str">
            <v>EBENEZER BAPTIST CHURCH***</v>
          </cell>
          <cell r="I2134" t="str">
            <v>Lancaster</v>
          </cell>
          <cell r="K2134" t="str">
            <v>701 N Lime St</v>
          </cell>
          <cell r="L2134" t="str">
            <v>PA</v>
          </cell>
          <cell r="M2134">
            <v>17602</v>
          </cell>
          <cell r="N2134" t="str">
            <v>701 N Lime St Lancaster, PA 17602</v>
          </cell>
        </row>
        <row r="2135">
          <cell r="G2135">
            <v>240177</v>
          </cell>
          <cell r="H2135" t="str">
            <v>GE RICHARDS GRAPHIC SUPPLIES I</v>
          </cell>
          <cell r="I2135" t="str">
            <v>Landisville</v>
          </cell>
          <cell r="K2135" t="str">
            <v>928 Links Ave</v>
          </cell>
          <cell r="L2135" t="str">
            <v>PA</v>
          </cell>
          <cell r="M2135">
            <v>17538</v>
          </cell>
          <cell r="N2135" t="str">
            <v>928 Links Ave Landisville, PA 17538</v>
          </cell>
        </row>
        <row r="2136">
          <cell r="G2136">
            <v>243087</v>
          </cell>
          <cell r="H2136" t="str">
            <v>Paul Carberry</v>
          </cell>
          <cell r="I2136" t="str">
            <v>West Chester</v>
          </cell>
          <cell r="K2136" t="str">
            <v>712 Revere Rd</v>
          </cell>
          <cell r="L2136" t="str">
            <v>PA</v>
          </cell>
          <cell r="M2136">
            <v>19382</v>
          </cell>
          <cell r="N2136" t="str">
            <v>712 Revere Rd West Chester, PA 19382</v>
          </cell>
        </row>
        <row r="2137">
          <cell r="G2137">
            <v>254428</v>
          </cell>
          <cell r="H2137" t="str">
            <v>MAYTOWN FIRE DEPARTMENT</v>
          </cell>
          <cell r="I2137" t="str">
            <v>Maytown</v>
          </cell>
          <cell r="K2137" t="str">
            <v>160 E High St</v>
          </cell>
          <cell r="L2137" t="str">
            <v>PA</v>
          </cell>
          <cell r="M2137">
            <v>17550</v>
          </cell>
          <cell r="N2137" t="str">
            <v>160 E High St Maytown, PA 17550</v>
          </cell>
        </row>
        <row r="2138">
          <cell r="G2138">
            <v>483827</v>
          </cell>
          <cell r="H2138" t="str">
            <v>East Mennonite University</v>
          </cell>
          <cell r="I2138" t="str">
            <v>Lancaster</v>
          </cell>
          <cell r="K2138" t="str">
            <v>1846 Charter Ln, Suite 212</v>
          </cell>
          <cell r="L2138" t="str">
            <v>PA</v>
          </cell>
          <cell r="M2138">
            <v>17601</v>
          </cell>
          <cell r="N2138" t="str">
            <v>1846 Charter Ln, Suite 212 Lancaster, PA 17601</v>
          </cell>
        </row>
        <row r="2139">
          <cell r="G2139">
            <v>316884</v>
          </cell>
          <cell r="H2139" t="str">
            <v>Denron Sign Company</v>
          </cell>
          <cell r="I2139" t="str">
            <v>Downingtown</v>
          </cell>
          <cell r="K2139" t="str">
            <v>4214 W Lincoln Hwy</v>
          </cell>
          <cell r="L2139" t="str">
            <v>PA</v>
          </cell>
          <cell r="M2139">
            <v>19335</v>
          </cell>
          <cell r="N2139" t="str">
            <v>4214 W Lincoln Hwy Downingtown, PA 19335</v>
          </cell>
        </row>
        <row r="2140">
          <cell r="G2140">
            <v>242994</v>
          </cell>
          <cell r="H2140" t="str">
            <v>Black Horse Pike Reg School Di</v>
          </cell>
          <cell r="I2140" t="str">
            <v>Blackwood</v>
          </cell>
          <cell r="J2140" t="str">
            <v>Cherry Hill</v>
          </cell>
          <cell r="K2140" t="str">
            <v>580 Erial Rd</v>
          </cell>
          <cell r="L2140" t="str">
            <v>NJ</v>
          </cell>
          <cell r="M2140">
            <v>8012</v>
          </cell>
          <cell r="N2140" t="str">
            <v>580 Erial Rd Blackwood, NJ 08012</v>
          </cell>
        </row>
        <row r="2141">
          <cell r="G2141">
            <v>241984</v>
          </cell>
          <cell r="H2141" t="str">
            <v>STOLTZFUS CABINET SHOP</v>
          </cell>
          <cell r="I2141" t="str">
            <v>Talmage</v>
          </cell>
          <cell r="K2141" t="str">
            <v>337 S State ST</v>
          </cell>
          <cell r="L2141" t="str">
            <v>PA</v>
          </cell>
          <cell r="M2141">
            <v>17580</v>
          </cell>
          <cell r="N2141" t="str">
            <v>337 S State ST Talmage, PA 17580</v>
          </cell>
        </row>
        <row r="2142">
          <cell r="G2142">
            <v>239459</v>
          </cell>
          <cell r="H2142" t="str">
            <v>CAINS LANES</v>
          </cell>
          <cell r="I2142" t="str">
            <v>Manheim</v>
          </cell>
          <cell r="K2142" t="str">
            <v>670 Lancaster Rd</v>
          </cell>
          <cell r="L2142" t="str">
            <v>PA</v>
          </cell>
          <cell r="M2142">
            <v>17545</v>
          </cell>
          <cell r="N2142" t="str">
            <v>670 Lancaster Rd Manheim, PA 17545</v>
          </cell>
        </row>
        <row r="2143">
          <cell r="G2143">
            <v>279388</v>
          </cell>
          <cell r="H2143" t="str">
            <v>CAERNARVON FIRE COMPANY</v>
          </cell>
          <cell r="I2143" t="str">
            <v>NARVON</v>
          </cell>
          <cell r="K2143" t="str">
            <v>2024 Main St</v>
          </cell>
          <cell r="L2143" t="str">
            <v>PA</v>
          </cell>
          <cell r="M2143">
            <v>17555</v>
          </cell>
          <cell r="N2143" t="str">
            <v>2024 Main St NARVON, PA 17555</v>
          </cell>
        </row>
        <row r="2144">
          <cell r="G2144">
            <v>270963</v>
          </cell>
          <cell r="H2144" t="str">
            <v>SUSQUEHANNA INSURANCE</v>
          </cell>
          <cell r="I2144" t="str">
            <v>Lancaster</v>
          </cell>
          <cell r="K2144" t="str">
            <v>650 Delp Rd</v>
          </cell>
          <cell r="L2144" t="str">
            <v>PA</v>
          </cell>
          <cell r="M2144">
            <v>17601</v>
          </cell>
          <cell r="N2144" t="str">
            <v>650 Delp Rd Lancaster, PA 17601</v>
          </cell>
        </row>
        <row r="2145">
          <cell r="G2145">
            <v>240890</v>
          </cell>
          <cell r="H2145" t="str">
            <v>LINDEN HALL SCHOOL FOR GIRLS</v>
          </cell>
          <cell r="I2145" t="str">
            <v>Lititz</v>
          </cell>
          <cell r="K2145" t="str">
            <v>212 E Main St</v>
          </cell>
          <cell r="L2145" t="str">
            <v>PA</v>
          </cell>
          <cell r="M2145">
            <v>17543</v>
          </cell>
          <cell r="N2145" t="str">
            <v>212 E Main St Lititz, PA 17543</v>
          </cell>
        </row>
        <row r="2146">
          <cell r="G2146">
            <v>474185</v>
          </cell>
          <cell r="H2146" t="str">
            <v>ADMINISTRATION BLDG</v>
          </cell>
          <cell r="I2146" t="str">
            <v>Lewistown</v>
          </cell>
          <cell r="J2146" t="str">
            <v>Lewistown</v>
          </cell>
          <cell r="K2146" t="str">
            <v>201 8th St</v>
          </cell>
          <cell r="L2146" t="str">
            <v>PA</v>
          </cell>
          <cell r="M2146">
            <v>17044</v>
          </cell>
          <cell r="N2146" t="str">
            <v>201 8th St Lewistown, PA 17044</v>
          </cell>
        </row>
        <row r="2147">
          <cell r="G2147">
            <v>417793</v>
          </cell>
          <cell r="H2147" t="str">
            <v>Lionville Middle School</v>
          </cell>
          <cell r="I2147" t="str">
            <v>EXTON</v>
          </cell>
          <cell r="K2147" t="str">
            <v>550 W Uwchlan Ave</v>
          </cell>
          <cell r="L2147" t="str">
            <v>PA</v>
          </cell>
          <cell r="M2147">
            <v>19341</v>
          </cell>
          <cell r="N2147" t="str">
            <v>550 W Uwchlan Ave EXTON, PA 19341</v>
          </cell>
        </row>
        <row r="2148">
          <cell r="G2148">
            <v>241751</v>
          </cell>
          <cell r="H2148" t="str">
            <v>SCHOOL DISTRICT OF LANCASTER</v>
          </cell>
          <cell r="I2148" t="str">
            <v>Lancaster</v>
          </cell>
          <cell r="K2148" t="str">
            <v>1020 Lehigh Ave</v>
          </cell>
          <cell r="L2148" t="str">
            <v>PA</v>
          </cell>
          <cell r="M2148">
            <v>17602</v>
          </cell>
          <cell r="N2148" t="str">
            <v>1020 Lehigh Ave Lancaster, PA 17602</v>
          </cell>
        </row>
        <row r="2149">
          <cell r="G2149">
            <v>315104</v>
          </cell>
          <cell r="H2149" t="str">
            <v>BEST CHOICE MAINTENANCE</v>
          </cell>
          <cell r="I2149" t="str">
            <v>Willow Street</v>
          </cell>
          <cell r="K2149" t="str">
            <v>119 Charleston Dr</v>
          </cell>
          <cell r="L2149" t="str">
            <v>PA</v>
          </cell>
          <cell r="M2149">
            <v>17584</v>
          </cell>
          <cell r="N2149" t="str">
            <v>119 Charleston Dr Willow Street, PA 17584</v>
          </cell>
        </row>
        <row r="2150">
          <cell r="G2150">
            <v>255266</v>
          </cell>
          <cell r="H2150" t="str">
            <v>FELLOWSHIP BAPTIST CHURCH</v>
          </cell>
          <cell r="I2150" t="str">
            <v>Mount Joy</v>
          </cell>
          <cell r="K2150" t="str">
            <v>151 Orange St</v>
          </cell>
          <cell r="L2150" t="str">
            <v>PA</v>
          </cell>
          <cell r="M2150">
            <v>17552</v>
          </cell>
          <cell r="N2150" t="str">
            <v>151 Orange St Mount Joy, PA 17552</v>
          </cell>
        </row>
        <row r="2151">
          <cell r="G2151">
            <v>340681</v>
          </cell>
          <cell r="H2151" t="str">
            <v>Fellowship United Methodist Ch</v>
          </cell>
          <cell r="I2151" t="str">
            <v>Haddon Heights</v>
          </cell>
          <cell r="J2151" t="str">
            <v>Cherry Hill</v>
          </cell>
          <cell r="K2151" t="str">
            <v>704 Garden St</v>
          </cell>
          <cell r="L2151" t="str">
            <v>NJ</v>
          </cell>
          <cell r="M2151">
            <v>8035</v>
          </cell>
          <cell r="N2151" t="str">
            <v>704 Garden St Haddon Heights, NJ 08035</v>
          </cell>
        </row>
        <row r="2152">
          <cell r="G2152">
            <v>331465</v>
          </cell>
          <cell r="H2152" t="str">
            <v>Presbyterian Home at Williamsp</v>
          </cell>
          <cell r="I2152" t="str">
            <v>Williamsport</v>
          </cell>
          <cell r="K2152" t="str">
            <v>810 Louisa St</v>
          </cell>
          <cell r="L2152" t="str">
            <v>PA</v>
          </cell>
          <cell r="M2152">
            <v>17701</v>
          </cell>
          <cell r="N2152" t="str">
            <v>810 Louisa St Williamsport, PA 17701</v>
          </cell>
        </row>
        <row r="2153">
          <cell r="G2153">
            <v>331985</v>
          </cell>
          <cell r="H2153" t="str">
            <v>St Peters Lutheran Church</v>
          </cell>
          <cell r="I2153" t="str">
            <v>MIDDLETOWN</v>
          </cell>
          <cell r="K2153" t="str">
            <v>121 N Spring St</v>
          </cell>
          <cell r="L2153" t="str">
            <v>PA</v>
          </cell>
          <cell r="M2153">
            <v>17057</v>
          </cell>
          <cell r="N2153" t="str">
            <v>121 N Spring St MIDDLETOWN, PA 17057</v>
          </cell>
        </row>
        <row r="2154">
          <cell r="G2154">
            <v>432860</v>
          </cell>
          <cell r="H2154" t="str">
            <v>CORDIA ENERGY CENTER</v>
          </cell>
          <cell r="I2154" t="str">
            <v>Harrisburg</v>
          </cell>
          <cell r="K2154" t="str">
            <v>900 Walnut St</v>
          </cell>
          <cell r="L2154" t="str">
            <v>PA</v>
          </cell>
          <cell r="M2154">
            <v>17101</v>
          </cell>
          <cell r="N2154" t="str">
            <v>900 Walnut St Harrisburg, PA 17101</v>
          </cell>
        </row>
        <row r="2155">
          <cell r="G2155">
            <v>299259</v>
          </cell>
          <cell r="H2155" t="str">
            <v>Grosse &amp; Quade Management Co</v>
          </cell>
          <cell r="I2155" t="str">
            <v>Lansdale</v>
          </cell>
          <cell r="K2155" t="str">
            <v>762 E Main St Ste 2</v>
          </cell>
          <cell r="L2155" t="str">
            <v>PA</v>
          </cell>
          <cell r="M2155">
            <v>19446</v>
          </cell>
          <cell r="N2155" t="str">
            <v>762 E Main St Ste 2 Lansdale, PA 19446</v>
          </cell>
        </row>
        <row r="2156">
          <cell r="G2156">
            <v>480503</v>
          </cell>
          <cell r="H2156" t="str">
            <v>MASONIC VILLAGE WARMINSTER VIL</v>
          </cell>
          <cell r="I2156" t="str">
            <v>Warminster</v>
          </cell>
          <cell r="J2156" t="str">
            <v>Philly Suburbs - North</v>
          </cell>
          <cell r="K2156" t="str">
            <v>850 Norristown Rd</v>
          </cell>
          <cell r="L2156" t="str">
            <v>PA</v>
          </cell>
          <cell r="M2156">
            <v>18974</v>
          </cell>
          <cell r="N2156" t="str">
            <v>850 Norristown Rd Warminster, PA 18974</v>
          </cell>
        </row>
        <row r="2157">
          <cell r="G2157">
            <v>415484</v>
          </cell>
          <cell r="H2157" t="str">
            <v>GOODS STORE</v>
          </cell>
          <cell r="I2157" t="str">
            <v>Schaefferstown</v>
          </cell>
          <cell r="K2157" t="str">
            <v>2499 Stiegel Pike</v>
          </cell>
          <cell r="L2157" t="str">
            <v>PA</v>
          </cell>
          <cell r="M2157">
            <v>17088</v>
          </cell>
          <cell r="N2157" t="str">
            <v>2499 Stiegel Pike Schaefferstown, PA 17088</v>
          </cell>
        </row>
        <row r="2158">
          <cell r="G2158">
            <v>249200</v>
          </cell>
          <cell r="H2158" t="str">
            <v>Martin Carberry</v>
          </cell>
          <cell r="I2158" t="str">
            <v>Wrightsville</v>
          </cell>
          <cell r="K2158" t="str">
            <v>6598 Southridge Ln</v>
          </cell>
          <cell r="L2158" t="str">
            <v>PA</v>
          </cell>
          <cell r="M2158">
            <v>17368</v>
          </cell>
          <cell r="N2158" t="str">
            <v>6598 Southridge Ln Wrightsville, PA 17368</v>
          </cell>
        </row>
        <row r="2159">
          <cell r="G2159">
            <v>431347</v>
          </cell>
          <cell r="H2159" t="str">
            <v>TYSON FOODS PLANT #1</v>
          </cell>
          <cell r="I2159" t="str">
            <v>New Holland</v>
          </cell>
          <cell r="K2159" t="str">
            <v>403 S Custer Ave</v>
          </cell>
          <cell r="L2159" t="str">
            <v>PA</v>
          </cell>
          <cell r="M2159">
            <v>17557</v>
          </cell>
          <cell r="N2159" t="str">
            <v>403 S Custer Ave New Holland, PA 17557</v>
          </cell>
        </row>
        <row r="2160">
          <cell r="G2160">
            <v>343079</v>
          </cell>
          <cell r="H2160" t="str">
            <v>Barnett Facility Service</v>
          </cell>
          <cell r="I2160" t="str">
            <v>WILLOW GROVE</v>
          </cell>
          <cell r="J2160" t="str">
            <v>Philly Suburbs - North</v>
          </cell>
          <cell r="K2160" t="str">
            <v>212 Summit Ave</v>
          </cell>
          <cell r="L2160" t="str">
            <v>PA</v>
          </cell>
          <cell r="M2160">
            <v>19090</v>
          </cell>
          <cell r="N2160" t="str">
            <v>212 Summit Ave WILLOW GROVE, PA 19090</v>
          </cell>
        </row>
        <row r="2161">
          <cell r="G2161">
            <v>241465</v>
          </cell>
          <cell r="H2161" t="str">
            <v>PRECISION FORM#</v>
          </cell>
          <cell r="I2161" t="str">
            <v>Lititz</v>
          </cell>
          <cell r="K2161" t="str">
            <v>148 W Airport Rd</v>
          </cell>
          <cell r="L2161" t="str">
            <v>PA</v>
          </cell>
          <cell r="M2161">
            <v>17543</v>
          </cell>
          <cell r="N2161" t="str">
            <v>148 W Airport Rd Lititz, PA 17543</v>
          </cell>
        </row>
        <row r="2162">
          <cell r="G2162">
            <v>462421</v>
          </cell>
          <cell r="H2162" t="str">
            <v>LANC LEBANON IU13 - COMM SCHOO</v>
          </cell>
          <cell r="I2162" t="str">
            <v>Manheim</v>
          </cell>
          <cell r="K2162" t="str">
            <v>1713 Newport Rd</v>
          </cell>
          <cell r="L2162" t="str">
            <v>PA</v>
          </cell>
          <cell r="M2162">
            <v>17545</v>
          </cell>
          <cell r="N2162" t="str">
            <v>1713 Newport Rd Manheim, PA 17545</v>
          </cell>
        </row>
        <row r="2163">
          <cell r="G2163">
            <v>483782</v>
          </cell>
          <cell r="H2163" t="str">
            <v>Lancaster-Lebanon IU13</v>
          </cell>
          <cell r="I2163" t="str">
            <v>Manheim</v>
          </cell>
          <cell r="K2163" t="str">
            <v>8 Fairland Rd</v>
          </cell>
          <cell r="L2163" t="str">
            <v>PA</v>
          </cell>
          <cell r="M2163">
            <v>17545</v>
          </cell>
          <cell r="N2163" t="str">
            <v>8 Fairland Rd Manheim, PA 17545</v>
          </cell>
        </row>
        <row r="2164">
          <cell r="G2164">
            <v>318272</v>
          </cell>
          <cell r="H2164" t="str">
            <v>CHRISTIAN COVENANT COMMUNITY C</v>
          </cell>
          <cell r="I2164" t="str">
            <v>Orangeville</v>
          </cell>
          <cell r="K2164" t="str">
            <v>712 Winding Rd</v>
          </cell>
          <cell r="L2164" t="str">
            <v>PA</v>
          </cell>
          <cell r="M2164">
            <v>17859</v>
          </cell>
          <cell r="N2164" t="str">
            <v>712 Winding Rd Orangeville, PA 17859</v>
          </cell>
        </row>
        <row r="2165">
          <cell r="G2165">
            <v>293030</v>
          </cell>
          <cell r="H2165" t="str">
            <v>CUMBERLAND PERRY AREA VOCATION</v>
          </cell>
          <cell r="I2165" t="str">
            <v>Mechanicsburg</v>
          </cell>
          <cell r="K2165" t="str">
            <v>110 Old Willow Mill Rd</v>
          </cell>
          <cell r="L2165" t="str">
            <v>PA</v>
          </cell>
          <cell r="M2165">
            <v>17050</v>
          </cell>
          <cell r="N2165" t="str">
            <v>110 Old Willow Mill Rd Mechanicsburg, PA 17050</v>
          </cell>
        </row>
        <row r="2166">
          <cell r="G2166">
            <v>243946</v>
          </cell>
          <cell r="H2166" t="str">
            <v>Judel Corp Jem Jewelers Metal</v>
          </cell>
          <cell r="I2166" t="str">
            <v>Warrington</v>
          </cell>
          <cell r="K2166" t="str">
            <v>1409 Easton Rd</v>
          </cell>
          <cell r="L2166" t="str">
            <v>PA</v>
          </cell>
          <cell r="M2166">
            <v>18976</v>
          </cell>
          <cell r="N2166" t="str">
            <v>1409 Easton Rd Warrington, PA 18976</v>
          </cell>
        </row>
        <row r="2167">
          <cell r="G2167">
            <v>239972</v>
          </cell>
          <cell r="H2167" t="str">
            <v>ELIZABETHTOWN MENN CHURCH</v>
          </cell>
          <cell r="I2167" t="str">
            <v>ELIZABETHTOWN</v>
          </cell>
          <cell r="K2167" t="str">
            <v>300 S Spruce St</v>
          </cell>
          <cell r="L2167" t="str">
            <v>PA</v>
          </cell>
          <cell r="M2167">
            <v>17022</v>
          </cell>
          <cell r="N2167" t="str">
            <v>300 S Spruce St ELIZABETHTOWN, PA 17022</v>
          </cell>
        </row>
        <row r="2168">
          <cell r="G2168">
            <v>483939</v>
          </cell>
          <cell r="H2168" t="str">
            <v>Laura Mood</v>
          </cell>
          <cell r="I2168" t="str">
            <v>Wilmington</v>
          </cell>
          <cell r="K2168" t="str">
            <v>1121 THATCHER ST</v>
          </cell>
          <cell r="L2168" t="str">
            <v>DE</v>
          </cell>
          <cell r="M2168">
            <v>19802</v>
          </cell>
          <cell r="N2168" t="str">
            <v>1121 THATCHER ST Wilmington, DE 19802</v>
          </cell>
        </row>
        <row r="2169">
          <cell r="G2169">
            <v>431348</v>
          </cell>
          <cell r="H2169" t="str">
            <v>TYSON FOODS PLANT #2</v>
          </cell>
          <cell r="I2169" t="str">
            <v>New Holland</v>
          </cell>
          <cell r="K2169" t="str">
            <v>403 S Custer Ave</v>
          </cell>
          <cell r="L2169" t="str">
            <v>PA</v>
          </cell>
          <cell r="M2169">
            <v>17557</v>
          </cell>
          <cell r="N2169" t="str">
            <v>403 S Custer Ave New Holland, PA 17557</v>
          </cell>
        </row>
        <row r="2170">
          <cell r="G2170">
            <v>240142</v>
          </cell>
          <cell r="H2170" t="str">
            <v>FRIENDSHIP FIRE &amp; HOSE CO #1</v>
          </cell>
          <cell r="I2170" t="str">
            <v>ELIZABETHTOWN</v>
          </cell>
          <cell r="K2170" t="str">
            <v>171 N Mount Joy St</v>
          </cell>
          <cell r="L2170" t="str">
            <v>PA</v>
          </cell>
          <cell r="M2170">
            <v>17022</v>
          </cell>
          <cell r="N2170" t="str">
            <v>171 N Mount Joy St ELIZABETHTOWN, PA 17022</v>
          </cell>
        </row>
        <row r="2171">
          <cell r="G2171">
            <v>239184</v>
          </cell>
          <cell r="H2171" t="str">
            <v>ANNUNCIATION ORTHODOX CH#</v>
          </cell>
          <cell r="I2171" t="str">
            <v>Lancaster</v>
          </cell>
          <cell r="K2171" t="str">
            <v>64 Hershey Ave</v>
          </cell>
          <cell r="L2171" t="str">
            <v>PA</v>
          </cell>
          <cell r="M2171">
            <v>17603</v>
          </cell>
          <cell r="N2171" t="str">
            <v>64 Hershey Ave Lancaster, PA 17603</v>
          </cell>
        </row>
        <row r="2172">
          <cell r="G2172">
            <v>239900</v>
          </cell>
          <cell r="H2172" t="str">
            <v>DUTCH VALLEY FOOD DIST V</v>
          </cell>
          <cell r="I2172" t="str">
            <v>Myerstown</v>
          </cell>
          <cell r="K2172" t="str">
            <v>7615 Lancaster Ave</v>
          </cell>
          <cell r="L2172" t="str">
            <v>PA</v>
          </cell>
          <cell r="M2172">
            <v>17067</v>
          </cell>
          <cell r="N2172" t="str">
            <v>7615 Lancaster Ave Myerstown, PA 17067</v>
          </cell>
        </row>
        <row r="2173">
          <cell r="G2173">
            <v>471779</v>
          </cell>
          <cell r="H2173" t="str">
            <v>Heritage Hills Athletic Club</v>
          </cell>
          <cell r="I2173" t="str">
            <v>York</v>
          </cell>
          <cell r="K2173" t="str">
            <v>2810 E Prospect Rd</v>
          </cell>
          <cell r="L2173" t="str">
            <v>PA</v>
          </cell>
          <cell r="M2173">
            <v>17402</v>
          </cell>
          <cell r="N2173" t="str">
            <v>2810 E Prospect Rd York, PA 17402</v>
          </cell>
        </row>
        <row r="2174">
          <cell r="G2174">
            <v>318708</v>
          </cell>
          <cell r="H2174" t="str">
            <v>PEOU NUON</v>
          </cell>
          <cell r="I2174" t="str">
            <v>Lancaster</v>
          </cell>
          <cell r="K2174" t="str">
            <v>482 Delp Rd</v>
          </cell>
          <cell r="L2174" t="str">
            <v>PA</v>
          </cell>
          <cell r="M2174">
            <v>17601</v>
          </cell>
          <cell r="N2174" t="str">
            <v>482 Delp Rd Lancaster, PA 17601</v>
          </cell>
        </row>
        <row r="2175">
          <cell r="G2175">
            <v>295872</v>
          </cell>
          <cell r="H2175" t="str">
            <v>Crossroads Bible Church</v>
          </cell>
          <cell r="I2175" t="str">
            <v>Huntingdon Valley</v>
          </cell>
          <cell r="K2175" t="str">
            <v>855 Old Huntingdon Pike</v>
          </cell>
          <cell r="L2175" t="str">
            <v>PA</v>
          </cell>
          <cell r="M2175">
            <v>19006</v>
          </cell>
          <cell r="N2175" t="str">
            <v>855 Old Huntingdon Pike Huntingdon Valley, PA 19006</v>
          </cell>
        </row>
        <row r="2176">
          <cell r="G2176">
            <v>272471</v>
          </cell>
          <cell r="H2176" t="str">
            <v>Fred Beans Chevrolet</v>
          </cell>
          <cell r="I2176" t="str">
            <v>Doylestown</v>
          </cell>
          <cell r="J2176" t="str">
            <v>Philly Suburbs - North</v>
          </cell>
          <cell r="K2176" t="str">
            <v>845 N Easton Rd</v>
          </cell>
          <cell r="L2176" t="str">
            <v>PA</v>
          </cell>
          <cell r="M2176">
            <v>18902</v>
          </cell>
          <cell r="N2176" t="str">
            <v>845 N Easton Rd Doylestown, PA 18902</v>
          </cell>
        </row>
        <row r="2177">
          <cell r="G2177">
            <v>317363</v>
          </cell>
          <cell r="H2177" t="str">
            <v>ARTYS COMMERCIAL CLEANING LLC</v>
          </cell>
          <cell r="I2177" t="str">
            <v>New Holland</v>
          </cell>
          <cell r="K2177" t="str">
            <v>1 Meadow Ln</v>
          </cell>
          <cell r="L2177" t="str">
            <v>PA</v>
          </cell>
          <cell r="M2177">
            <v>17557</v>
          </cell>
          <cell r="N2177" t="str">
            <v>1 Meadow Ln New Holland, PA 17557</v>
          </cell>
        </row>
        <row r="2178">
          <cell r="G2178">
            <v>416616</v>
          </cell>
          <cell r="H2178" t="str">
            <v>Downingtown West High School</v>
          </cell>
          <cell r="I2178" t="str">
            <v>Downingtown</v>
          </cell>
          <cell r="K2178" t="str">
            <v>445 Manor Ave</v>
          </cell>
          <cell r="L2178" t="str">
            <v>PA</v>
          </cell>
          <cell r="M2178">
            <v>19335</v>
          </cell>
          <cell r="N2178" t="str">
            <v>445 Manor Ave Downingtown, PA 19335</v>
          </cell>
        </row>
        <row r="2179">
          <cell r="G2179">
            <v>329952</v>
          </cell>
          <cell r="H2179" t="str">
            <v>Menard Premium Detailing LLC</v>
          </cell>
          <cell r="I2179" t="str">
            <v>Warminster</v>
          </cell>
          <cell r="J2179" t="str">
            <v>Philly Suburbs - North</v>
          </cell>
          <cell r="K2179" t="str">
            <v>125 Industrial Dr</v>
          </cell>
          <cell r="L2179" t="str">
            <v>PA</v>
          </cell>
          <cell r="M2179">
            <v>18974</v>
          </cell>
          <cell r="N2179" t="str">
            <v>125 Industrial Dr Warminster, PA 18974</v>
          </cell>
        </row>
        <row r="2180">
          <cell r="G2180">
            <v>429487</v>
          </cell>
          <cell r="H2180" t="str">
            <v>EDGAR FAHS SMITH MIDDLE SCHOOL</v>
          </cell>
          <cell r="I2180" t="str">
            <v>York</v>
          </cell>
          <cell r="K2180" t="str">
            <v>701 Texas Ave</v>
          </cell>
          <cell r="L2180" t="str">
            <v>PA</v>
          </cell>
          <cell r="M2180">
            <v>17404</v>
          </cell>
          <cell r="N2180" t="str">
            <v>701 Texas Ave York, PA 17404</v>
          </cell>
        </row>
        <row r="2181">
          <cell r="G2181">
            <v>240020</v>
          </cell>
          <cell r="H2181" t="str">
            <v>EXECUTIVE COACH INC#</v>
          </cell>
          <cell r="I2181" t="str">
            <v>Lancaster</v>
          </cell>
          <cell r="K2181" t="str">
            <v>525 Beaver Valley Pike</v>
          </cell>
          <cell r="L2181" t="str">
            <v>PA</v>
          </cell>
          <cell r="M2181">
            <v>17602</v>
          </cell>
          <cell r="N2181" t="str">
            <v>525 Beaver Valley Pike Lancaster, PA 17602</v>
          </cell>
        </row>
        <row r="2182">
          <cell r="G2182">
            <v>303419</v>
          </cell>
          <cell r="H2182" t="str">
            <v>JUNIPER VILLAGE#</v>
          </cell>
          <cell r="I2182" t="str">
            <v>Lebanon</v>
          </cell>
          <cell r="K2182" t="str">
            <v>1125 Birch Rd</v>
          </cell>
          <cell r="L2182" t="str">
            <v>PA</v>
          </cell>
          <cell r="M2182">
            <v>17042</v>
          </cell>
          <cell r="N2182" t="str">
            <v>1125 Birch Rd Lebanon, PA 17042</v>
          </cell>
        </row>
        <row r="2183">
          <cell r="G2183">
            <v>308621</v>
          </cell>
          <cell r="H2183" t="str">
            <v>DJS TASTE OF THE 50S</v>
          </cell>
          <cell r="I2183" t="str">
            <v>Lancaster</v>
          </cell>
          <cell r="K2183" t="str">
            <v>2410 Old Philadelphia Pike</v>
          </cell>
          <cell r="L2183" t="str">
            <v>PA</v>
          </cell>
          <cell r="M2183">
            <v>17602</v>
          </cell>
          <cell r="N2183" t="str">
            <v>2410 Old Philadelphia Pike Lancaster, PA 17602</v>
          </cell>
        </row>
        <row r="2184">
          <cell r="G2184">
            <v>442578</v>
          </cell>
          <cell r="H2184" t="str">
            <v>LUTHERCARE MUHLENBERG</v>
          </cell>
          <cell r="I2184" t="str">
            <v>Lititz</v>
          </cell>
          <cell r="K2184" t="str">
            <v>300 Saint Mark Ave</v>
          </cell>
          <cell r="L2184" t="str">
            <v>PA</v>
          </cell>
          <cell r="M2184">
            <v>17543</v>
          </cell>
          <cell r="N2184" t="str">
            <v>300 Saint Mark Ave Lititz, PA 17543</v>
          </cell>
        </row>
        <row r="2185">
          <cell r="G2185">
            <v>245529</v>
          </cell>
          <cell r="H2185" t="str">
            <v>Woloshin Lynch &amp; Associates</v>
          </cell>
          <cell r="I2185" t="str">
            <v>Wilmington</v>
          </cell>
          <cell r="K2185" t="str">
            <v>3200 Concord Pike</v>
          </cell>
          <cell r="L2185" t="str">
            <v>DE</v>
          </cell>
          <cell r="M2185">
            <v>19803</v>
          </cell>
          <cell r="N2185" t="str">
            <v>3200 Concord Pike Wilmington, DE 19803</v>
          </cell>
        </row>
        <row r="2186">
          <cell r="G2186">
            <v>484122</v>
          </cell>
          <cell r="H2186" t="str">
            <v>Heather Courts</v>
          </cell>
          <cell r="I2186" t="str">
            <v>NORTHUMBERLAND</v>
          </cell>
          <cell r="K2186" t="str">
            <v>281 IRONSTONE DR</v>
          </cell>
          <cell r="L2186" t="str">
            <v>PA</v>
          </cell>
          <cell r="M2186">
            <v>17857</v>
          </cell>
          <cell r="N2186" t="str">
            <v>281 IRONSTONE DR NORTHUMBERLAND, PA 17857</v>
          </cell>
        </row>
        <row r="2187">
          <cell r="G2187">
            <v>317122</v>
          </cell>
          <cell r="H2187" t="str">
            <v>St Polycarps Roman Catholic Ch</v>
          </cell>
          <cell r="I2187" t="str">
            <v>SMYRNA</v>
          </cell>
          <cell r="K2187" t="str">
            <v>55 Ransom Ln</v>
          </cell>
          <cell r="L2187" t="str">
            <v>DE</v>
          </cell>
          <cell r="M2187">
            <v>19977</v>
          </cell>
          <cell r="N2187" t="str">
            <v>55 Ransom Ln SMYRNA, DE 19977</v>
          </cell>
        </row>
        <row r="2188">
          <cell r="G2188">
            <v>465916</v>
          </cell>
          <cell r="H2188" t="str">
            <v>LUTHERCARE - ST JOHN HERRS EST</v>
          </cell>
          <cell r="I2188" t="str">
            <v>Columbia</v>
          </cell>
          <cell r="K2188" t="str">
            <v>200 Luther Ln</v>
          </cell>
          <cell r="L2188" t="str">
            <v>PA</v>
          </cell>
          <cell r="M2188">
            <v>17512</v>
          </cell>
          <cell r="N2188" t="str">
            <v>200 Luther Ln Columbia, PA 17512</v>
          </cell>
        </row>
        <row r="2189">
          <cell r="G2189">
            <v>418903</v>
          </cell>
          <cell r="H2189" t="str">
            <v>Upper Moreland Middle School</v>
          </cell>
          <cell r="I2189" t="str">
            <v>Hatboro</v>
          </cell>
          <cell r="J2189" t="str">
            <v>Philly Suburbs - North</v>
          </cell>
          <cell r="K2189" t="str">
            <v>4000 Orangemans Rd</v>
          </cell>
          <cell r="L2189" t="str">
            <v>PA</v>
          </cell>
          <cell r="M2189">
            <v>19040</v>
          </cell>
          <cell r="N2189" t="str">
            <v>4000 Orangemans Rd Hatboro, PA 19040</v>
          </cell>
        </row>
        <row r="2190">
          <cell r="G2190">
            <v>330639</v>
          </cell>
          <cell r="H2190" t="str">
            <v>MANORVIEW LLC</v>
          </cell>
          <cell r="I2190" t="str">
            <v>Mount Joy</v>
          </cell>
          <cell r="K2190" t="str">
            <v>1243 Milton Grove Rd</v>
          </cell>
          <cell r="L2190" t="str">
            <v>PA</v>
          </cell>
          <cell r="M2190">
            <v>17552</v>
          </cell>
          <cell r="N2190" t="str">
            <v>1243 Milton Grove Rd Mount Joy, PA 17552</v>
          </cell>
        </row>
        <row r="2191">
          <cell r="G2191">
            <v>315974</v>
          </cell>
          <cell r="H2191" t="str">
            <v>SPOTLESS CARPET CLEANING SVCS</v>
          </cell>
          <cell r="I2191" t="str">
            <v>Landisville</v>
          </cell>
          <cell r="K2191" t="str">
            <v>3739 Daryl Dr</v>
          </cell>
          <cell r="L2191" t="str">
            <v>PA</v>
          </cell>
          <cell r="M2191">
            <v>17538</v>
          </cell>
          <cell r="N2191" t="str">
            <v>3739 Daryl Dr Landisville, PA 17538</v>
          </cell>
        </row>
        <row r="2192">
          <cell r="G2192">
            <v>300753</v>
          </cell>
          <cell r="H2192" t="str">
            <v>COMPANION ANIMAL CLINIC</v>
          </cell>
          <cell r="I2192" t="str">
            <v>Columbia</v>
          </cell>
          <cell r="K2192" t="str">
            <v>601 S 16th St</v>
          </cell>
          <cell r="L2192" t="str">
            <v>PA</v>
          </cell>
          <cell r="M2192">
            <v>17512</v>
          </cell>
          <cell r="N2192" t="str">
            <v>601 S 16th St Columbia, PA 17512</v>
          </cell>
        </row>
        <row r="2193">
          <cell r="G2193">
            <v>482857</v>
          </cell>
          <cell r="H2193" t="str">
            <v>Ciocca Dealerships</v>
          </cell>
          <cell r="I2193" t="str">
            <v>Allentown</v>
          </cell>
          <cell r="J2193" t="str">
            <v>Allentown</v>
          </cell>
          <cell r="K2193" t="str">
            <v>2141 Downyflake Ln</v>
          </cell>
          <cell r="L2193" t="str">
            <v>PA</v>
          </cell>
          <cell r="M2193">
            <v>18103</v>
          </cell>
          <cell r="N2193" t="str">
            <v>2141 Downyflake Ln Allentown, PA 18103</v>
          </cell>
        </row>
        <row r="2194">
          <cell r="G2194">
            <v>482606</v>
          </cell>
          <cell r="H2194" t="str">
            <v>Elizabethtown Laundromat</v>
          </cell>
          <cell r="I2194" t="str">
            <v>ELIZABETHTOWN</v>
          </cell>
          <cell r="K2194" t="str">
            <v>50 N Spruce St</v>
          </cell>
          <cell r="L2194" t="str">
            <v>PA</v>
          </cell>
          <cell r="M2194">
            <v>17022</v>
          </cell>
          <cell r="N2194" t="str">
            <v>50 N Spruce St ELIZABETHTOWN, PA 17022</v>
          </cell>
        </row>
        <row r="2195">
          <cell r="G2195">
            <v>240612</v>
          </cell>
          <cell r="H2195" t="str">
            <v>DEBORD SNYDER FUNERAL HOME &amp; C</v>
          </cell>
          <cell r="I2195" t="str">
            <v>Lancaster</v>
          </cell>
          <cell r="K2195" t="str">
            <v>141 E Orange St</v>
          </cell>
          <cell r="L2195" t="str">
            <v>PA</v>
          </cell>
          <cell r="M2195">
            <v>17602</v>
          </cell>
          <cell r="N2195" t="str">
            <v>141 E Orange St Lancaster, PA 17602</v>
          </cell>
        </row>
        <row r="2196">
          <cell r="G2196">
            <v>343158</v>
          </cell>
          <cell r="H2196" t="str">
            <v>CRUMBL COOKIES OAKS PA</v>
          </cell>
          <cell r="I2196" t="str">
            <v>Phoenixville</v>
          </cell>
          <cell r="K2196" t="str">
            <v>1570 EGYPT RD STE 110</v>
          </cell>
          <cell r="L2196" t="str">
            <v>PA</v>
          </cell>
          <cell r="M2196">
            <v>19460</v>
          </cell>
          <cell r="N2196" t="str">
            <v>1570 EGYPT RD STE 110 Phoenixville, PA 19460</v>
          </cell>
        </row>
        <row r="2197">
          <cell r="G2197">
            <v>268258</v>
          </cell>
          <cell r="H2197" t="str">
            <v>MIKA HANA CLEANING SERVICE</v>
          </cell>
          <cell r="I2197" t="str">
            <v>York</v>
          </cell>
          <cell r="K2197" t="str">
            <v>306 S Penn St</v>
          </cell>
          <cell r="L2197" t="str">
            <v>PA</v>
          </cell>
          <cell r="M2197">
            <v>17401</v>
          </cell>
          <cell r="N2197" t="str">
            <v>306 S Penn St York, PA 17401</v>
          </cell>
        </row>
        <row r="2198">
          <cell r="G2198">
            <v>317264</v>
          </cell>
          <cell r="H2198" t="str">
            <v>PRO CARE MEDICAL#</v>
          </cell>
          <cell r="I2198" t="str">
            <v>Lancaster</v>
          </cell>
          <cell r="K2198" t="str">
            <v>759 Flory Mill Rd Apt Orad</v>
          </cell>
          <cell r="L2198" t="str">
            <v>PA</v>
          </cell>
          <cell r="M2198">
            <v>17601</v>
          </cell>
          <cell r="N2198" t="str">
            <v>759 Flory Mill Rd Apt Orad Lancaster, PA 17601</v>
          </cell>
        </row>
        <row r="2199">
          <cell r="G2199">
            <v>264056</v>
          </cell>
          <cell r="H2199" t="str">
            <v>ALBERTS BODY SHOP</v>
          </cell>
          <cell r="I2199" t="str">
            <v>Lebanon</v>
          </cell>
          <cell r="K2199" t="str">
            <v>701 E Cumberland St</v>
          </cell>
          <cell r="L2199" t="str">
            <v>PA</v>
          </cell>
          <cell r="M2199">
            <v>17042</v>
          </cell>
          <cell r="N2199" t="str">
            <v>701 E Cumberland St Lebanon, PA 17042</v>
          </cell>
        </row>
        <row r="2200">
          <cell r="G2200">
            <v>471732</v>
          </cell>
          <cell r="H2200" t="str">
            <v>POWER X3</v>
          </cell>
          <cell r="I2200" t="str">
            <v>Mount Joy</v>
          </cell>
          <cell r="K2200" t="str">
            <v>616 Mitchell Ave</v>
          </cell>
          <cell r="L2200" t="str">
            <v>PA</v>
          </cell>
          <cell r="M2200">
            <v>17552</v>
          </cell>
          <cell r="N2200" t="str">
            <v>616 Mitchell Ave Mount Joy, PA 17552</v>
          </cell>
        </row>
        <row r="2201">
          <cell r="G2201">
            <v>456416</v>
          </cell>
          <cell r="H2201" t="str">
            <v>LANCASTER COUNTY SOLID WASTE M</v>
          </cell>
          <cell r="I2201" t="str">
            <v>Harrisburg</v>
          </cell>
          <cell r="K2201" t="str">
            <v>1670 S 19th St</v>
          </cell>
          <cell r="L2201" t="str">
            <v>PA</v>
          </cell>
          <cell r="M2201">
            <v>17104</v>
          </cell>
          <cell r="N2201" t="str">
            <v>1670 S 19th St Harrisburg, PA 17104</v>
          </cell>
        </row>
        <row r="2202">
          <cell r="G2202">
            <v>442480</v>
          </cell>
          <cell r="H2202" t="str">
            <v>Bugajewski Facility Services</v>
          </cell>
          <cell r="I2202" t="str">
            <v>Warrington</v>
          </cell>
          <cell r="K2202" t="str">
            <v>1432 Easton Rd Ste 3D</v>
          </cell>
          <cell r="L2202" t="str">
            <v>PA</v>
          </cell>
          <cell r="M2202">
            <v>18976</v>
          </cell>
          <cell r="N2202" t="str">
            <v>1432 Easton Rd Ste 3D Warrington, PA 18976</v>
          </cell>
        </row>
        <row r="2203">
          <cell r="G2203">
            <v>472476</v>
          </cell>
          <cell r="H2203" t="str">
            <v>Mechanicsburg Area School Dist</v>
          </cell>
          <cell r="I2203" t="str">
            <v>Mechanicsburg</v>
          </cell>
          <cell r="K2203" t="str">
            <v>1298 S Market St</v>
          </cell>
          <cell r="L2203" t="str">
            <v>PA</v>
          </cell>
          <cell r="M2203">
            <v>17055</v>
          </cell>
          <cell r="N2203" t="str">
            <v>1298 S Market St Mechanicsburg, PA 17055</v>
          </cell>
        </row>
        <row r="2204">
          <cell r="G2204">
            <v>468670</v>
          </cell>
          <cell r="H2204" t="str">
            <v>John Megariotis</v>
          </cell>
          <cell r="I2204" t="str">
            <v>Bordentown</v>
          </cell>
          <cell r="J2204" t="str">
            <v>Trenton - South</v>
          </cell>
          <cell r="K2204" t="str">
            <v>1301 Jacksonville Smithville Rd</v>
          </cell>
          <cell r="L2204" t="str">
            <v>NJ</v>
          </cell>
          <cell r="M2204">
            <v>8505</v>
          </cell>
          <cell r="N2204" t="str">
            <v>1301 Jacksonville Smithville Rd Bordentown, NJ 08505</v>
          </cell>
        </row>
        <row r="2205">
          <cell r="G2205">
            <v>240083</v>
          </cell>
          <cell r="H2205" t="str">
            <v>First Assembly of God</v>
          </cell>
          <cell r="I2205" t="str">
            <v>Lancaster</v>
          </cell>
          <cell r="K2205" t="str">
            <v>1025 Columbia Ave</v>
          </cell>
          <cell r="L2205" t="str">
            <v>PA</v>
          </cell>
          <cell r="M2205">
            <v>17603</v>
          </cell>
          <cell r="N2205" t="str">
            <v>1025 Columbia Ave Lancaster, PA 17603</v>
          </cell>
        </row>
        <row r="2206">
          <cell r="G2206">
            <v>330506</v>
          </cell>
          <cell r="H2206" t="str">
            <v>KAREN BISCHOFF</v>
          </cell>
          <cell r="I2206" t="str">
            <v>Lititz</v>
          </cell>
          <cell r="K2206" t="str">
            <v>225 New Haven Dr</v>
          </cell>
          <cell r="L2206" t="str">
            <v>PA</v>
          </cell>
          <cell r="M2206">
            <v>17543</v>
          </cell>
          <cell r="N2206" t="str">
            <v>225 New Haven Dr Lititz, PA 17543</v>
          </cell>
        </row>
        <row r="2207">
          <cell r="G2207">
            <v>241281</v>
          </cell>
          <cell r="H2207" t="str">
            <v>NORTHWEST AREA SCHOOL DIST#</v>
          </cell>
          <cell r="I2207" t="str">
            <v>Shickshinny</v>
          </cell>
          <cell r="K2207" t="str">
            <v>243 Thorne Hill Rd</v>
          </cell>
          <cell r="L2207" t="str">
            <v>PA</v>
          </cell>
          <cell r="M2207">
            <v>18655</v>
          </cell>
          <cell r="N2207" t="str">
            <v>243 Thorne Hill Rd Shickshinny, PA 18655</v>
          </cell>
        </row>
        <row r="2208">
          <cell r="G2208">
            <v>334995</v>
          </cell>
          <cell r="H2208" t="str">
            <v>MIDDLE TWP AMBULANCE CORP, INC</v>
          </cell>
          <cell r="I2208" t="str">
            <v>Cape May Court House</v>
          </cell>
          <cell r="K2208" t="str">
            <v>202 S Main St</v>
          </cell>
          <cell r="L2208" t="str">
            <v>NJ</v>
          </cell>
          <cell r="M2208">
            <v>8210</v>
          </cell>
          <cell r="N2208" t="str">
            <v>202 S Main St Cape May Court House, NJ 08210</v>
          </cell>
        </row>
        <row r="2209">
          <cell r="G2209">
            <v>346271</v>
          </cell>
          <cell r="H2209" t="str">
            <v>Provision Facility Services LL</v>
          </cell>
          <cell r="I2209" t="str">
            <v>Philadelphia</v>
          </cell>
          <cell r="K2209" t="str">
            <v>822 GRAKYN LN</v>
          </cell>
          <cell r="L2209" t="str">
            <v>PA</v>
          </cell>
          <cell r="M2209">
            <v>19128</v>
          </cell>
          <cell r="N2209" t="str">
            <v>822 GRAKYN LN Philadelphia, PA 19128</v>
          </cell>
        </row>
        <row r="2210">
          <cell r="G2210">
            <v>325687</v>
          </cell>
          <cell r="H2210" t="str">
            <v>MOUNTVILLE BOROUGH AUTHORITY</v>
          </cell>
          <cell r="I2210" t="str">
            <v>Mountville</v>
          </cell>
          <cell r="K2210" t="str">
            <v>21 E Main St</v>
          </cell>
          <cell r="L2210" t="str">
            <v>PA</v>
          </cell>
          <cell r="M2210">
            <v>17554</v>
          </cell>
          <cell r="N2210" t="str">
            <v>21 E Main St Mountville, PA 17554</v>
          </cell>
        </row>
        <row r="2211">
          <cell r="G2211">
            <v>286200</v>
          </cell>
          <cell r="H2211" t="str">
            <v>Bugajewski Facility Services</v>
          </cell>
          <cell r="I2211" t="str">
            <v>Warrington</v>
          </cell>
          <cell r="K2211" t="str">
            <v>83 S Woodridge Dr</v>
          </cell>
          <cell r="L2211" t="str">
            <v>PA</v>
          </cell>
          <cell r="M2211">
            <v>18976</v>
          </cell>
          <cell r="N2211" t="str">
            <v>83 S Woodridge Dr Warrington, PA 18976</v>
          </cell>
        </row>
        <row r="2212">
          <cell r="G2212">
            <v>470497</v>
          </cell>
          <cell r="H2212" t="str">
            <v>LEWISBURG AREA HIGH SCHOOL</v>
          </cell>
          <cell r="I2212" t="str">
            <v>Lewisburg</v>
          </cell>
          <cell r="K2212" t="str">
            <v>545 Newman Rd</v>
          </cell>
          <cell r="L2212" t="str">
            <v>PA</v>
          </cell>
          <cell r="M2212">
            <v>17837</v>
          </cell>
          <cell r="N2212" t="str">
            <v>545 Newman Rd Lewisburg, PA 17837</v>
          </cell>
        </row>
        <row r="2213">
          <cell r="G2213">
            <v>465169</v>
          </cell>
          <cell r="H2213" t="str">
            <v>Robscott Associates LLC</v>
          </cell>
          <cell r="I2213" t="str">
            <v>Wilmington</v>
          </cell>
          <cell r="K2213" t="str">
            <v>300 Water St</v>
          </cell>
          <cell r="L2213" t="str">
            <v>DE</v>
          </cell>
          <cell r="M2213">
            <v>19801</v>
          </cell>
          <cell r="N2213" t="str">
            <v>300 Water St Wilmington, DE 19801</v>
          </cell>
        </row>
        <row r="2214">
          <cell r="G2214">
            <v>481935</v>
          </cell>
          <cell r="H2214" t="str">
            <v>ELITE SPORTSWEAR</v>
          </cell>
          <cell r="I2214" t="str">
            <v>York</v>
          </cell>
          <cell r="K2214" t="str">
            <v>44 Hokes Mill Rd</v>
          </cell>
          <cell r="L2214" t="str">
            <v>PA</v>
          </cell>
          <cell r="M2214">
            <v>17404</v>
          </cell>
          <cell r="N2214" t="str">
            <v>44 Hokes Mill Rd York, PA 17404</v>
          </cell>
        </row>
        <row r="2215">
          <cell r="G2215">
            <v>239686</v>
          </cell>
          <cell r="H2215" t="str">
            <v>COMMUNITY UNITED METH</v>
          </cell>
          <cell r="I2215" t="str">
            <v>Lancaster</v>
          </cell>
          <cell r="K2215" t="str">
            <v>130 Tennyson Dr</v>
          </cell>
          <cell r="L2215" t="str">
            <v>PA</v>
          </cell>
          <cell r="M2215">
            <v>17602</v>
          </cell>
          <cell r="N2215" t="str">
            <v>130 Tennyson Dr Lancaster, PA 17602</v>
          </cell>
        </row>
        <row r="2216">
          <cell r="G2216">
            <v>285604</v>
          </cell>
          <cell r="H2216" t="str">
            <v>COLUMBIA COTTAGE - HANOVER</v>
          </cell>
          <cell r="I2216" t="str">
            <v>Hanover</v>
          </cell>
          <cell r="K2216" t="str">
            <v>2288 Grandview Rd</v>
          </cell>
          <cell r="L2216" t="str">
            <v>PA</v>
          </cell>
          <cell r="M2216">
            <v>17331</v>
          </cell>
          <cell r="N2216" t="str">
            <v>2288 Grandview Rd Hanover, PA 17331</v>
          </cell>
        </row>
        <row r="2217">
          <cell r="G2217">
            <v>317840</v>
          </cell>
          <cell r="H2217" t="str">
            <v>DONNA EICHELBERGER</v>
          </cell>
          <cell r="I2217" t="str">
            <v>Mount Joy</v>
          </cell>
          <cell r="K2217" t="str">
            <v>4538 Miller Dr</v>
          </cell>
          <cell r="L2217" t="str">
            <v>PA</v>
          </cell>
          <cell r="M2217">
            <v>17552</v>
          </cell>
          <cell r="N2217" t="str">
            <v>4538 Miller Dr Mount Joy, PA 17552</v>
          </cell>
        </row>
        <row r="2218">
          <cell r="G2218">
            <v>345532</v>
          </cell>
          <cell r="H2218" t="str">
            <v>GOCHNAUER'S HOME APPLIANCE CNT</v>
          </cell>
          <cell r="I2218" t="str">
            <v>East Petersburg</v>
          </cell>
          <cell r="K2218" t="str">
            <v>5939 Main St</v>
          </cell>
          <cell r="L2218" t="str">
            <v>PA</v>
          </cell>
          <cell r="M2218">
            <v>17520</v>
          </cell>
          <cell r="N2218" t="str">
            <v>5939 Main St East Petersburg, PA 17520</v>
          </cell>
        </row>
        <row r="2219">
          <cell r="G2219">
            <v>312587</v>
          </cell>
          <cell r="H2219" t="str">
            <v>DOMINION PEST CONTROL#</v>
          </cell>
          <cell r="I2219" t="str">
            <v>Lancaster</v>
          </cell>
          <cell r="K2219" t="str">
            <v>1400 Rohrerstown Rd</v>
          </cell>
          <cell r="L2219" t="str">
            <v>PA</v>
          </cell>
          <cell r="M2219">
            <v>17601</v>
          </cell>
          <cell r="N2219" t="str">
            <v>1400 Rohrerstown Rd Lancaster, PA 17601</v>
          </cell>
        </row>
        <row r="2220">
          <cell r="G2220">
            <v>244085</v>
          </cell>
          <cell r="H2220" t="str">
            <v>Nu Sigma Nu</v>
          </cell>
          <cell r="I2220" t="str">
            <v>Philadelphia</v>
          </cell>
          <cell r="K2220" t="str">
            <v>3904 Spruce St</v>
          </cell>
          <cell r="L2220" t="str">
            <v>PA</v>
          </cell>
          <cell r="M2220">
            <v>19104</v>
          </cell>
          <cell r="N2220" t="str">
            <v>3904 Spruce St Philadelphia, PA 19104</v>
          </cell>
        </row>
        <row r="2221">
          <cell r="G2221">
            <v>320244</v>
          </cell>
          <cell r="H2221" t="str">
            <v>BOROUGH OF ORWIGSBURG</v>
          </cell>
          <cell r="I2221" t="str">
            <v>Orwigsburg</v>
          </cell>
          <cell r="K2221" t="str">
            <v>333 S LIBERTY ST</v>
          </cell>
          <cell r="L2221" t="str">
            <v>PA</v>
          </cell>
          <cell r="M2221">
            <v>17961</v>
          </cell>
          <cell r="N2221" t="str">
            <v>333 S LIBERTY ST Orwigsburg, PA 17961</v>
          </cell>
        </row>
        <row r="2222">
          <cell r="G2222">
            <v>240342</v>
          </cell>
          <cell r="H2222" t="str">
            <v>HEADINGS INC MC</v>
          </cell>
          <cell r="I2222" t="str">
            <v>Manheim</v>
          </cell>
          <cell r="K2222" t="str">
            <v>629 Graystone Rd</v>
          </cell>
          <cell r="L2222" t="str">
            <v>PA</v>
          </cell>
          <cell r="M2222">
            <v>17545</v>
          </cell>
          <cell r="N2222" t="str">
            <v>629 Graystone Rd Manheim, PA 17545</v>
          </cell>
        </row>
        <row r="2223">
          <cell r="G2223">
            <v>298098</v>
          </cell>
          <cell r="H2223" t="str">
            <v>DONEGAL SD FOOD SERVICE</v>
          </cell>
          <cell r="I2223" t="str">
            <v>Mount Joy</v>
          </cell>
          <cell r="K2223" t="str">
            <v>1051 KOSER RD</v>
          </cell>
          <cell r="L2223" t="str">
            <v>PA</v>
          </cell>
          <cell r="M2223">
            <v>17552</v>
          </cell>
          <cell r="N2223" t="str">
            <v>1051 KOSER RD Mount Joy, PA 17552</v>
          </cell>
        </row>
        <row r="2224">
          <cell r="G2224">
            <v>482607</v>
          </cell>
          <cell r="H2224" t="str">
            <v>Moore's Laundromat</v>
          </cell>
          <cell r="I2224" t="str">
            <v>Manheim</v>
          </cell>
          <cell r="K2224" t="str">
            <v>125 E High St</v>
          </cell>
          <cell r="L2224" t="str">
            <v>PA</v>
          </cell>
          <cell r="M2224">
            <v>17545</v>
          </cell>
          <cell r="N2224" t="str">
            <v>125 E High St Manheim, PA 17545</v>
          </cell>
        </row>
        <row r="2225">
          <cell r="G2225">
            <v>245832</v>
          </cell>
          <cell r="H2225" t="str">
            <v>Fred Beans Subaru</v>
          </cell>
          <cell r="I2225" t="str">
            <v>Doylestown</v>
          </cell>
          <cell r="J2225" t="str">
            <v>Philly Suburbs - North</v>
          </cell>
          <cell r="K2225" t="str">
            <v>854 N Easton Rd</v>
          </cell>
          <cell r="L2225" t="str">
            <v>PA</v>
          </cell>
          <cell r="M2225">
            <v>18902</v>
          </cell>
          <cell r="N2225" t="str">
            <v>854 N Easton Rd Doylestown, PA 18902</v>
          </cell>
        </row>
        <row r="2226">
          <cell r="G2226">
            <v>332926</v>
          </cell>
          <cell r="H2226" t="str">
            <v>Train Collectors Association</v>
          </cell>
          <cell r="I2226" t="str">
            <v>Ronks</v>
          </cell>
          <cell r="K2226" t="str">
            <v>300 Paradise Ln</v>
          </cell>
          <cell r="L2226" t="str">
            <v>PA</v>
          </cell>
          <cell r="M2226">
            <v>17572</v>
          </cell>
          <cell r="N2226" t="str">
            <v>300 Paradise Ln Ronks, PA 17572</v>
          </cell>
        </row>
        <row r="2227">
          <cell r="G2227">
            <v>325841</v>
          </cell>
          <cell r="H2227" t="str">
            <v>LANCASTER COUNTRY CLUB</v>
          </cell>
          <cell r="I2227" t="str">
            <v>Lancaster</v>
          </cell>
          <cell r="K2227" t="str">
            <v>1466 New Holland Pike</v>
          </cell>
          <cell r="L2227" t="str">
            <v>PA</v>
          </cell>
          <cell r="M2227">
            <v>17601</v>
          </cell>
          <cell r="N2227" t="str">
            <v>1466 New Holland Pike Lancaster, PA 17601</v>
          </cell>
        </row>
        <row r="2228">
          <cell r="G2228">
            <v>438155</v>
          </cell>
          <cell r="H2228" t="str">
            <v>First Presbyterian Church of A</v>
          </cell>
          <cell r="I2228" t="str">
            <v>Ambler</v>
          </cell>
          <cell r="J2228" t="str">
            <v>Philly Subrubs - Central</v>
          </cell>
          <cell r="K2228" t="str">
            <v>4 S Ridge Ave</v>
          </cell>
          <cell r="L2228" t="str">
            <v>PA</v>
          </cell>
          <cell r="M2228">
            <v>19002</v>
          </cell>
          <cell r="N2228" t="str">
            <v>4 S Ridge Ave Ambler, PA 19002</v>
          </cell>
        </row>
        <row r="2229">
          <cell r="G2229">
            <v>317688</v>
          </cell>
          <cell r="H2229" t="str">
            <v>LESTER FRYBERGER</v>
          </cell>
          <cell r="I2229" t="str">
            <v>Conestoga</v>
          </cell>
          <cell r="K2229" t="str">
            <v>248 River Corner Rd</v>
          </cell>
          <cell r="L2229" t="str">
            <v>PA</v>
          </cell>
          <cell r="M2229">
            <v>17516</v>
          </cell>
          <cell r="N2229" t="str">
            <v>248 River Corner Rd Conestoga, PA 17516</v>
          </cell>
        </row>
        <row r="2230">
          <cell r="G2230">
            <v>483465</v>
          </cell>
          <cell r="H2230" t="str">
            <v>Central Bucks Science Dept</v>
          </cell>
          <cell r="I2230" t="str">
            <v>Doylestown</v>
          </cell>
          <cell r="J2230" t="str">
            <v>Philly Suburbs - North</v>
          </cell>
          <cell r="K2230" t="str">
            <v>16 Welden Dr</v>
          </cell>
          <cell r="L2230" t="str">
            <v>PA</v>
          </cell>
          <cell r="M2230">
            <v>18901</v>
          </cell>
          <cell r="N2230" t="str">
            <v>16 Welden Dr Doylestown, PA 18901</v>
          </cell>
        </row>
        <row r="2231">
          <cell r="G2231">
            <v>321085</v>
          </cell>
          <cell r="H2231" t="str">
            <v>SON P SEM</v>
          </cell>
          <cell r="I2231" t="str">
            <v>Lancaster</v>
          </cell>
          <cell r="K2231" t="str">
            <v>409 Parkwynne Rd</v>
          </cell>
          <cell r="L2231" t="str">
            <v>PA</v>
          </cell>
          <cell r="M2231">
            <v>17601</v>
          </cell>
          <cell r="N2231" t="str">
            <v>409 Parkwynne Rd Lancaster, PA 17601</v>
          </cell>
        </row>
        <row r="2232">
          <cell r="G2232">
            <v>480478</v>
          </cell>
          <cell r="H2232" t="str">
            <v>Martin Buildings</v>
          </cell>
          <cell r="I2232" t="str">
            <v>Ephrata</v>
          </cell>
          <cell r="K2232" t="str">
            <v>1825 W Main St</v>
          </cell>
          <cell r="L2232" t="str">
            <v>PA</v>
          </cell>
          <cell r="M2232">
            <v>17522</v>
          </cell>
          <cell r="N2232" t="str">
            <v>1825 W Main St Ephrata, PA 17522</v>
          </cell>
        </row>
        <row r="2233">
          <cell r="G2233">
            <v>428392</v>
          </cell>
          <cell r="H2233" t="str">
            <v>Walton Farm Elementary School</v>
          </cell>
          <cell r="I2233" t="str">
            <v>Lansdale</v>
          </cell>
          <cell r="K2233" t="str">
            <v>1610 Allentown Rd</v>
          </cell>
          <cell r="L2233" t="str">
            <v>PA</v>
          </cell>
          <cell r="M2233">
            <v>19446</v>
          </cell>
          <cell r="N2233" t="str">
            <v>1610 Allentown Rd Lansdale, PA 19446</v>
          </cell>
        </row>
        <row r="2234">
          <cell r="G2234">
            <v>331079</v>
          </cell>
          <cell r="H2234" t="str">
            <v>TOWNSHIP OF CUMRU*</v>
          </cell>
          <cell r="I2234" t="str">
            <v>Mohnton</v>
          </cell>
          <cell r="K2234" t="str">
            <v>1775 Welsh Rd</v>
          </cell>
          <cell r="L2234" t="str">
            <v>PA</v>
          </cell>
          <cell r="M2234">
            <v>19540</v>
          </cell>
          <cell r="N2234" t="str">
            <v>1775 Welsh Rd Mohnton, PA 19540</v>
          </cell>
        </row>
        <row r="2235">
          <cell r="G2235">
            <v>342785</v>
          </cell>
          <cell r="H2235" t="str">
            <v>SAINT FRANCIS ANIMAL HOSPITAL</v>
          </cell>
          <cell r="I2235" t="str">
            <v>Mountville</v>
          </cell>
          <cell r="K2235" t="str">
            <v>308 Primrose Ln</v>
          </cell>
          <cell r="L2235" t="str">
            <v>PA</v>
          </cell>
          <cell r="M2235">
            <v>17554</v>
          </cell>
          <cell r="N2235" t="str">
            <v>308 Primrose Ln Mountville, PA 17554</v>
          </cell>
        </row>
        <row r="2236">
          <cell r="G2236">
            <v>242462</v>
          </cell>
          <cell r="H2236" t="str">
            <v>Yorkana Congregation of</v>
          </cell>
          <cell r="I2236" t="str">
            <v>York</v>
          </cell>
          <cell r="K2236" t="str">
            <v>4054 Park Ln</v>
          </cell>
          <cell r="L2236" t="str">
            <v>PA</v>
          </cell>
          <cell r="M2236">
            <v>17406</v>
          </cell>
          <cell r="N2236" t="str">
            <v>4054 Park Ln York, PA 17406</v>
          </cell>
        </row>
        <row r="2237">
          <cell r="G2237">
            <v>292991</v>
          </cell>
          <cell r="H2237" t="str">
            <v>CROSSWAY CHURCH</v>
          </cell>
          <cell r="I2237" t="str">
            <v>Millersville</v>
          </cell>
          <cell r="K2237" t="str">
            <v>330 Barbara St</v>
          </cell>
          <cell r="L2237" t="str">
            <v>PA</v>
          </cell>
          <cell r="M2237">
            <v>17551</v>
          </cell>
          <cell r="N2237" t="str">
            <v>330 Barbara St Millersville, PA 17551</v>
          </cell>
        </row>
        <row r="2238">
          <cell r="G2238">
            <v>241811</v>
          </cell>
          <cell r="H2238" t="str">
            <v>SIGAFOOSE &amp; JACKSON</v>
          </cell>
          <cell r="I2238" t="str">
            <v>York</v>
          </cell>
          <cell r="K2238" t="str">
            <v>2816 E Market St</v>
          </cell>
          <cell r="L2238" t="str">
            <v>PA</v>
          </cell>
          <cell r="M2238">
            <v>17402</v>
          </cell>
          <cell r="N2238" t="str">
            <v>2816 E Market St York, PA 17402</v>
          </cell>
        </row>
        <row r="2239">
          <cell r="G2239">
            <v>416673</v>
          </cell>
          <cell r="H2239" t="str">
            <v>Claymont Elementary School</v>
          </cell>
          <cell r="I2239" t="str">
            <v>Claymont</v>
          </cell>
          <cell r="K2239" t="str">
            <v>3401 Green St</v>
          </cell>
          <cell r="L2239" t="str">
            <v>DE</v>
          </cell>
          <cell r="M2239">
            <v>19703</v>
          </cell>
          <cell r="N2239" t="str">
            <v>3401 Green St Claymont, DE 19703</v>
          </cell>
        </row>
        <row r="2240">
          <cell r="G2240">
            <v>417804</v>
          </cell>
          <cell r="H2240" t="str">
            <v>Lombardy Elementary School</v>
          </cell>
          <cell r="I2240" t="str">
            <v>Wilmington</v>
          </cell>
          <cell r="K2240" t="str">
            <v>412 Foulk Rd</v>
          </cell>
          <cell r="L2240" t="str">
            <v>DE</v>
          </cell>
          <cell r="M2240">
            <v>19803</v>
          </cell>
          <cell r="N2240" t="str">
            <v>412 Foulk Rd Wilmington, DE 19803</v>
          </cell>
        </row>
        <row r="2241">
          <cell r="G2241">
            <v>418422</v>
          </cell>
          <cell r="H2241" t="str">
            <v>P.S. DuPont Elementary School</v>
          </cell>
          <cell r="I2241" t="str">
            <v>Wilmington</v>
          </cell>
          <cell r="K2241" t="str">
            <v>701 W 34th St</v>
          </cell>
          <cell r="L2241" t="str">
            <v>DE</v>
          </cell>
          <cell r="M2241">
            <v>19802</v>
          </cell>
          <cell r="N2241" t="str">
            <v>701 W 34th St Wilmington, DE 19802</v>
          </cell>
        </row>
        <row r="2242">
          <cell r="G2242">
            <v>449041</v>
          </cell>
          <cell r="H2242" t="str">
            <v>All In One Building Services</v>
          </cell>
          <cell r="I2242" t="str">
            <v>Harleysville</v>
          </cell>
          <cell r="K2242" t="str">
            <v>138 Morris Rd</v>
          </cell>
          <cell r="L2242" t="str">
            <v>PA</v>
          </cell>
          <cell r="M2242">
            <v>19438</v>
          </cell>
          <cell r="N2242" t="str">
            <v>138 Morris Rd Harleysville, PA 19438</v>
          </cell>
        </row>
        <row r="2243">
          <cell r="G2243">
            <v>286370</v>
          </cell>
          <cell r="H2243" t="str">
            <v>BLACK &amp; BLACK DENTAL LLC</v>
          </cell>
          <cell r="I2243" t="str">
            <v>Willow Street</v>
          </cell>
          <cell r="K2243" t="str">
            <v>2600 Willow Street Pike N</v>
          </cell>
          <cell r="L2243" t="str">
            <v>PA</v>
          </cell>
          <cell r="M2243">
            <v>17584</v>
          </cell>
          <cell r="N2243" t="str">
            <v>2600 Willow Street Pike N Willow Street, PA 17584</v>
          </cell>
        </row>
        <row r="2244">
          <cell r="G2244">
            <v>255513</v>
          </cell>
          <cell r="H2244" t="str">
            <v>Calvary Assembly of God</v>
          </cell>
          <cell r="I2244" t="str">
            <v>Dover</v>
          </cell>
          <cell r="K2244" t="str">
            <v>1141 E Lebanon Rd</v>
          </cell>
          <cell r="L2244" t="str">
            <v>DE</v>
          </cell>
          <cell r="M2244">
            <v>19901</v>
          </cell>
          <cell r="N2244" t="str">
            <v>1141 E Lebanon Rd Dover, DE 19901</v>
          </cell>
        </row>
        <row r="2245">
          <cell r="G2245">
            <v>415495</v>
          </cell>
          <cell r="H2245" t="str">
            <v>GREEN ACRES LAUNDRY CENTER</v>
          </cell>
          <cell r="I2245" t="str">
            <v>AKRON</v>
          </cell>
          <cell r="J2245" t="str">
            <v>Lancaster - NE</v>
          </cell>
          <cell r="K2245" t="str">
            <v>328 S 7th St</v>
          </cell>
          <cell r="L2245" t="str">
            <v>PA</v>
          </cell>
          <cell r="M2245">
            <v>17501</v>
          </cell>
          <cell r="N2245" t="str">
            <v>328 S 7th St AKRON, PA 17501</v>
          </cell>
        </row>
        <row r="2246">
          <cell r="G2246">
            <v>308164</v>
          </cell>
          <cell r="H2246" t="str">
            <v>CC - Eye Physicians</v>
          </cell>
          <cell r="I2246" t="str">
            <v>Old Bridge</v>
          </cell>
          <cell r="K2246" t="str">
            <v>28 Throckmorton Ln</v>
          </cell>
          <cell r="L2246" t="str">
            <v>NJ</v>
          </cell>
          <cell r="M2246">
            <v>8857</v>
          </cell>
          <cell r="N2246" t="str">
            <v>28 Throckmorton Ln Old Bridge, NJ 08857</v>
          </cell>
        </row>
        <row r="2247">
          <cell r="G2247">
            <v>334923</v>
          </cell>
          <cell r="H2247" t="str">
            <v>FMC Foods LLC</v>
          </cell>
          <cell r="I2247" t="str">
            <v>Lansdale</v>
          </cell>
          <cell r="K2247" t="str">
            <v>220 Forty Foot Rd</v>
          </cell>
          <cell r="L2247" t="str">
            <v>PA</v>
          </cell>
          <cell r="M2247">
            <v>19446</v>
          </cell>
          <cell r="N2247" t="str">
            <v>220 Forty Foot Rd Lansdale, PA 19446</v>
          </cell>
        </row>
        <row r="2248">
          <cell r="G2248">
            <v>471302</v>
          </cell>
          <cell r="H2248" t="str">
            <v>Cold Spring Elementary</v>
          </cell>
          <cell r="I2248" t="str">
            <v>Doylestown</v>
          </cell>
          <cell r="J2248" t="str">
            <v>Philly Suburbs - North</v>
          </cell>
          <cell r="K2248" t="str">
            <v>4150 Durham Rd</v>
          </cell>
          <cell r="L2248" t="str">
            <v>PA</v>
          </cell>
          <cell r="M2248">
            <v>18902</v>
          </cell>
          <cell r="N2248" t="str">
            <v>4150 Durham Rd Doylestown, PA 18902</v>
          </cell>
        </row>
        <row r="2249">
          <cell r="G2249">
            <v>239099</v>
          </cell>
          <cell r="H2249" t="str">
            <v>ABACUS SURFACES INC</v>
          </cell>
          <cell r="I2249" t="str">
            <v>Lancaster</v>
          </cell>
          <cell r="K2249" t="str">
            <v>2330 Dairy Rd</v>
          </cell>
          <cell r="L2249" t="str">
            <v>PA</v>
          </cell>
          <cell r="M2249">
            <v>17601</v>
          </cell>
          <cell r="N2249" t="str">
            <v>2330 Dairy Rd Lancaster, PA 17601</v>
          </cell>
        </row>
        <row r="2250">
          <cell r="G2250">
            <v>281256</v>
          </cell>
          <cell r="H2250" t="str">
            <v>ZOOK MOLASSES CO</v>
          </cell>
          <cell r="I2250" t="str">
            <v>Honey Brook</v>
          </cell>
          <cell r="K2250" t="str">
            <v>4960 Horseshoe Pike</v>
          </cell>
          <cell r="L2250" t="str">
            <v>PA</v>
          </cell>
          <cell r="M2250">
            <v>19344</v>
          </cell>
          <cell r="N2250" t="str">
            <v>4960 Horseshoe Pike Honey Brook, PA 19344</v>
          </cell>
        </row>
        <row r="2251">
          <cell r="G2251">
            <v>446148</v>
          </cell>
          <cell r="H2251" t="str">
            <v>Gabby Quinlan</v>
          </cell>
          <cell r="I2251" t="str">
            <v>Wilmington</v>
          </cell>
          <cell r="K2251" t="str">
            <v>5804 Kennett Pike</v>
          </cell>
          <cell r="L2251" t="str">
            <v>DE</v>
          </cell>
          <cell r="M2251">
            <v>19807</v>
          </cell>
          <cell r="N2251" t="str">
            <v>5804 Kennett Pike Wilmington, DE 19807</v>
          </cell>
        </row>
        <row r="2252">
          <cell r="G2252">
            <v>318367</v>
          </cell>
          <cell r="H2252" t="str">
            <v>HI TECH COMMERCE LLC#</v>
          </cell>
          <cell r="I2252" t="str">
            <v>Ephrata</v>
          </cell>
          <cell r="K2252" t="str">
            <v>55 New St Ste 1</v>
          </cell>
          <cell r="L2252" t="str">
            <v>PA</v>
          </cell>
          <cell r="M2252">
            <v>17522</v>
          </cell>
          <cell r="N2252" t="str">
            <v>55 New St Ste 1 Ephrata, PA 17522</v>
          </cell>
        </row>
        <row r="2253">
          <cell r="G2253">
            <v>240870</v>
          </cell>
          <cell r="H2253" t="str">
            <v>LEOLA UNITED METHODIST CHURCH</v>
          </cell>
          <cell r="I2253" t="str">
            <v>Leola</v>
          </cell>
          <cell r="K2253" t="str">
            <v>7 W Main St</v>
          </cell>
          <cell r="L2253" t="str">
            <v>PA</v>
          </cell>
          <cell r="M2253">
            <v>17540</v>
          </cell>
          <cell r="N2253" t="str">
            <v>7 W Main St Leola, PA 17540</v>
          </cell>
        </row>
        <row r="2254">
          <cell r="G2254">
            <v>480511</v>
          </cell>
          <cell r="H2254" t="str">
            <v>MASONIC VILLAGE LANDSCAPE-FARM</v>
          </cell>
          <cell r="I2254" t="str">
            <v>ELIZABETHTOWN</v>
          </cell>
          <cell r="K2254" t="str">
            <v>137 PUMP HOUSE LANE</v>
          </cell>
          <cell r="L2254" t="str">
            <v>PA</v>
          </cell>
          <cell r="M2254">
            <v>17022</v>
          </cell>
          <cell r="N2254" t="str">
            <v>137 PUMP HOUSE LANE ELIZABETHTOWN, PA 17022</v>
          </cell>
        </row>
        <row r="2255">
          <cell r="G2255">
            <v>282323</v>
          </cell>
          <cell r="H2255" t="str">
            <v>St  Christopher's Hospital</v>
          </cell>
          <cell r="I2255" t="str">
            <v>Philadelphia</v>
          </cell>
          <cell r="K2255" t="str">
            <v>3601 A St</v>
          </cell>
          <cell r="L2255" t="str">
            <v>PA</v>
          </cell>
          <cell r="M2255">
            <v>19134</v>
          </cell>
          <cell r="N2255" t="str">
            <v>3601 A St Philadelphia, PA 19134</v>
          </cell>
        </row>
        <row r="2256">
          <cell r="G2256">
            <v>253928</v>
          </cell>
          <cell r="H2256" t="str">
            <v>Nadiya Litovska</v>
          </cell>
          <cell r="I2256" t="str">
            <v>Philadelphia</v>
          </cell>
          <cell r="K2256" t="str">
            <v>9119 Mather St</v>
          </cell>
          <cell r="L2256" t="str">
            <v>PA</v>
          </cell>
          <cell r="M2256">
            <v>19115</v>
          </cell>
          <cell r="N2256" t="str">
            <v>9119 Mather St Philadelphia, PA 19115</v>
          </cell>
        </row>
        <row r="2257">
          <cell r="G2257">
            <v>239895</v>
          </cell>
          <cell r="H2257" t="str">
            <v>DUREX COVERING INC#</v>
          </cell>
          <cell r="I2257" t="str">
            <v>Brownstown</v>
          </cell>
          <cell r="K2257" t="str">
            <v>53 Industrial Dr</v>
          </cell>
          <cell r="L2257" t="str">
            <v>PA</v>
          </cell>
          <cell r="M2257">
            <v>17508</v>
          </cell>
          <cell r="N2257" t="str">
            <v>53 Industrial Dr Brownstown, PA 17508</v>
          </cell>
        </row>
        <row r="2258">
          <cell r="G2258">
            <v>241519</v>
          </cell>
          <cell r="H2258" t="str">
            <v>RAINBOW CLEANING SVC MC</v>
          </cell>
          <cell r="I2258" t="str">
            <v>Lancaster</v>
          </cell>
          <cell r="K2258" t="str">
            <v>2203 Stratford Rd</v>
          </cell>
          <cell r="L2258" t="str">
            <v>PA</v>
          </cell>
          <cell r="M2258">
            <v>17603</v>
          </cell>
          <cell r="N2258" t="str">
            <v>2203 Stratford Rd Lancaster, PA 17603</v>
          </cell>
        </row>
        <row r="2259">
          <cell r="G2259">
            <v>244036</v>
          </cell>
          <cell r="H2259" t="str">
            <v>Neshaminy School District</v>
          </cell>
          <cell r="I2259" t="str">
            <v>Langhorne</v>
          </cell>
          <cell r="K2259" t="str">
            <v>2001 Old Lincoln Hwy</v>
          </cell>
          <cell r="L2259" t="str">
            <v>PA</v>
          </cell>
          <cell r="M2259">
            <v>19047</v>
          </cell>
          <cell r="N2259" t="str">
            <v>2001 Old Lincoln Hwy Langhorne, PA 19047</v>
          </cell>
        </row>
        <row r="2260">
          <cell r="G2260">
            <v>319048</v>
          </cell>
          <cell r="H2260" t="str">
            <v>BUCH FUNERAL HOME#</v>
          </cell>
          <cell r="I2260" t="str">
            <v>Manheim</v>
          </cell>
          <cell r="K2260" t="str">
            <v>21 Market Sq</v>
          </cell>
          <cell r="L2260" t="str">
            <v>PA</v>
          </cell>
          <cell r="M2260">
            <v>17545</v>
          </cell>
          <cell r="N2260" t="str">
            <v>21 Market Sq Manheim, PA 17545</v>
          </cell>
        </row>
        <row r="2261">
          <cell r="G2261">
            <v>298486</v>
          </cell>
          <cell r="H2261" t="str">
            <v>Camden's Promise Charter Middl</v>
          </cell>
          <cell r="I2261" t="str">
            <v>Camden</v>
          </cell>
          <cell r="J2261" t="str">
            <v>Camden</v>
          </cell>
          <cell r="K2261" t="str">
            <v>879 Beideman Ave</v>
          </cell>
          <cell r="L2261" t="str">
            <v>NJ</v>
          </cell>
          <cell r="M2261">
            <v>8105</v>
          </cell>
          <cell r="N2261" t="str">
            <v>879 Beideman Ave Camden, NJ 08105</v>
          </cell>
        </row>
        <row r="2262">
          <cell r="G2262">
            <v>241108</v>
          </cell>
          <cell r="H2262" t="str">
            <v>MICHAELS MOTOR CARS</v>
          </cell>
          <cell r="I2262" t="str">
            <v>Lancaster</v>
          </cell>
          <cell r="K2262" t="str">
            <v>922 N Queen St</v>
          </cell>
          <cell r="L2262" t="str">
            <v>PA</v>
          </cell>
          <cell r="M2262">
            <v>17603</v>
          </cell>
          <cell r="N2262" t="str">
            <v>922 N Queen St Lancaster, PA 17603</v>
          </cell>
        </row>
        <row r="2263">
          <cell r="G2263">
            <v>246280</v>
          </cell>
          <cell r="H2263" t="str">
            <v>The national Shrine of Czestoc</v>
          </cell>
          <cell r="I2263" t="str">
            <v>Doylestown</v>
          </cell>
          <cell r="J2263" t="str">
            <v>Philly Suburbs - North</v>
          </cell>
          <cell r="K2263" t="str">
            <v>654 Ferry Rd</v>
          </cell>
          <cell r="L2263" t="str">
            <v>PA</v>
          </cell>
          <cell r="M2263">
            <v>18901</v>
          </cell>
          <cell r="N2263" t="str">
            <v>654 Ferry Rd Doylestown, PA 18901</v>
          </cell>
        </row>
        <row r="2264">
          <cell r="G2264">
            <v>461668</v>
          </cell>
          <cell r="H2264" t="str">
            <v>Inglewood Elementary School</v>
          </cell>
          <cell r="I2264" t="str">
            <v>Lansdale</v>
          </cell>
          <cell r="K2264" t="str">
            <v>1313 Allentown Rd</v>
          </cell>
          <cell r="L2264" t="str">
            <v>PA</v>
          </cell>
          <cell r="M2264">
            <v>19446</v>
          </cell>
          <cell r="N2264" t="str">
            <v>1313 Allentown Rd Lansdale, PA 19446</v>
          </cell>
        </row>
        <row r="2265">
          <cell r="G2265">
            <v>239214</v>
          </cell>
          <cell r="H2265" t="str">
            <v>ASCENSION LUTHERAN CHURCH#</v>
          </cell>
          <cell r="I2265" t="str">
            <v>Willow Street</v>
          </cell>
          <cell r="K2265" t="str">
            <v>600 EAST PENN GRANT RD</v>
          </cell>
          <cell r="L2265" t="str">
            <v>PA</v>
          </cell>
          <cell r="M2265">
            <v>17584</v>
          </cell>
          <cell r="N2265" t="str">
            <v>600 EAST PENN GRANT RD Willow Street, PA 17584</v>
          </cell>
        </row>
        <row r="2266">
          <cell r="G2266">
            <v>341326</v>
          </cell>
          <cell r="H2266" t="str">
            <v>Pet Food Experts</v>
          </cell>
          <cell r="I2266" t="str">
            <v>Denver</v>
          </cell>
          <cell r="K2266" t="str">
            <v>561 S Muddy Creek Rd</v>
          </cell>
          <cell r="L2266" t="str">
            <v>PA</v>
          </cell>
          <cell r="M2266">
            <v>17517</v>
          </cell>
          <cell r="N2266" t="str">
            <v>561 S Muddy Creek Rd Denver, PA 17517</v>
          </cell>
        </row>
        <row r="2267">
          <cell r="G2267">
            <v>242862</v>
          </cell>
          <cell r="H2267" t="str">
            <v>Addisville Reformed Church</v>
          </cell>
          <cell r="I2267" t="str">
            <v>Richboro</v>
          </cell>
          <cell r="J2267" t="str">
            <v>Philly Suburbs - North</v>
          </cell>
          <cell r="K2267" t="str">
            <v>945 2nd Street Pike</v>
          </cell>
          <cell r="L2267" t="str">
            <v>PA</v>
          </cell>
          <cell r="M2267">
            <v>18954</v>
          </cell>
          <cell r="N2267" t="str">
            <v>945 2nd Street Pike Richboro, PA 18954</v>
          </cell>
        </row>
        <row r="2268">
          <cell r="G2268">
            <v>328686</v>
          </cell>
          <cell r="H2268" t="str">
            <v>DEREK EICHELBERGER</v>
          </cell>
          <cell r="I2268" t="str">
            <v>Millersville</v>
          </cell>
          <cell r="K2268" t="str">
            <v>17 Blue Rock Rd</v>
          </cell>
          <cell r="L2268" t="str">
            <v>PA</v>
          </cell>
          <cell r="M2268">
            <v>17551</v>
          </cell>
          <cell r="N2268" t="str">
            <v>17 Blue Rock Rd Millersville, PA 17551</v>
          </cell>
        </row>
        <row r="2269">
          <cell r="G2269">
            <v>479839</v>
          </cell>
          <cell r="H2269" t="str">
            <v>Morning Star Fellowship</v>
          </cell>
          <cell r="I2269" t="str">
            <v>Pennsburg</v>
          </cell>
          <cell r="K2269" t="str">
            <v>2788 Geryville Pike</v>
          </cell>
          <cell r="L2269" t="str">
            <v>PA</v>
          </cell>
          <cell r="M2269">
            <v>18073</v>
          </cell>
          <cell r="N2269" t="str">
            <v>2788 Geryville Pike Pennsburg, PA 18073</v>
          </cell>
        </row>
        <row r="2270">
          <cell r="G2270">
            <v>315984</v>
          </cell>
          <cell r="H2270" t="str">
            <v>GREG CAVOLI V#</v>
          </cell>
          <cell r="I2270" t="str">
            <v>Harrisburg</v>
          </cell>
          <cell r="K2270" t="str">
            <v>2450 Kensington Way</v>
          </cell>
          <cell r="L2270" t="str">
            <v>PA</v>
          </cell>
          <cell r="M2270">
            <v>17112</v>
          </cell>
          <cell r="N2270" t="str">
            <v>2450 Kensington Way Harrisburg, PA 17112</v>
          </cell>
        </row>
        <row r="2271">
          <cell r="G2271">
            <v>241418</v>
          </cell>
          <cell r="H2271" t="str">
            <v>PEQUEA VALLEY SCHOOL DIST</v>
          </cell>
          <cell r="I2271" t="str">
            <v>Kinzers</v>
          </cell>
          <cell r="K2271" t="str">
            <v>166 S New Holland Rd</v>
          </cell>
          <cell r="L2271" t="str">
            <v>PA</v>
          </cell>
          <cell r="M2271">
            <v>17535</v>
          </cell>
          <cell r="N2271" t="str">
            <v>166 S New Holland Rd Kinzers, PA 17535</v>
          </cell>
        </row>
        <row r="2272">
          <cell r="G2272">
            <v>241362</v>
          </cell>
          <cell r="H2272" t="str">
            <v>MICHAEL FOODS</v>
          </cell>
          <cell r="I2272" t="str">
            <v>Klingerstown</v>
          </cell>
          <cell r="K2272" t="str">
            <v>68 Spain Rd</v>
          </cell>
          <cell r="L2272" t="str">
            <v>PA</v>
          </cell>
          <cell r="M2272">
            <v>17941</v>
          </cell>
          <cell r="N2272" t="str">
            <v>68 Spain Rd Klingerstown, PA 17941</v>
          </cell>
        </row>
        <row r="2273">
          <cell r="G2273">
            <v>240087</v>
          </cell>
          <cell r="H2273" t="str">
            <v>Chestnut Hill Church at Lancas</v>
          </cell>
          <cell r="I2273" t="str">
            <v>Lancaster</v>
          </cell>
          <cell r="K2273" t="str">
            <v>344 W Chestnut St</v>
          </cell>
          <cell r="L2273" t="str">
            <v>PA</v>
          </cell>
          <cell r="M2273">
            <v>17603</v>
          </cell>
          <cell r="N2273" t="str">
            <v>344 W Chestnut St Lancaster, PA 17603</v>
          </cell>
        </row>
        <row r="2274">
          <cell r="G2274">
            <v>308251</v>
          </cell>
          <cell r="H2274" t="str">
            <v>SPOOKY NOOK HOTEL LLC</v>
          </cell>
          <cell r="I2274" t="str">
            <v>Manheim</v>
          </cell>
          <cell r="K2274" t="str">
            <v>2913 Spooky Nook Rd</v>
          </cell>
          <cell r="L2274" t="str">
            <v>PA</v>
          </cell>
          <cell r="M2274">
            <v>17545</v>
          </cell>
          <cell r="N2274" t="str">
            <v>2913 Spooky Nook Rd Manheim, PA 17545</v>
          </cell>
        </row>
        <row r="2275">
          <cell r="G2275">
            <v>265725</v>
          </cell>
          <cell r="H2275" t="str">
            <v>CHILD EVANGELISM &amp; FELLOWSHIP</v>
          </cell>
          <cell r="I2275" t="str">
            <v>East Petersburg</v>
          </cell>
          <cell r="K2275" t="str">
            <v>5307 Main St</v>
          </cell>
          <cell r="L2275" t="str">
            <v>PA</v>
          </cell>
          <cell r="M2275">
            <v>17520</v>
          </cell>
          <cell r="N2275" t="str">
            <v>5307 Main St East Petersburg, PA 17520</v>
          </cell>
        </row>
        <row r="2276">
          <cell r="G2276">
            <v>272584</v>
          </cell>
          <cell r="H2276" t="str">
            <v>Oxymagic of Bux-Mont LLC</v>
          </cell>
          <cell r="I2276" t="str">
            <v>Chalfont</v>
          </cell>
          <cell r="K2276" t="str">
            <v>417 Winding Ln</v>
          </cell>
          <cell r="L2276" t="str">
            <v>PA</v>
          </cell>
          <cell r="M2276">
            <v>18914</v>
          </cell>
          <cell r="N2276" t="str">
            <v>417 Winding Ln Chalfont, PA 18914</v>
          </cell>
        </row>
        <row r="2277">
          <cell r="G2277">
            <v>306389</v>
          </cell>
          <cell r="H2277" t="str">
            <v>CENTRAL SUSQUEHANNA INTERMEDIA</v>
          </cell>
          <cell r="I2277" t="str">
            <v>Milton</v>
          </cell>
          <cell r="K2277" t="str">
            <v>90 Lawton Ln</v>
          </cell>
          <cell r="L2277" t="str">
            <v>PA</v>
          </cell>
          <cell r="M2277">
            <v>17847</v>
          </cell>
          <cell r="N2277" t="str">
            <v>90 Lawton Ln Milton, PA 17847</v>
          </cell>
        </row>
        <row r="2278">
          <cell r="G2278">
            <v>240921</v>
          </cell>
          <cell r="H2278" t="str">
            <v>LOCAL 1872 UAW#</v>
          </cell>
          <cell r="I2278" t="str">
            <v>York</v>
          </cell>
          <cell r="K2278" t="str">
            <v>3562 Gillespie Dr</v>
          </cell>
          <cell r="L2278" t="str">
            <v>PA</v>
          </cell>
          <cell r="M2278">
            <v>17404</v>
          </cell>
          <cell r="N2278" t="str">
            <v>3562 Gillespie Dr York, PA 17404</v>
          </cell>
        </row>
        <row r="2279">
          <cell r="G2279">
            <v>433644</v>
          </cell>
          <cell r="H2279" t="str">
            <v>NASD Maintenance Building</v>
          </cell>
          <cell r="I2279" t="str">
            <v>Northampton</v>
          </cell>
          <cell r="K2279" t="str">
            <v>100 Held Dr</v>
          </cell>
          <cell r="L2279" t="str">
            <v>PA</v>
          </cell>
          <cell r="M2279">
            <v>18067</v>
          </cell>
          <cell r="N2279" t="str">
            <v>100 Held Dr Northampton, PA 18067</v>
          </cell>
        </row>
        <row r="2280">
          <cell r="G2280">
            <v>242396</v>
          </cell>
          <cell r="H2280" t="str">
            <v>WICKERSHAM CONSTRUCTION#</v>
          </cell>
          <cell r="I2280" t="str">
            <v>Lancaster</v>
          </cell>
          <cell r="K2280" t="str">
            <v>777 E Ross St</v>
          </cell>
          <cell r="L2280" t="str">
            <v>PA</v>
          </cell>
          <cell r="M2280">
            <v>17602</v>
          </cell>
          <cell r="N2280" t="str">
            <v>777 E Ross St Lancaster, PA 17602</v>
          </cell>
        </row>
        <row r="2281">
          <cell r="G2281">
            <v>344733</v>
          </cell>
          <cell r="H2281" t="str">
            <v>TRINITY LUTHERAN CHURCH</v>
          </cell>
          <cell r="I2281" t="str">
            <v>Mount Joy</v>
          </cell>
          <cell r="K2281" t="str">
            <v>47 W Main St</v>
          </cell>
          <cell r="L2281" t="str">
            <v>PA</v>
          </cell>
          <cell r="M2281">
            <v>17552</v>
          </cell>
          <cell r="N2281" t="str">
            <v>47 W Main St Mount Joy, PA 17552</v>
          </cell>
        </row>
        <row r="2282">
          <cell r="G2282">
            <v>302892</v>
          </cell>
          <cell r="H2282" t="str">
            <v>CLEAN RIGHT BUILDING SERV INC#</v>
          </cell>
          <cell r="I2282" t="str">
            <v>EXTON</v>
          </cell>
          <cell r="K2282" t="str">
            <v>?</v>
          </cell>
          <cell r="L2282" t="str">
            <v>PA</v>
          </cell>
          <cell r="M2282">
            <v>19341</v>
          </cell>
          <cell r="N2282" t="str">
            <v>? EXTON, PA 19341</v>
          </cell>
        </row>
        <row r="2283">
          <cell r="G2283">
            <v>301035</v>
          </cell>
          <cell r="H2283" t="str">
            <v>CLAY TOWNSHIP</v>
          </cell>
          <cell r="I2283" t="str">
            <v>Stevens</v>
          </cell>
          <cell r="K2283" t="str">
            <v>870 Durlach Rd</v>
          </cell>
          <cell r="L2283" t="str">
            <v>PA</v>
          </cell>
          <cell r="M2283">
            <v>17578</v>
          </cell>
          <cell r="N2283" t="str">
            <v>870 Durlach Rd Stevens, PA 17578</v>
          </cell>
        </row>
        <row r="2284">
          <cell r="G2284">
            <v>345037</v>
          </cell>
          <cell r="H2284" t="str">
            <v>Anne Marie Ermolovich</v>
          </cell>
          <cell r="I2284" t="str">
            <v>Old Forge</v>
          </cell>
          <cell r="K2284" t="str">
            <v>10 Tanya Dr</v>
          </cell>
          <cell r="L2284" t="str">
            <v>PA</v>
          </cell>
          <cell r="M2284">
            <v>18518</v>
          </cell>
          <cell r="N2284" t="str">
            <v>10 Tanya Dr Old Forge, PA 18518</v>
          </cell>
        </row>
        <row r="2285">
          <cell r="G2285">
            <v>240419</v>
          </cell>
          <cell r="H2285" t="str">
            <v>HINKLETOWN MENNONITE SCHOOL M</v>
          </cell>
          <cell r="I2285" t="str">
            <v>Ephrata</v>
          </cell>
          <cell r="K2285" t="str">
            <v>272 Wanner Rd</v>
          </cell>
          <cell r="L2285" t="str">
            <v>PA</v>
          </cell>
          <cell r="M2285">
            <v>17522</v>
          </cell>
          <cell r="N2285" t="str">
            <v>272 Wanner Rd Ephrata, PA 17522</v>
          </cell>
        </row>
        <row r="2286">
          <cell r="G2286">
            <v>483635</v>
          </cell>
          <cell r="H2286" t="str">
            <v>KG Apartments</v>
          </cell>
          <cell r="I2286" t="str">
            <v>Kennett Square</v>
          </cell>
          <cell r="K2286" t="str">
            <v>660 Cypress St</v>
          </cell>
          <cell r="L2286" t="str">
            <v>PA</v>
          </cell>
          <cell r="M2286">
            <v>19348</v>
          </cell>
          <cell r="N2286" t="str">
            <v>660 Cypress St Kennett Square, PA 19348</v>
          </cell>
        </row>
        <row r="2287">
          <cell r="G2287">
            <v>241012</v>
          </cell>
          <cell r="H2287" t="str">
            <v>MANHEIM PIKE VETERINARY</v>
          </cell>
          <cell r="I2287" t="str">
            <v>Lancaster</v>
          </cell>
          <cell r="K2287" t="str">
            <v>1669 Manheim Pike</v>
          </cell>
          <cell r="L2287" t="str">
            <v>PA</v>
          </cell>
          <cell r="M2287">
            <v>17601</v>
          </cell>
          <cell r="N2287" t="str">
            <v>1669 Manheim Pike Lancaster, PA 17601</v>
          </cell>
        </row>
        <row r="2288">
          <cell r="G2288">
            <v>239319</v>
          </cell>
          <cell r="H2288" t="str">
            <v>BIRD IN HAND FARMERS MRKT</v>
          </cell>
          <cell r="I2288" t="str">
            <v>Bird in Hand</v>
          </cell>
          <cell r="K2288" t="str">
            <v>2710 Old Philadelphia Pike</v>
          </cell>
          <cell r="L2288" t="str">
            <v>PA</v>
          </cell>
          <cell r="M2288">
            <v>17505</v>
          </cell>
          <cell r="N2288" t="str">
            <v>2710 Old Philadelphia Pike Bird in Hand, PA 17505</v>
          </cell>
        </row>
        <row r="2289">
          <cell r="G2289">
            <v>456350</v>
          </cell>
          <cell r="H2289" t="str">
            <v>LOWER DAUPHIN HIGH SCHOOL</v>
          </cell>
          <cell r="I2289" t="str">
            <v>Hummelstown</v>
          </cell>
          <cell r="K2289" t="str">
            <v>201 S Hanover St</v>
          </cell>
          <cell r="L2289" t="str">
            <v>PA</v>
          </cell>
          <cell r="M2289">
            <v>17036</v>
          </cell>
          <cell r="N2289" t="str">
            <v>201 S Hanover St Hummelstown, PA 17036</v>
          </cell>
        </row>
        <row r="2290">
          <cell r="G2290">
            <v>264913</v>
          </cell>
          <cell r="H2290" t="str">
            <v>BKG Company Inc</v>
          </cell>
          <cell r="I2290" t="str">
            <v>Telford</v>
          </cell>
          <cell r="K2290" t="str">
            <v>2990 Clymer Ave</v>
          </cell>
          <cell r="L2290" t="str">
            <v>PA</v>
          </cell>
          <cell r="M2290">
            <v>18969</v>
          </cell>
          <cell r="N2290" t="str">
            <v>2990 Clymer Ave Telford, PA 18969</v>
          </cell>
        </row>
        <row r="2291">
          <cell r="G2291">
            <v>346266</v>
          </cell>
          <cell r="H2291" t="str">
            <v>CARMEN SIMONE</v>
          </cell>
          <cell r="I2291" t="str">
            <v>Conestoga</v>
          </cell>
          <cell r="K2291" t="str">
            <v>128 SAND HILL RD</v>
          </cell>
          <cell r="L2291" t="str">
            <v>PA</v>
          </cell>
          <cell r="M2291">
            <v>17516</v>
          </cell>
          <cell r="N2291" t="str">
            <v>128 SAND HILL RD Conestoga, PA 17516</v>
          </cell>
        </row>
        <row r="2292">
          <cell r="G2292">
            <v>244013</v>
          </cell>
          <cell r="H2292" t="str">
            <v>FRONTIDA BIOPHARM INC.</v>
          </cell>
          <cell r="I2292" t="str">
            <v>Philadelphia</v>
          </cell>
          <cell r="K2292" t="str">
            <v>1100 Orthodox St</v>
          </cell>
          <cell r="L2292" t="str">
            <v>PA</v>
          </cell>
          <cell r="M2292">
            <v>19124</v>
          </cell>
          <cell r="N2292" t="str">
            <v>1100 Orthodox St Philadelphia, PA 19124</v>
          </cell>
        </row>
        <row r="2293">
          <cell r="G2293">
            <v>315539</v>
          </cell>
          <cell r="H2293" t="str">
            <v>Spotless Commercial Cleaning,</v>
          </cell>
          <cell r="I2293" t="str">
            <v>King of Prussia</v>
          </cell>
          <cell r="K2293" t="str">
            <v>318 E SIGNAL HILL RD</v>
          </cell>
          <cell r="L2293" t="str">
            <v>PA</v>
          </cell>
          <cell r="M2293">
            <v>19406</v>
          </cell>
          <cell r="N2293" t="str">
            <v>318 E SIGNAL HILL RD King of Prussia, PA 19406</v>
          </cell>
        </row>
        <row r="2294">
          <cell r="G2294">
            <v>418560</v>
          </cell>
          <cell r="H2294" t="str">
            <v>Saucon Valley High School</v>
          </cell>
          <cell r="I2294" t="str">
            <v>Hellertown</v>
          </cell>
          <cell r="K2294" t="str">
            <v>2100 Polk Valley Rd</v>
          </cell>
          <cell r="L2294" t="str">
            <v>PA</v>
          </cell>
          <cell r="M2294">
            <v>18055</v>
          </cell>
          <cell r="N2294" t="str">
            <v>2100 Polk Valley Rd Hellertown, PA 18055</v>
          </cell>
        </row>
        <row r="2295">
          <cell r="G2295">
            <v>241297</v>
          </cell>
          <cell r="H2295" t="str">
            <v>OBERS WATER CONDITIONING &amp; PLU</v>
          </cell>
          <cell r="I2295" t="str">
            <v>Mount Joy</v>
          </cell>
          <cell r="K2295" t="str">
            <v>704 Clay Aly</v>
          </cell>
          <cell r="L2295" t="str">
            <v>PA</v>
          </cell>
          <cell r="M2295">
            <v>17552</v>
          </cell>
          <cell r="N2295" t="str">
            <v>704 Clay Aly Mount Joy, PA 17552</v>
          </cell>
        </row>
        <row r="2296">
          <cell r="G2296">
            <v>469866</v>
          </cell>
          <cell r="H2296" t="str">
            <v>U GRO HEMPFIELD</v>
          </cell>
          <cell r="I2296" t="str">
            <v>Lancaster</v>
          </cell>
          <cell r="K2296" t="str">
            <v>760 Indian Springs Dr</v>
          </cell>
          <cell r="L2296" t="str">
            <v>PA</v>
          </cell>
          <cell r="M2296">
            <v>17601</v>
          </cell>
          <cell r="N2296" t="str">
            <v>760 Indian Springs Dr Lancaster, PA 17601</v>
          </cell>
        </row>
        <row r="2297">
          <cell r="G2297">
            <v>240926</v>
          </cell>
          <cell r="H2297" t="str">
            <v>LONG MEMORIAL UNITED</v>
          </cell>
          <cell r="I2297" t="str">
            <v>Neffsville</v>
          </cell>
          <cell r="K2297" t="str">
            <v>2660 Lititz Pike</v>
          </cell>
          <cell r="L2297" t="str">
            <v>PA</v>
          </cell>
          <cell r="M2297">
            <v>17601</v>
          </cell>
          <cell r="N2297" t="str">
            <v>2660 Lititz Pike Neffsville, PA 17601</v>
          </cell>
        </row>
        <row r="2298">
          <cell r="G2298">
            <v>317231</v>
          </cell>
          <cell r="H2298" t="str">
            <v>CC - DAISY WITH LOVE</v>
          </cell>
          <cell r="I2298" t="str">
            <v>Lancaster</v>
          </cell>
          <cell r="K2298" t="str">
            <v>185 Colonial Crest Dr</v>
          </cell>
          <cell r="L2298" t="str">
            <v>PA</v>
          </cell>
          <cell r="M2298">
            <v>17601</v>
          </cell>
          <cell r="N2298" t="str">
            <v>185 Colonial Crest Dr Lancaster, PA 17601</v>
          </cell>
        </row>
        <row r="2299">
          <cell r="G2299">
            <v>322379</v>
          </cell>
          <cell r="H2299" t="str">
            <v>Fox &amp; Roach Realtors</v>
          </cell>
          <cell r="I2299" t="str">
            <v>Spring House</v>
          </cell>
          <cell r="K2299" t="str">
            <v>904 Moore Dr</v>
          </cell>
          <cell r="L2299" t="str">
            <v>PA</v>
          </cell>
          <cell r="M2299">
            <v>19477</v>
          </cell>
          <cell r="N2299" t="str">
            <v>904 Moore Dr Spring House, PA 19477</v>
          </cell>
        </row>
        <row r="2300">
          <cell r="G2300">
            <v>242380</v>
          </cell>
          <cell r="H2300" t="str">
            <v>WESTMINSTER PRESBYTERIAN</v>
          </cell>
          <cell r="I2300" t="str">
            <v>Lancaster</v>
          </cell>
          <cell r="K2300" t="str">
            <v>2151 Oregon Pike</v>
          </cell>
          <cell r="L2300" t="str">
            <v>PA</v>
          </cell>
          <cell r="M2300">
            <v>17601</v>
          </cell>
          <cell r="N2300" t="str">
            <v>2151 Oregon Pike Lancaster, PA 17601</v>
          </cell>
        </row>
        <row r="2301">
          <cell r="G2301">
            <v>313330</v>
          </cell>
          <cell r="H2301" t="str">
            <v>READING HOSPITALITY LLC DOUBLE</v>
          </cell>
          <cell r="I2301" t="str">
            <v>Reading</v>
          </cell>
          <cell r="K2301" t="str">
            <v>701 Penn St</v>
          </cell>
          <cell r="L2301" t="str">
            <v>PA</v>
          </cell>
          <cell r="M2301">
            <v>19601</v>
          </cell>
          <cell r="N2301" t="str">
            <v>701 Penn St Reading, PA 19601</v>
          </cell>
        </row>
        <row r="2302">
          <cell r="G2302">
            <v>337058</v>
          </cell>
          <cell r="H2302" t="str">
            <v>Aquatherm Industries Inc</v>
          </cell>
          <cell r="I2302" t="str">
            <v>Lakewood</v>
          </cell>
          <cell r="J2302" t="str">
            <v>Jersey Shore - North</v>
          </cell>
          <cell r="K2302" t="str">
            <v>1940 Rutgers Blvd</v>
          </cell>
          <cell r="L2302" t="str">
            <v>NJ</v>
          </cell>
          <cell r="M2302">
            <v>8701</v>
          </cell>
          <cell r="N2302" t="str">
            <v>1940 Rutgers Blvd Lakewood, NJ 08701</v>
          </cell>
        </row>
        <row r="2303">
          <cell r="G2303">
            <v>265981</v>
          </cell>
          <cell r="H2303" t="str">
            <v>STEELTON HIGHSPIRE SCHOOL DIST</v>
          </cell>
          <cell r="I2303" t="str">
            <v>Steelton</v>
          </cell>
          <cell r="K2303" t="str">
            <v>250 Reynders St</v>
          </cell>
          <cell r="L2303" t="str">
            <v>PA</v>
          </cell>
          <cell r="M2303">
            <v>17113</v>
          </cell>
          <cell r="N2303" t="str">
            <v>250 Reynders St Steelton, PA 17113</v>
          </cell>
        </row>
        <row r="2304">
          <cell r="G2304">
            <v>239715</v>
          </cell>
          <cell r="H2304" t="str">
            <v>THE COPE COMPANY SALT</v>
          </cell>
          <cell r="I2304" t="str">
            <v>Lancaster</v>
          </cell>
          <cell r="K2304" t="str">
            <v>549 W Roseville Rd</v>
          </cell>
          <cell r="L2304" t="str">
            <v>PA</v>
          </cell>
          <cell r="M2304">
            <v>17601</v>
          </cell>
          <cell r="N2304" t="str">
            <v>549 W Roseville Rd Lancaster, PA 17601</v>
          </cell>
        </row>
        <row r="2305">
          <cell r="G2305">
            <v>425363</v>
          </cell>
          <cell r="H2305" t="str">
            <v>Texas Avenue School</v>
          </cell>
          <cell r="I2305" t="str">
            <v>Atlantic City</v>
          </cell>
          <cell r="J2305" t="str">
            <v>Atlantic City</v>
          </cell>
          <cell r="K2305" t="str">
            <v>2523 Arctic Ave</v>
          </cell>
          <cell r="L2305" t="str">
            <v>NJ</v>
          </cell>
          <cell r="M2305">
            <v>8401</v>
          </cell>
          <cell r="N2305" t="str">
            <v>2523 Arctic Ave Atlantic City, NJ 08401</v>
          </cell>
        </row>
        <row r="2306">
          <cell r="G2306">
            <v>256854</v>
          </cell>
          <cell r="H2306" t="str">
            <v>PAM ROUSH INC</v>
          </cell>
          <cell r="I2306" t="str">
            <v>ELIZABETHTOWN</v>
          </cell>
          <cell r="K2306" t="str">
            <v>2633 Mill Rd</v>
          </cell>
          <cell r="L2306" t="str">
            <v>PA</v>
          </cell>
          <cell r="M2306">
            <v>17022</v>
          </cell>
          <cell r="N2306" t="str">
            <v>2633 Mill Rd ELIZABETHTOWN, PA 17022</v>
          </cell>
        </row>
        <row r="2307">
          <cell r="G2307">
            <v>240316</v>
          </cell>
          <cell r="H2307" t="str">
            <v>HARRISBURG COMM COLLEGE-Lancas</v>
          </cell>
          <cell r="I2307" t="str">
            <v>Lancaster</v>
          </cell>
          <cell r="K2307" t="str">
            <v>1641 Old Philadelphia Pike</v>
          </cell>
          <cell r="L2307" t="str">
            <v>PA</v>
          </cell>
          <cell r="M2307">
            <v>17602</v>
          </cell>
          <cell r="N2307" t="str">
            <v>1641 Old Philadelphia Pike Lancaster, PA 17602</v>
          </cell>
        </row>
        <row r="2308">
          <cell r="G2308">
            <v>241247</v>
          </cell>
          <cell r="H2308" t="str">
            <v>NEW LUSTRE FLOOR CARE MC</v>
          </cell>
          <cell r="I2308" t="str">
            <v>Lititz</v>
          </cell>
          <cell r="K2308" t="str">
            <v>111 W End Ave</v>
          </cell>
          <cell r="L2308" t="str">
            <v>PA</v>
          </cell>
          <cell r="M2308">
            <v>17543</v>
          </cell>
          <cell r="N2308" t="str">
            <v>111 W End Ave Lititz, PA 17543</v>
          </cell>
        </row>
        <row r="2309">
          <cell r="G2309">
            <v>239570</v>
          </cell>
          <cell r="H2309" t="str">
            <v>CHURCH OF THE FATHER SON</v>
          </cell>
          <cell r="I2309" t="str">
            <v>Lancaster</v>
          </cell>
          <cell r="K2309" t="str">
            <v>537 Howard Ave</v>
          </cell>
          <cell r="L2309" t="str">
            <v>PA</v>
          </cell>
          <cell r="M2309">
            <v>17602</v>
          </cell>
          <cell r="N2309" t="str">
            <v>537 Howard Ave Lancaster, PA 17602</v>
          </cell>
        </row>
        <row r="2310">
          <cell r="G2310">
            <v>242377</v>
          </cell>
          <cell r="H2310" t="str">
            <v>WESTGATE BAPTIST CHURCH</v>
          </cell>
          <cell r="I2310" t="str">
            <v>Lancaster</v>
          </cell>
          <cell r="K2310" t="str">
            <v>2235 Harrisburg Pike</v>
          </cell>
          <cell r="L2310" t="str">
            <v>PA</v>
          </cell>
          <cell r="M2310">
            <v>17601</v>
          </cell>
          <cell r="N2310" t="str">
            <v>2235 Harrisburg Pike Lancaster, PA 17601</v>
          </cell>
        </row>
        <row r="2311">
          <cell r="G2311">
            <v>241829</v>
          </cell>
          <cell r="H2311" t="str">
            <v>CITY LINE TATTOO</v>
          </cell>
          <cell r="I2311" t="str">
            <v>Lancaster</v>
          </cell>
          <cell r="K2311" t="str">
            <v>917 N Prince St</v>
          </cell>
          <cell r="L2311" t="str">
            <v>PA</v>
          </cell>
          <cell r="M2311">
            <v>17603</v>
          </cell>
          <cell r="N2311" t="str">
            <v>917 N Prince St Lancaster, PA 17603</v>
          </cell>
        </row>
        <row r="2312">
          <cell r="G2312">
            <v>240903</v>
          </cell>
          <cell r="H2312" t="str">
            <v>LITITZ MUTUAL INSUR CO</v>
          </cell>
          <cell r="I2312" t="str">
            <v>Lititz</v>
          </cell>
          <cell r="K2312" t="str">
            <v>2 N Broad St</v>
          </cell>
          <cell r="L2312" t="str">
            <v>PA</v>
          </cell>
          <cell r="M2312">
            <v>17543</v>
          </cell>
          <cell r="N2312" t="str">
            <v>2 N Broad St Lititz, PA 17543</v>
          </cell>
        </row>
        <row r="2313">
          <cell r="G2313">
            <v>318865</v>
          </cell>
          <cell r="H2313" t="str">
            <v>CRIS JON SALON#</v>
          </cell>
          <cell r="I2313" t="str">
            <v>Lancaster</v>
          </cell>
          <cell r="K2313" t="str">
            <v>608 Richmond Dr Ste 101</v>
          </cell>
          <cell r="L2313" t="str">
            <v>PA</v>
          </cell>
          <cell r="M2313">
            <v>17601</v>
          </cell>
          <cell r="N2313" t="str">
            <v>608 Richmond Dr Ste 101 Lancaster, PA 17601</v>
          </cell>
        </row>
        <row r="2314">
          <cell r="G2314">
            <v>304035</v>
          </cell>
          <cell r="H2314" t="str">
            <v>Moorestown Recreation Center</v>
          </cell>
          <cell r="I2314" t="str">
            <v>Moorestown</v>
          </cell>
          <cell r="J2314" t="str">
            <v>Cherry Hill</v>
          </cell>
          <cell r="K2314" t="str">
            <v>111 W 2nd St</v>
          </cell>
          <cell r="L2314" t="str">
            <v>NJ</v>
          </cell>
          <cell r="M2314">
            <v>8057</v>
          </cell>
          <cell r="N2314" t="str">
            <v>111 W 2nd St Moorestown, NJ 08057</v>
          </cell>
        </row>
        <row r="2315">
          <cell r="G2315">
            <v>245952</v>
          </cell>
          <cell r="H2315" t="str">
            <v>CC - TLC Cleaning Services, In</v>
          </cell>
          <cell r="I2315" t="str">
            <v>Gilbertsville</v>
          </cell>
          <cell r="K2315" t="str">
            <v>PO Box 544</v>
          </cell>
          <cell r="L2315" t="str">
            <v>PA</v>
          </cell>
          <cell r="M2315">
            <v>19525</v>
          </cell>
          <cell r="N2315" t="str">
            <v>PO Box 544 Gilbertsville, PA 19525</v>
          </cell>
        </row>
        <row r="2316">
          <cell r="G2316">
            <v>244318</v>
          </cell>
          <cell r="H2316" t="str">
            <v>CAPP USA</v>
          </cell>
          <cell r="I2316" t="str">
            <v>Clifton Heights</v>
          </cell>
          <cell r="J2316" t="str">
            <v>Philly - W</v>
          </cell>
          <cell r="K2316" t="str">
            <v>201 Marple Ave</v>
          </cell>
          <cell r="L2316" t="str">
            <v>PA</v>
          </cell>
          <cell r="M2316">
            <v>19018</v>
          </cell>
          <cell r="N2316" t="str">
            <v>201 Marple Ave Clifton Heights, PA 19018</v>
          </cell>
        </row>
        <row r="2317">
          <cell r="G2317">
            <v>474941</v>
          </cell>
          <cell r="H2317" t="str">
            <v>Correction County Jail</v>
          </cell>
          <cell r="I2317" t="str">
            <v>Bridgeton</v>
          </cell>
          <cell r="K2317" t="str">
            <v>54 W Broad St</v>
          </cell>
          <cell r="L2317" t="str">
            <v>NJ</v>
          </cell>
          <cell r="M2317">
            <v>8302</v>
          </cell>
          <cell r="N2317" t="str">
            <v>54 W Broad St Bridgeton, NJ 08302</v>
          </cell>
        </row>
        <row r="2318">
          <cell r="G2318">
            <v>316791</v>
          </cell>
          <cell r="H2318" t="str">
            <v>SPRING CLEANING SERVICE</v>
          </cell>
          <cell r="I2318" t="str">
            <v>Ephrata</v>
          </cell>
          <cell r="K2318" t="str">
            <v>189 Mortar Ln</v>
          </cell>
          <cell r="L2318" t="str">
            <v>PA</v>
          </cell>
          <cell r="M2318">
            <v>17522</v>
          </cell>
          <cell r="N2318" t="str">
            <v>189 Mortar Ln Ephrata, PA 17522</v>
          </cell>
        </row>
        <row r="2319">
          <cell r="G2319">
            <v>243031</v>
          </cell>
          <cell r="H2319" t="str">
            <v>E. Thomas Brett Business Machi</v>
          </cell>
          <cell r="I2319" t="str">
            <v>Horsham</v>
          </cell>
          <cell r="J2319" t="str">
            <v>Philly Suburbs - North</v>
          </cell>
          <cell r="K2319" t="str">
            <v>440 Horsham Rd</v>
          </cell>
          <cell r="L2319" t="str">
            <v>PA</v>
          </cell>
          <cell r="M2319">
            <v>19044</v>
          </cell>
          <cell r="N2319" t="str">
            <v>440 Horsham Rd Horsham, PA 19044</v>
          </cell>
        </row>
        <row r="2320">
          <cell r="G2320">
            <v>434613</v>
          </cell>
          <cell r="H2320" t="str">
            <v>RVR YMCA - EASTERN LYCOMING YM</v>
          </cell>
          <cell r="I2320" t="str">
            <v>Muncy</v>
          </cell>
          <cell r="K2320" t="str">
            <v>50 Fitness Dr</v>
          </cell>
          <cell r="L2320" t="str">
            <v>PA</v>
          </cell>
          <cell r="M2320">
            <v>17756</v>
          </cell>
          <cell r="N2320" t="str">
            <v>50 Fitness Dr Muncy, PA 17756</v>
          </cell>
        </row>
        <row r="2321">
          <cell r="G2321">
            <v>416849</v>
          </cell>
          <cell r="H2321" t="str">
            <v>Davis Elementary School</v>
          </cell>
          <cell r="I2321" t="str">
            <v>Southampton</v>
          </cell>
          <cell r="J2321" t="str">
            <v>Philly Suburbs - North</v>
          </cell>
          <cell r="K2321" t="str">
            <v>475 Maple Ave</v>
          </cell>
          <cell r="L2321" t="str">
            <v>PA</v>
          </cell>
          <cell r="M2321">
            <v>18966</v>
          </cell>
          <cell r="N2321" t="str">
            <v>475 Maple Ave Southampton, PA 18966</v>
          </cell>
        </row>
        <row r="2322">
          <cell r="G2322">
            <v>417687</v>
          </cell>
          <cell r="H2322" t="str">
            <v>K.C.S.D.</v>
          </cell>
          <cell r="I2322" t="str">
            <v>Kennett Square</v>
          </cell>
          <cell r="K2322" t="str">
            <v>200 E South St</v>
          </cell>
          <cell r="L2322" t="str">
            <v>PA</v>
          </cell>
          <cell r="M2322">
            <v>19348</v>
          </cell>
          <cell r="N2322" t="str">
            <v>200 E South St Kennett Square, PA 19348</v>
          </cell>
        </row>
        <row r="2323">
          <cell r="G2323">
            <v>263531</v>
          </cell>
          <cell r="H2323" t="str">
            <v>NORTH SCHUYLKILL SCHOOL DISTRI</v>
          </cell>
          <cell r="I2323" t="str">
            <v>Ashland</v>
          </cell>
          <cell r="J2323" t="str">
            <v>Pottsville</v>
          </cell>
          <cell r="K2323" t="str">
            <v>15 Academy Ln Apt 61</v>
          </cell>
          <cell r="L2323" t="str">
            <v>PA</v>
          </cell>
          <cell r="M2323">
            <v>17921</v>
          </cell>
          <cell r="N2323" t="str">
            <v>15 Academy Ln Apt 61 Ashland, PA 17921</v>
          </cell>
        </row>
        <row r="2324">
          <cell r="G2324">
            <v>481202</v>
          </cell>
          <cell r="H2324" t="str">
            <v>NORTH SCHUYLKILL Elementary Sc</v>
          </cell>
          <cell r="I2324" t="str">
            <v>Ashland</v>
          </cell>
          <cell r="J2324" t="str">
            <v>Pottsville</v>
          </cell>
          <cell r="K2324" t="str">
            <v>38 Line St</v>
          </cell>
          <cell r="L2324" t="str">
            <v>PA</v>
          </cell>
          <cell r="M2324">
            <v>17921</v>
          </cell>
          <cell r="N2324" t="str">
            <v>38 Line St Ashland, PA 17921</v>
          </cell>
        </row>
        <row r="2325">
          <cell r="G2325">
            <v>241165</v>
          </cell>
          <cell r="H2325" t="str">
            <v>MOUNT JOY CHURCH OF GOD*</v>
          </cell>
          <cell r="I2325" t="str">
            <v>Mount Joy</v>
          </cell>
          <cell r="K2325" t="str">
            <v>34 E Main St</v>
          </cell>
          <cell r="L2325" t="str">
            <v>PA</v>
          </cell>
          <cell r="M2325">
            <v>17552</v>
          </cell>
          <cell r="N2325" t="str">
            <v>34 E Main St Mount Joy, PA 17552</v>
          </cell>
        </row>
        <row r="2326">
          <cell r="G2326">
            <v>471889</v>
          </cell>
          <cell r="H2326" t="str">
            <v>Millersville- Witmer Infirmary</v>
          </cell>
          <cell r="I2326" t="str">
            <v>Millersville</v>
          </cell>
          <cell r="K2326" t="str">
            <v>4 McCollough Ave</v>
          </cell>
          <cell r="L2326" t="str">
            <v>PA</v>
          </cell>
          <cell r="M2326">
            <v>17551</v>
          </cell>
          <cell r="N2326" t="str">
            <v>4 McCollough Ave Millersville, PA 17551</v>
          </cell>
        </row>
        <row r="2327">
          <cell r="G2327">
            <v>244431</v>
          </cell>
          <cell r="H2327" t="str">
            <v>John Dupnock</v>
          </cell>
          <cell r="I2327" t="str">
            <v>Berwyn</v>
          </cell>
          <cell r="K2327" t="str">
            <v>627 Contention Ln</v>
          </cell>
          <cell r="L2327" t="str">
            <v>PA</v>
          </cell>
          <cell r="M2327">
            <v>19312</v>
          </cell>
          <cell r="N2327" t="str">
            <v>627 Contention Ln Berwyn, PA 19312</v>
          </cell>
        </row>
        <row r="2328">
          <cell r="G2328">
            <v>239382</v>
          </cell>
          <cell r="H2328" t="str">
            <v>BRETHREN VILLAGE#</v>
          </cell>
          <cell r="I2328" t="str">
            <v>Lititz</v>
          </cell>
          <cell r="K2328" t="str">
            <v>3001 Lititz Pike</v>
          </cell>
          <cell r="L2328" t="str">
            <v>PA</v>
          </cell>
          <cell r="M2328">
            <v>17543</v>
          </cell>
          <cell r="N2328" t="str">
            <v>3001 Lititz Pike Lititz, PA 17543</v>
          </cell>
        </row>
        <row r="2329">
          <cell r="G2329">
            <v>244080</v>
          </cell>
          <cell r="H2329" t="str">
            <v>North Penn School District</v>
          </cell>
          <cell r="I2329" t="str">
            <v>Lansdale</v>
          </cell>
          <cell r="K2329" t="str">
            <v>630 W 8th St</v>
          </cell>
          <cell r="L2329" t="str">
            <v>PA</v>
          </cell>
          <cell r="M2329">
            <v>19446</v>
          </cell>
          <cell r="N2329" t="str">
            <v>630 W 8th St Lansdale, PA 19446</v>
          </cell>
        </row>
        <row r="2330">
          <cell r="G2330">
            <v>282420</v>
          </cell>
          <cell r="H2330" t="str">
            <v>RAIN FLO IRRIGATION LLC</v>
          </cell>
          <cell r="I2330" t="str">
            <v>East Earl</v>
          </cell>
          <cell r="K2330" t="str">
            <v>929 Reading Rd</v>
          </cell>
          <cell r="L2330" t="str">
            <v>PA</v>
          </cell>
          <cell r="M2330">
            <v>17519</v>
          </cell>
          <cell r="N2330" t="str">
            <v>929 Reading Rd East Earl, PA 17519</v>
          </cell>
        </row>
        <row r="2331">
          <cell r="G2331">
            <v>264441</v>
          </cell>
          <cell r="H2331" t="str">
            <v>LITITZ ACADEMY OF DANCE INC</v>
          </cell>
          <cell r="I2331" t="str">
            <v>Lititz</v>
          </cell>
          <cell r="K2331" t="str">
            <v>1162 S Lefever Dr</v>
          </cell>
          <cell r="L2331" t="str">
            <v>PA</v>
          </cell>
          <cell r="M2331">
            <v>17543</v>
          </cell>
          <cell r="N2331" t="str">
            <v>1162 S Lefever Dr Lititz, PA 17543</v>
          </cell>
        </row>
        <row r="2332">
          <cell r="G2332">
            <v>297575</v>
          </cell>
          <cell r="H2332" t="str">
            <v>PULSE DANCE STUDIO#</v>
          </cell>
          <cell r="I2332" t="str">
            <v>Lititz</v>
          </cell>
          <cell r="K2332" t="str">
            <v>22 Wright Ave</v>
          </cell>
          <cell r="L2332" t="str">
            <v>PA</v>
          </cell>
          <cell r="M2332">
            <v>17543</v>
          </cell>
          <cell r="N2332" t="str">
            <v>22 Wright Ave Lititz, PA 17543</v>
          </cell>
        </row>
        <row r="2333">
          <cell r="G2333">
            <v>468389</v>
          </cell>
          <cell r="H2333" t="str">
            <v>COLEBROOKDALE ELEMENTARY</v>
          </cell>
          <cell r="I2333" t="str">
            <v>Boyertown</v>
          </cell>
          <cell r="K2333" t="str">
            <v>1001 Montgomery Ave</v>
          </cell>
          <cell r="L2333" t="str">
            <v>PA</v>
          </cell>
          <cell r="M2333">
            <v>19512</v>
          </cell>
          <cell r="N2333" t="str">
            <v>1001 Montgomery Ave Boyertown, PA 19512</v>
          </cell>
        </row>
        <row r="2334">
          <cell r="G2334">
            <v>242374</v>
          </cell>
          <cell r="H2334" t="str">
            <v>WEST WILLOW UNITED METH#</v>
          </cell>
          <cell r="I2334" t="str">
            <v>Willow Street</v>
          </cell>
          <cell r="K2334" t="str">
            <v>118 W Willow Rd</v>
          </cell>
          <cell r="L2334" t="str">
            <v>PA</v>
          </cell>
          <cell r="M2334">
            <v>17584</v>
          </cell>
          <cell r="N2334" t="str">
            <v>118 W Willow Rd Willow Street, PA 17584</v>
          </cell>
        </row>
        <row r="2335">
          <cell r="G2335">
            <v>307225</v>
          </cell>
          <cell r="H2335" t="str">
            <v>Burkholder Cleaning Services</v>
          </cell>
          <cell r="I2335" t="str">
            <v>Lancaster</v>
          </cell>
          <cell r="K2335" t="str">
            <v>2355 New Holland Pike</v>
          </cell>
          <cell r="L2335" t="str">
            <v>PA</v>
          </cell>
          <cell r="M2335">
            <v>17601</v>
          </cell>
          <cell r="N2335" t="str">
            <v>2355 New Holland Pike Lancaster, PA 17601</v>
          </cell>
        </row>
        <row r="2336">
          <cell r="G2336">
            <v>240348</v>
          </cell>
          <cell r="H2336" t="str">
            <v>JUNIPER VILLAGE#</v>
          </cell>
          <cell r="I2336" t="str">
            <v>Mount Joy</v>
          </cell>
          <cell r="K2336" t="str">
            <v>607 Hearthstone Ln</v>
          </cell>
          <cell r="L2336" t="str">
            <v>PA</v>
          </cell>
          <cell r="M2336">
            <v>17552</v>
          </cell>
          <cell r="N2336" t="str">
            <v>607 Hearthstone Ln Mount Joy, PA 17552</v>
          </cell>
        </row>
        <row r="2337">
          <cell r="G2337">
            <v>241225</v>
          </cell>
          <cell r="H2337" t="str">
            <v>NED BARD &amp; SON</v>
          </cell>
          <cell r="I2337" t="str">
            <v>Leola</v>
          </cell>
          <cell r="K2337" t="str">
            <v>120 S Maple Ave</v>
          </cell>
          <cell r="L2337" t="str">
            <v>PA</v>
          </cell>
          <cell r="M2337">
            <v>17540</v>
          </cell>
          <cell r="N2337" t="str">
            <v>120 S Maple Ave Leola, PA 17540</v>
          </cell>
        </row>
        <row r="2338">
          <cell r="G2338">
            <v>304916</v>
          </cell>
          <cell r="H2338" t="str">
            <v>S &amp; S Industrial</v>
          </cell>
          <cell r="I2338" t="str">
            <v>Trenton</v>
          </cell>
          <cell r="K2338" t="str">
            <v>7 Chelten Way</v>
          </cell>
          <cell r="L2338" t="str">
            <v>NJ</v>
          </cell>
          <cell r="M2338">
            <v>8638</v>
          </cell>
          <cell r="N2338" t="str">
            <v>7 Chelten Way Trenton, NJ 08638</v>
          </cell>
        </row>
        <row r="2339">
          <cell r="G2339">
            <v>459981</v>
          </cell>
          <cell r="H2339" t="str">
            <v>Work Space Property Trust L.P</v>
          </cell>
          <cell r="I2339" t="str">
            <v>Horsham</v>
          </cell>
          <cell r="K2339" t="str">
            <v>300 Welsh Rd Bldg 4</v>
          </cell>
          <cell r="L2339" t="str">
            <v>PA</v>
          </cell>
          <cell r="M2339">
            <v>19044</v>
          </cell>
          <cell r="N2339" t="str">
            <v>300 Welsh Rd Bldg 4 Horsham, PA 19044</v>
          </cell>
        </row>
        <row r="2340">
          <cell r="G2340">
            <v>418531</v>
          </cell>
          <cell r="H2340" t="str">
            <v>SPS Technologies</v>
          </cell>
          <cell r="I2340" t="str">
            <v>Jenkintown</v>
          </cell>
          <cell r="K2340" t="str">
            <v>301 Highland Ave</v>
          </cell>
          <cell r="L2340" t="str">
            <v>PA</v>
          </cell>
          <cell r="M2340">
            <v>19046</v>
          </cell>
          <cell r="N2340" t="str">
            <v>301 Highland Ave Jenkintown, PA 19046</v>
          </cell>
        </row>
        <row r="2341">
          <cell r="G2341">
            <v>246827</v>
          </cell>
          <cell r="H2341" t="str">
            <v>GALL LAMINATING COMPANY</v>
          </cell>
          <cell r="I2341" t="str">
            <v>Lancaster</v>
          </cell>
          <cell r="K2341" t="str">
            <v>315 W James St Ste 105</v>
          </cell>
          <cell r="L2341" t="str">
            <v>PA</v>
          </cell>
          <cell r="M2341">
            <v>17603</v>
          </cell>
          <cell r="N2341" t="str">
            <v>315 W James St Ste 105 Lancaster, PA 17603</v>
          </cell>
        </row>
        <row r="2342">
          <cell r="G2342">
            <v>483194</v>
          </cell>
          <cell r="H2342" t="str">
            <v>Action Karate</v>
          </cell>
          <cell r="I2342" t="str">
            <v>Philadelphia</v>
          </cell>
          <cell r="K2342" t="str">
            <v>862 N 3rd St</v>
          </cell>
          <cell r="L2342" t="str">
            <v>PA</v>
          </cell>
          <cell r="M2342">
            <v>19123</v>
          </cell>
          <cell r="N2342" t="str">
            <v>862 N 3rd St Philadelphia, PA 19123</v>
          </cell>
        </row>
        <row r="2343">
          <cell r="G2343">
            <v>318605</v>
          </cell>
          <cell r="H2343" t="str">
            <v>EAST COAST CONST &amp; DESIGN LLC#</v>
          </cell>
          <cell r="I2343" t="str">
            <v>Schuylkill Haven</v>
          </cell>
          <cell r="K2343" t="str">
            <v>187 N Route 183</v>
          </cell>
          <cell r="L2343" t="str">
            <v>PA</v>
          </cell>
          <cell r="M2343">
            <v>17972</v>
          </cell>
          <cell r="N2343" t="str">
            <v>187 N Route 183 Schuylkill Haven, PA 17972</v>
          </cell>
        </row>
        <row r="2344">
          <cell r="G2344">
            <v>329086</v>
          </cell>
          <cell r="H2344" t="str">
            <v>All Bright Cleaning</v>
          </cell>
          <cell r="I2344" t="str">
            <v>New Castle</v>
          </cell>
          <cell r="K2344" t="str">
            <v>117 Malcolm Forest Rd</v>
          </cell>
          <cell r="L2344" t="str">
            <v>DE</v>
          </cell>
          <cell r="M2344">
            <v>19720</v>
          </cell>
          <cell r="N2344" t="str">
            <v>117 Malcolm Forest Rd New Castle, DE 19720</v>
          </cell>
        </row>
        <row r="2345">
          <cell r="G2345">
            <v>243707</v>
          </cell>
          <cell r="H2345" t="str">
            <v>Jasper Engines &amp; Trans. Exch.</v>
          </cell>
          <cell r="I2345" t="str">
            <v>Bristol</v>
          </cell>
          <cell r="J2345" t="str">
            <v>Philly - NE</v>
          </cell>
          <cell r="K2345" t="str">
            <v>2 Pearl Buck Ct</v>
          </cell>
          <cell r="L2345" t="str">
            <v>PA</v>
          </cell>
          <cell r="M2345">
            <v>19007</v>
          </cell>
          <cell r="N2345" t="str">
            <v>2 Pearl Buck Ct Bristol, PA 19007</v>
          </cell>
        </row>
        <row r="2346">
          <cell r="G2346">
            <v>297553</v>
          </cell>
          <cell r="H2346" t="str">
            <v>COLUMBIA COTTAGE HERSHEY</v>
          </cell>
          <cell r="I2346" t="str">
            <v>Palmyra</v>
          </cell>
          <cell r="K2346" t="str">
            <v>103 N Larkspur Dr</v>
          </cell>
          <cell r="L2346" t="str">
            <v>PA</v>
          </cell>
          <cell r="M2346">
            <v>17078</v>
          </cell>
          <cell r="N2346" t="str">
            <v>103 N Larkspur Dr Palmyra, PA 17078</v>
          </cell>
        </row>
        <row r="2347">
          <cell r="G2347">
            <v>346167</v>
          </cell>
          <cell r="H2347" t="str">
            <v>EBERSOLES VAC SHOP</v>
          </cell>
          <cell r="I2347" t="str">
            <v>Willow Street</v>
          </cell>
          <cell r="K2347" t="str">
            <v>20 BEAVER VALLEY PIKE</v>
          </cell>
          <cell r="L2347" t="str">
            <v>PA</v>
          </cell>
          <cell r="M2347">
            <v>17584</v>
          </cell>
          <cell r="N2347" t="str">
            <v>20 BEAVER VALLEY PIKE Willow Street, PA 17584</v>
          </cell>
        </row>
        <row r="2348">
          <cell r="G2348">
            <v>464423</v>
          </cell>
          <cell r="H2348" t="str">
            <v>MADISON LAWRENCE- ARMY RESERVE</v>
          </cell>
          <cell r="I2348" t="str">
            <v>Lancaster</v>
          </cell>
          <cell r="K2348" t="str">
            <v>1135 Ranck Mill Rd</v>
          </cell>
          <cell r="L2348" t="str">
            <v>PA</v>
          </cell>
          <cell r="M2348">
            <v>17602</v>
          </cell>
          <cell r="N2348" t="str">
            <v>1135 Ranck Mill Rd Lancaster, PA 17602</v>
          </cell>
        </row>
        <row r="2349">
          <cell r="G2349">
            <v>240752</v>
          </cell>
          <cell r="H2349" t="str">
            <v>LANC MACHINE MFG CO</v>
          </cell>
          <cell r="I2349" t="str">
            <v>Lancaster</v>
          </cell>
          <cell r="K2349" t="str">
            <v>2320 Dairy Rd</v>
          </cell>
          <cell r="L2349" t="str">
            <v>PA</v>
          </cell>
          <cell r="M2349">
            <v>17601</v>
          </cell>
          <cell r="N2349" t="str">
            <v>2320 Dairy Rd Lancaster, PA 17601</v>
          </cell>
        </row>
        <row r="2350">
          <cell r="G2350">
            <v>283727</v>
          </cell>
          <cell r="H2350" t="str">
            <v>SUNSHINE CORNER DAYCARE</v>
          </cell>
          <cell r="I2350" t="str">
            <v>Strasburg</v>
          </cell>
          <cell r="K2350" t="str">
            <v>141 Precision Ave</v>
          </cell>
          <cell r="L2350" t="str">
            <v>PA</v>
          </cell>
          <cell r="M2350">
            <v>17579</v>
          </cell>
          <cell r="N2350" t="str">
            <v>141 Precision Ave Strasburg, PA 17579</v>
          </cell>
        </row>
        <row r="2351">
          <cell r="G2351">
            <v>304299</v>
          </cell>
          <cell r="H2351" t="str">
            <v>CC - GARMANS CLEANING</v>
          </cell>
          <cell r="I2351" t="str">
            <v>Manheim</v>
          </cell>
          <cell r="K2351" t="str">
            <v>62 Baron Cir</v>
          </cell>
          <cell r="L2351" t="str">
            <v>PA</v>
          </cell>
          <cell r="M2351">
            <v>17545</v>
          </cell>
          <cell r="N2351" t="str">
            <v>62 Baron Cir Manheim, PA 17545</v>
          </cell>
        </row>
        <row r="2352">
          <cell r="G2352">
            <v>284868</v>
          </cell>
          <cell r="H2352" t="str">
            <v>FIRST UNITED METHODIST CHURCH</v>
          </cell>
          <cell r="I2352" t="str">
            <v>Ephrata</v>
          </cell>
          <cell r="K2352" t="str">
            <v>68 N Church St</v>
          </cell>
          <cell r="L2352" t="str">
            <v>PA</v>
          </cell>
          <cell r="M2352">
            <v>17522</v>
          </cell>
          <cell r="N2352" t="str">
            <v>68 N Church St Ephrata, PA 17522</v>
          </cell>
        </row>
        <row r="2353">
          <cell r="G2353">
            <v>317521</v>
          </cell>
          <cell r="H2353" t="str">
            <v>ANDY MALE</v>
          </cell>
          <cell r="I2353" t="str">
            <v>Columbia</v>
          </cell>
          <cell r="K2353" t="str">
            <v>4590 Airy View Dr</v>
          </cell>
          <cell r="L2353" t="str">
            <v>PA</v>
          </cell>
          <cell r="M2353">
            <v>17512</v>
          </cell>
          <cell r="N2353" t="str">
            <v>4590 Airy View Dr Columbia, PA 17512</v>
          </cell>
        </row>
        <row r="2354">
          <cell r="G2354">
            <v>311982</v>
          </cell>
          <cell r="H2354" t="str">
            <v>NEW HOLLAND HOME ASSOCIATION</v>
          </cell>
          <cell r="I2354" t="str">
            <v>New Holland</v>
          </cell>
          <cell r="K2354" t="str">
            <v>35 S Hoover Ave</v>
          </cell>
          <cell r="L2354" t="str">
            <v>PA</v>
          </cell>
          <cell r="M2354">
            <v>17557</v>
          </cell>
          <cell r="N2354" t="str">
            <v>35 S Hoover Ave New Holland, PA 17557</v>
          </cell>
        </row>
        <row r="2355">
          <cell r="G2355">
            <v>293897</v>
          </cell>
          <cell r="H2355" t="str">
            <v>ENCOUNTER CHURCH</v>
          </cell>
          <cell r="I2355" t="str">
            <v>Quarryville</v>
          </cell>
          <cell r="K2355" t="str">
            <v>300 Hideaway Dr</v>
          </cell>
          <cell r="L2355" t="str">
            <v>PA</v>
          </cell>
          <cell r="M2355">
            <v>17566</v>
          </cell>
          <cell r="N2355" t="str">
            <v>300 Hideaway Dr Quarryville, PA 17566</v>
          </cell>
        </row>
        <row r="2356">
          <cell r="G2356">
            <v>254555</v>
          </cell>
          <cell r="H2356" t="str">
            <v>S Braccia Builders Inc.</v>
          </cell>
          <cell r="I2356" t="str">
            <v>Ambler</v>
          </cell>
          <cell r="J2356" t="str">
            <v>Philly Subrubs - Central</v>
          </cell>
          <cell r="K2356" t="str">
            <v>1121 Horsham Rd</v>
          </cell>
          <cell r="L2356" t="str">
            <v>PA</v>
          </cell>
          <cell r="M2356">
            <v>19002</v>
          </cell>
          <cell r="N2356" t="str">
            <v>1121 Horsham Rd Ambler, PA 19002</v>
          </cell>
        </row>
        <row r="2357">
          <cell r="G2357">
            <v>437899</v>
          </cell>
          <cell r="H2357" t="str">
            <v>TARGET - CHELTENHAM</v>
          </cell>
          <cell r="I2357" t="str">
            <v>Wyncote</v>
          </cell>
          <cell r="K2357" t="str">
            <v>2450 Shoppers Ln</v>
          </cell>
          <cell r="L2357" t="str">
            <v>PA</v>
          </cell>
          <cell r="M2357">
            <v>19095</v>
          </cell>
          <cell r="N2357" t="str">
            <v>2450 Shoppers Ln Wyncote, PA 19095</v>
          </cell>
        </row>
        <row r="2358">
          <cell r="G2358">
            <v>479533</v>
          </cell>
          <cell r="H2358" t="str">
            <v>Bermudian Springs Middle Schoo</v>
          </cell>
          <cell r="I2358" t="str">
            <v>York Springs</v>
          </cell>
          <cell r="K2358" t="str">
            <v>7335 Carlisle Pike</v>
          </cell>
          <cell r="L2358" t="str">
            <v>PA</v>
          </cell>
          <cell r="M2358">
            <v>17372</v>
          </cell>
          <cell r="N2358" t="str">
            <v>7335 Carlisle Pike York Springs, PA 17372</v>
          </cell>
        </row>
        <row r="2359">
          <cell r="G2359">
            <v>280135</v>
          </cell>
          <cell r="H2359" t="str">
            <v>RICK KENDRICK</v>
          </cell>
          <cell r="I2359" t="str">
            <v>Lancaster</v>
          </cell>
          <cell r="K2359" t="str">
            <v>36 N Eastland Dr</v>
          </cell>
          <cell r="L2359" t="str">
            <v>PA</v>
          </cell>
          <cell r="M2359">
            <v>17602</v>
          </cell>
          <cell r="N2359" t="str">
            <v>36 N Eastland Dr Lancaster, PA 17602</v>
          </cell>
        </row>
        <row r="2360">
          <cell r="G2360">
            <v>416776</v>
          </cell>
          <cell r="H2360" t="str">
            <v>Cornerstone Health &amp; Fitness</v>
          </cell>
          <cell r="I2360" t="str">
            <v>Furlong</v>
          </cell>
          <cell r="K2360" t="str">
            <v>740 Edison Furlong Rd</v>
          </cell>
          <cell r="L2360" t="str">
            <v>PA</v>
          </cell>
          <cell r="M2360">
            <v>18925</v>
          </cell>
          <cell r="N2360" t="str">
            <v>740 Edison Furlong Rd Furlong, PA 18925</v>
          </cell>
        </row>
        <row r="2361">
          <cell r="G2361">
            <v>462981</v>
          </cell>
          <cell r="H2361" t="str">
            <v>LANC BIBLE COLLEGE HAC</v>
          </cell>
          <cell r="I2361" t="str">
            <v>Lancaster</v>
          </cell>
          <cell r="K2361" t="str">
            <v>901 Eden Rd</v>
          </cell>
          <cell r="L2361" t="str">
            <v>PA</v>
          </cell>
          <cell r="M2361">
            <v>17601</v>
          </cell>
          <cell r="N2361" t="str">
            <v>901 Eden Rd Lancaster, PA 17601</v>
          </cell>
        </row>
        <row r="2362">
          <cell r="G2362">
            <v>242475</v>
          </cell>
          <cell r="H2362" t="str">
            <v>ZION LUTHERAN CHURCH</v>
          </cell>
          <cell r="I2362" t="str">
            <v>Marietta</v>
          </cell>
          <cell r="K2362" t="str">
            <v>1290 River Rd</v>
          </cell>
          <cell r="L2362" t="str">
            <v>PA</v>
          </cell>
          <cell r="M2362">
            <v>17547</v>
          </cell>
          <cell r="N2362" t="str">
            <v>1290 River Rd Marietta, PA 17547</v>
          </cell>
        </row>
        <row r="2363">
          <cell r="G2363">
            <v>332937</v>
          </cell>
          <cell r="H2363" t="str">
            <v>Gilbert Welliver</v>
          </cell>
          <cell r="I2363" t="str">
            <v>Lititz</v>
          </cell>
          <cell r="K2363" t="str">
            <v>8 W Lexington Rd</v>
          </cell>
          <cell r="L2363" t="str">
            <v>PA</v>
          </cell>
          <cell r="M2363">
            <v>17543</v>
          </cell>
          <cell r="N2363" t="str">
            <v>8 W Lexington Rd Lititz, PA 17543</v>
          </cell>
        </row>
        <row r="2364">
          <cell r="G2364">
            <v>254712</v>
          </cell>
          <cell r="H2364" t="str">
            <v>RAYMOND E GROFF INC</v>
          </cell>
          <cell r="I2364" t="str">
            <v>Lititz</v>
          </cell>
          <cell r="K2364" t="str">
            <v>1244 E Newport Rd</v>
          </cell>
          <cell r="L2364" t="str">
            <v>PA</v>
          </cell>
          <cell r="M2364">
            <v>17543</v>
          </cell>
          <cell r="N2364" t="str">
            <v>1244 E Newport Rd Lititz, PA 17543</v>
          </cell>
        </row>
        <row r="2365">
          <cell r="G2365">
            <v>245549</v>
          </cell>
          <cell r="H2365" t="str">
            <v>Village Shires Community Assoc</v>
          </cell>
          <cell r="I2365" t="str">
            <v>Holland</v>
          </cell>
          <cell r="K2365" t="str">
            <v>3001 E Village Rd</v>
          </cell>
          <cell r="L2365" t="str">
            <v>PA</v>
          </cell>
          <cell r="M2365">
            <v>18966</v>
          </cell>
          <cell r="N2365" t="str">
            <v>3001 E Village Rd Holland, PA 18966</v>
          </cell>
        </row>
        <row r="2366">
          <cell r="G2366">
            <v>345192</v>
          </cell>
          <cell r="H2366" t="str">
            <v>Davis Specialized Services</v>
          </cell>
          <cell r="I2366" t="str">
            <v>Blandon</v>
          </cell>
          <cell r="K2366" t="str">
            <v>108 Fleming St</v>
          </cell>
          <cell r="L2366" t="str">
            <v>PA</v>
          </cell>
          <cell r="M2366">
            <v>19510</v>
          </cell>
          <cell r="N2366" t="str">
            <v>108 Fleming St Blandon, PA 19510</v>
          </cell>
        </row>
        <row r="2367">
          <cell r="G2367">
            <v>239679</v>
          </cell>
          <cell r="H2367" t="str">
            <v>COMMUNITY BIBLE CHURCH</v>
          </cell>
          <cell r="I2367" t="str">
            <v>Leola</v>
          </cell>
          <cell r="K2367" t="str">
            <v>169 E Main St</v>
          </cell>
          <cell r="L2367" t="str">
            <v>PA</v>
          </cell>
          <cell r="M2367">
            <v>17540</v>
          </cell>
          <cell r="N2367" t="str">
            <v>169 E Main St Leola, PA 17540</v>
          </cell>
        </row>
        <row r="2368">
          <cell r="G2368">
            <v>241057</v>
          </cell>
          <cell r="H2368" t="str">
            <v>LIVING LIGHT MENNONITE CHURCH*</v>
          </cell>
          <cell r="I2368" t="str">
            <v>Washington Boro</v>
          </cell>
          <cell r="K2368" t="str">
            <v>2625 Safe Harbor Rd</v>
          </cell>
          <cell r="L2368" t="str">
            <v>PA</v>
          </cell>
          <cell r="M2368">
            <v>17582</v>
          </cell>
          <cell r="N2368" t="str">
            <v>2625 Safe Harbor Rd Washington Boro, PA 17582</v>
          </cell>
        </row>
        <row r="2369">
          <cell r="G2369">
            <v>439077</v>
          </cell>
          <cell r="H2369" t="str">
            <v>Burlington Electrical Testing</v>
          </cell>
          <cell r="I2369" t="str">
            <v>Croydon</v>
          </cell>
          <cell r="J2369" t="str">
            <v>Philly - NE</v>
          </cell>
          <cell r="K2369" t="str">
            <v>825 Sycamore Ave</v>
          </cell>
          <cell r="L2369" t="str">
            <v>PA</v>
          </cell>
          <cell r="M2369">
            <v>19021</v>
          </cell>
          <cell r="N2369" t="str">
            <v>825 Sycamore Ave Croydon, PA 19021</v>
          </cell>
        </row>
        <row r="2370">
          <cell r="G2370">
            <v>480487</v>
          </cell>
          <cell r="H2370" t="str">
            <v>MASONIC VILLAGE BLEILER CARING</v>
          </cell>
          <cell r="I2370" t="str">
            <v>ELIZABETHTOWN</v>
          </cell>
          <cell r="K2370" t="str">
            <v>179 Eden View Rd</v>
          </cell>
          <cell r="L2370" t="str">
            <v>PA</v>
          </cell>
          <cell r="M2370">
            <v>17022</v>
          </cell>
          <cell r="N2370" t="str">
            <v>179 Eden View Rd ELIZABETHTOWN, PA 17022</v>
          </cell>
        </row>
        <row r="2371">
          <cell r="G2371">
            <v>239739</v>
          </cell>
          <cell r="H2371" t="str">
            <v>CROSS ROADS BRETHREN IN CHRIST</v>
          </cell>
          <cell r="I2371" t="str">
            <v>Mount Joy</v>
          </cell>
          <cell r="K2371" t="str">
            <v>800 Donegal Springs Rd</v>
          </cell>
          <cell r="L2371" t="str">
            <v>PA</v>
          </cell>
          <cell r="M2371">
            <v>17552</v>
          </cell>
          <cell r="N2371" t="str">
            <v>800 Donegal Springs Rd Mount Joy, PA 17552</v>
          </cell>
        </row>
        <row r="2372">
          <cell r="G2372">
            <v>281300</v>
          </cell>
          <cell r="H2372" t="str">
            <v>TIMBERLINE CHURCH</v>
          </cell>
          <cell r="I2372" t="str">
            <v>Strasburg</v>
          </cell>
          <cell r="K2372" t="str">
            <v>30 Timber Ln</v>
          </cell>
          <cell r="L2372" t="str">
            <v>PA</v>
          </cell>
          <cell r="M2372">
            <v>17579</v>
          </cell>
          <cell r="N2372" t="str">
            <v>30 Timber Ln Strasburg, PA 17579</v>
          </cell>
        </row>
        <row r="2373">
          <cell r="G2373">
            <v>243783</v>
          </cell>
          <cell r="H2373" t="str">
            <v>Kremp's Florist</v>
          </cell>
          <cell r="I2373" t="str">
            <v>WILLOW GROVE</v>
          </cell>
          <cell r="J2373" t="str">
            <v>Philly Suburbs - North</v>
          </cell>
          <cell r="K2373" t="str">
            <v>220 Davisville Rd</v>
          </cell>
          <cell r="L2373" t="str">
            <v>PA</v>
          </cell>
          <cell r="M2373">
            <v>19090</v>
          </cell>
          <cell r="N2373" t="str">
            <v>220 Davisville Rd WILLOW GROVE, PA 19090</v>
          </cell>
        </row>
        <row r="2374">
          <cell r="G2374">
            <v>243985</v>
          </cell>
          <cell r="H2374" t="str">
            <v>Moorestown Friends School</v>
          </cell>
          <cell r="I2374" t="str">
            <v>Moorestown</v>
          </cell>
          <cell r="J2374" t="str">
            <v>Cherry Hill</v>
          </cell>
          <cell r="K2374" t="str">
            <v>110 E Main St</v>
          </cell>
          <cell r="L2374" t="str">
            <v>NJ</v>
          </cell>
          <cell r="M2374">
            <v>8057</v>
          </cell>
          <cell r="N2374" t="str">
            <v>110 E Main St Moorestown, NJ 08057</v>
          </cell>
        </row>
        <row r="2375">
          <cell r="G2375">
            <v>318329</v>
          </cell>
          <cell r="H2375" t="str">
            <v>Steven Scheck</v>
          </cell>
          <cell r="I2375" t="str">
            <v>Absecon</v>
          </cell>
          <cell r="J2375" t="str">
            <v>Atlantic City</v>
          </cell>
          <cell r="K2375" t="str">
            <v>320 Spruce St</v>
          </cell>
          <cell r="L2375" t="str">
            <v>NJ</v>
          </cell>
          <cell r="M2375">
            <v>8201</v>
          </cell>
          <cell r="N2375" t="str">
            <v>320 Spruce St Absecon, NJ 08201</v>
          </cell>
        </row>
        <row r="2376">
          <cell r="G2376">
            <v>342444</v>
          </cell>
          <cell r="H2376" t="str">
            <v>City of Lancaster Public Works</v>
          </cell>
          <cell r="I2376" t="str">
            <v>Lancaster</v>
          </cell>
          <cell r="K2376" t="str">
            <v>150 Pitney Rd</v>
          </cell>
          <cell r="L2376" t="str">
            <v>PA</v>
          </cell>
          <cell r="M2376">
            <v>17601</v>
          </cell>
          <cell r="N2376" t="str">
            <v>150 Pitney Rd Lancaster, PA 17601</v>
          </cell>
        </row>
        <row r="2377">
          <cell r="G2377">
            <v>301538</v>
          </cell>
          <cell r="H2377" t="str">
            <v>KING &amp; QUEEN SERVICES LLC#</v>
          </cell>
          <cell r="I2377" t="str">
            <v>Manheim</v>
          </cell>
          <cell r="K2377" t="str">
            <v>196 N LAUREL ST</v>
          </cell>
          <cell r="L2377" t="str">
            <v>PA</v>
          </cell>
          <cell r="M2377">
            <v>17545</v>
          </cell>
          <cell r="N2377" t="str">
            <v>196 N LAUREL ST Manheim, PA 17545</v>
          </cell>
        </row>
        <row r="2378">
          <cell r="G2378">
            <v>263347</v>
          </cell>
          <cell r="H2378" t="str">
            <v>QUENTIN DIXON</v>
          </cell>
          <cell r="I2378" t="str">
            <v>Lancaster</v>
          </cell>
          <cell r="K2378" t="str">
            <v>539 Rockland St</v>
          </cell>
          <cell r="L2378" t="str">
            <v>PA</v>
          </cell>
          <cell r="M2378">
            <v>17602</v>
          </cell>
          <cell r="N2378" t="str">
            <v>539 Rockland St Lancaster, PA 17602</v>
          </cell>
        </row>
        <row r="2379">
          <cell r="G2379">
            <v>318552</v>
          </cell>
          <cell r="H2379" t="str">
            <v>CUSTOM TRADE SOLUTIONS</v>
          </cell>
          <cell r="I2379" t="str">
            <v>Lancaster</v>
          </cell>
          <cell r="K2379" t="str">
            <v>12G Strasburg Pike</v>
          </cell>
          <cell r="L2379" t="str">
            <v>PA</v>
          </cell>
          <cell r="M2379">
            <v>17602</v>
          </cell>
          <cell r="N2379" t="str">
            <v>12G Strasburg Pike Lancaster, PA 17602</v>
          </cell>
        </row>
        <row r="2380">
          <cell r="G2380">
            <v>341359</v>
          </cell>
          <cell r="H2380" t="str">
            <v>Bucks County Baseball LLC</v>
          </cell>
          <cell r="I2380" t="str">
            <v>Chalfont</v>
          </cell>
          <cell r="K2380" t="str">
            <v>31 Oak Ave</v>
          </cell>
          <cell r="L2380" t="str">
            <v>PA</v>
          </cell>
          <cell r="M2380">
            <v>18914</v>
          </cell>
          <cell r="N2380" t="str">
            <v>31 Oak Ave Chalfont, PA 18914</v>
          </cell>
        </row>
        <row r="2381">
          <cell r="G2381">
            <v>308134</v>
          </cell>
          <cell r="H2381" t="str">
            <v>Mansfield Township</v>
          </cell>
          <cell r="I2381" t="str">
            <v>Columbus</v>
          </cell>
          <cell r="J2381" t="str">
            <v>Trenton - South</v>
          </cell>
          <cell r="K2381" t="str">
            <v>3135 ROUTE 206</v>
          </cell>
          <cell r="L2381" t="str">
            <v>NJ</v>
          </cell>
          <cell r="M2381">
            <v>8022</v>
          </cell>
          <cell r="N2381" t="str">
            <v>3135 ROUTE 206 Columbus, NJ 08022</v>
          </cell>
        </row>
        <row r="2382">
          <cell r="G2382">
            <v>458089</v>
          </cell>
          <cell r="H2382" t="str">
            <v>Action Karate-Cinnaminson NJ</v>
          </cell>
          <cell r="I2382" t="str">
            <v>Cinnaminson</v>
          </cell>
          <cell r="J2382" t="str">
            <v>Cherry Hill</v>
          </cell>
          <cell r="K2382" t="str">
            <v>1703 Highland Ave</v>
          </cell>
          <cell r="L2382" t="str">
            <v>NJ</v>
          </cell>
          <cell r="M2382">
            <v>8077</v>
          </cell>
          <cell r="N2382" t="str">
            <v>1703 Highland Ave Cinnaminson, NJ 08077</v>
          </cell>
        </row>
        <row r="2383">
          <cell r="G2383">
            <v>417176</v>
          </cell>
          <cell r="H2383" t="str">
            <v>Ewing Building &amp; Grounds Dept.</v>
          </cell>
          <cell r="I2383" t="str">
            <v>Trenton</v>
          </cell>
          <cell r="K2383" t="str">
            <v>220 Ewingville Rd</v>
          </cell>
          <cell r="L2383" t="str">
            <v>NJ</v>
          </cell>
          <cell r="M2383">
            <v>8638</v>
          </cell>
          <cell r="N2383" t="str">
            <v>220 Ewingville Rd Trenton, NJ 08638</v>
          </cell>
        </row>
        <row r="2384">
          <cell r="G2384">
            <v>243303</v>
          </cell>
          <cell r="H2384" t="str">
            <v>Delaware Valley University</v>
          </cell>
          <cell r="I2384" t="str">
            <v>Doylestown</v>
          </cell>
          <cell r="J2384" t="str">
            <v>Philly Suburbs - North</v>
          </cell>
          <cell r="K2384" t="str">
            <v>700 E Butler Ave</v>
          </cell>
          <cell r="L2384" t="str">
            <v>PA</v>
          </cell>
          <cell r="M2384">
            <v>18901</v>
          </cell>
          <cell r="N2384" t="str">
            <v>700 E Butler Ave Doylestown, PA 18901</v>
          </cell>
        </row>
        <row r="2385">
          <cell r="G2385">
            <v>305136</v>
          </cell>
          <cell r="H2385" t="str">
            <v>GRUDI ASSOCIATES</v>
          </cell>
          <cell r="I2385" t="str">
            <v>Annville</v>
          </cell>
          <cell r="J2385" t="str">
            <v>Lebanon - West</v>
          </cell>
          <cell r="K2385" t="str">
            <v>50 Landings Dr Ste A</v>
          </cell>
          <cell r="L2385" t="str">
            <v>PA</v>
          </cell>
          <cell r="M2385">
            <v>17003</v>
          </cell>
          <cell r="N2385" t="str">
            <v>50 Landings Dr Ste A Annville, PA 17003</v>
          </cell>
        </row>
        <row r="2386">
          <cell r="G2386">
            <v>244126</v>
          </cell>
          <cell r="H2386" t="str">
            <v>Tim Boyle</v>
          </cell>
          <cell r="I2386" t="str">
            <v>Montgomeryville</v>
          </cell>
          <cell r="K2386" t="str">
            <v>504 Victoria Dr</v>
          </cell>
          <cell r="L2386" t="str">
            <v>PA</v>
          </cell>
          <cell r="M2386">
            <v>18936</v>
          </cell>
          <cell r="N2386" t="str">
            <v>504 Victoria Dr Montgomeryville, PA 18936</v>
          </cell>
        </row>
        <row r="2387">
          <cell r="G2387">
            <v>329089</v>
          </cell>
          <cell r="H2387" t="str">
            <v>E LaundryLand LLC</v>
          </cell>
          <cell r="I2387" t="str">
            <v>Camden</v>
          </cell>
          <cell r="J2387" t="str">
            <v>Camden</v>
          </cell>
          <cell r="K2387" t="str">
            <v>1715 Mount Ephraim Ave</v>
          </cell>
          <cell r="L2387" t="str">
            <v>NJ</v>
          </cell>
          <cell r="M2387">
            <v>8104</v>
          </cell>
          <cell r="N2387" t="str">
            <v>1715 Mount Ephraim Ave Camden, NJ 08104</v>
          </cell>
        </row>
        <row r="2388">
          <cell r="G2388">
            <v>318050</v>
          </cell>
          <cell r="H2388" t="str">
            <v>MIDWAY MENNONITE RECEP. CNT</v>
          </cell>
          <cell r="I2388" t="str">
            <v>Lititz</v>
          </cell>
          <cell r="K2388" t="str">
            <v>1026 Union House Rd</v>
          </cell>
          <cell r="L2388" t="str">
            <v>PA</v>
          </cell>
          <cell r="M2388">
            <v>17543</v>
          </cell>
          <cell r="N2388" t="str">
            <v>1026 Union House Rd Lititz, PA 17543</v>
          </cell>
        </row>
        <row r="2389">
          <cell r="G2389">
            <v>415485</v>
          </cell>
          <cell r="H2389" t="str">
            <v>GOODS STORE</v>
          </cell>
          <cell r="I2389" t="str">
            <v>East Earl</v>
          </cell>
          <cell r="K2389" t="str">
            <v>1338 Main St</v>
          </cell>
          <cell r="L2389" t="str">
            <v>PA</v>
          </cell>
          <cell r="M2389">
            <v>17519</v>
          </cell>
          <cell r="N2389" t="str">
            <v>1338 Main St East Earl, PA 17519</v>
          </cell>
        </row>
        <row r="2390">
          <cell r="G2390">
            <v>474781</v>
          </cell>
          <cell r="H2390" t="str">
            <v>Capital Coating Inc</v>
          </cell>
          <cell r="I2390" t="str">
            <v>Kinzers</v>
          </cell>
          <cell r="K2390" t="str">
            <v>7 S Kinzer Rd</v>
          </cell>
          <cell r="L2390" t="str">
            <v>PA</v>
          </cell>
          <cell r="M2390">
            <v>17535</v>
          </cell>
          <cell r="N2390" t="str">
            <v>7 S Kinzer Rd Kinzers, PA 17535</v>
          </cell>
        </row>
        <row r="2391">
          <cell r="G2391">
            <v>326276</v>
          </cell>
          <cell r="H2391" t="str">
            <v>Krissna Nuon</v>
          </cell>
          <cell r="I2391" t="str">
            <v>Lancaster</v>
          </cell>
          <cell r="K2391" t="str">
            <v>267 Delp Rd</v>
          </cell>
          <cell r="L2391" t="str">
            <v>PA</v>
          </cell>
          <cell r="M2391">
            <v>17601</v>
          </cell>
          <cell r="N2391" t="str">
            <v>267 Delp Rd Lancaster, PA 17601</v>
          </cell>
        </row>
        <row r="2392">
          <cell r="G2392">
            <v>324150</v>
          </cell>
          <cell r="H2392" t="str">
            <v>KNIGHT CLEANING SERVICES#</v>
          </cell>
          <cell r="I2392" t="str">
            <v>Manheim</v>
          </cell>
          <cell r="K2392" t="str">
            <v>200 Hershey Dr</v>
          </cell>
          <cell r="L2392" t="str">
            <v>PA</v>
          </cell>
          <cell r="M2392">
            <v>17545</v>
          </cell>
          <cell r="N2392" t="str">
            <v>200 Hershey Dr Manheim, PA 17545</v>
          </cell>
        </row>
        <row r="2393">
          <cell r="G2393">
            <v>418647</v>
          </cell>
          <cell r="H2393" t="str">
            <v>SHARON SCHOOL</v>
          </cell>
          <cell r="I2393" t="str">
            <v>Robbinsville</v>
          </cell>
          <cell r="K2393" t="str">
            <v>234 Sharon Rd</v>
          </cell>
          <cell r="L2393" t="str">
            <v>NJ</v>
          </cell>
          <cell r="M2393">
            <v>8691</v>
          </cell>
          <cell r="N2393" t="str">
            <v>234 Sharon Rd Robbinsville, NJ 08691</v>
          </cell>
        </row>
        <row r="2394">
          <cell r="G2394">
            <v>285530</v>
          </cell>
          <cell r="H2394" t="str">
            <v>MOUNTVILLE BOROUGH AUTHORITY</v>
          </cell>
          <cell r="I2394" t="str">
            <v>Mountville</v>
          </cell>
          <cell r="K2394" t="str">
            <v>120 College Ave</v>
          </cell>
          <cell r="L2394" t="str">
            <v>PA</v>
          </cell>
          <cell r="M2394">
            <v>17554</v>
          </cell>
          <cell r="N2394" t="str">
            <v>120 College Ave Mountville, PA 17554</v>
          </cell>
        </row>
        <row r="2395">
          <cell r="G2395">
            <v>481187</v>
          </cell>
          <cell r="H2395" t="str">
            <v>East Hanover Elementary School</v>
          </cell>
          <cell r="I2395" t="str">
            <v>Grantville</v>
          </cell>
          <cell r="K2395" t="str">
            <v>2673 Sand Beach Rd</v>
          </cell>
          <cell r="L2395" t="str">
            <v>PA</v>
          </cell>
          <cell r="M2395">
            <v>17028</v>
          </cell>
          <cell r="N2395" t="str">
            <v>2673 Sand Beach Rd Grantville, PA 17028</v>
          </cell>
        </row>
        <row r="2396">
          <cell r="G2396">
            <v>310369</v>
          </cell>
          <cell r="H2396" t="str">
            <v>SHARP SHOPPER GROCERY OUTLET</v>
          </cell>
          <cell r="I2396" t="str">
            <v>Leola</v>
          </cell>
          <cell r="K2396" t="str">
            <v>340 W Main St</v>
          </cell>
          <cell r="L2396" t="str">
            <v>PA</v>
          </cell>
          <cell r="M2396">
            <v>17540</v>
          </cell>
          <cell r="N2396" t="str">
            <v>340 W Main St Leola, PA 17540</v>
          </cell>
        </row>
        <row r="2397">
          <cell r="G2397">
            <v>333126</v>
          </cell>
          <cell r="H2397" t="str">
            <v>Hope City Church INC.</v>
          </cell>
          <cell r="I2397" t="str">
            <v>Lancaster</v>
          </cell>
          <cell r="K2397" t="str">
            <v>921 Nissley Rd</v>
          </cell>
          <cell r="L2397" t="str">
            <v>PA</v>
          </cell>
          <cell r="M2397">
            <v>17601</v>
          </cell>
          <cell r="N2397" t="str">
            <v>921 Nissley Rd Lancaster, PA 17601</v>
          </cell>
        </row>
        <row r="2398">
          <cell r="G2398">
            <v>312581</v>
          </cell>
          <cell r="H2398" t="str">
            <v>Polished Ram</v>
          </cell>
          <cell r="I2398" t="str">
            <v>Huntingdon Valley</v>
          </cell>
          <cell r="J2398" t="str">
            <v>Philly Suburbs - North</v>
          </cell>
          <cell r="K2398" t="str">
            <v>2110 Elbow Ln</v>
          </cell>
          <cell r="L2398" t="str">
            <v>PA</v>
          </cell>
          <cell r="M2398">
            <v>19006</v>
          </cell>
          <cell r="N2398" t="str">
            <v>2110 Elbow Ln Huntingdon Valley, PA 19006</v>
          </cell>
        </row>
        <row r="2399">
          <cell r="G2399">
            <v>469606</v>
          </cell>
          <cell r="H2399" t="str">
            <v>MASONIC VILLAGE GRAND LODGE DO</v>
          </cell>
          <cell r="I2399" t="str">
            <v>ELIZABETHTOWN</v>
          </cell>
          <cell r="K2399" t="str">
            <v>75 Village Green Dr - Dock #1</v>
          </cell>
          <cell r="L2399" t="str">
            <v>PA</v>
          </cell>
          <cell r="M2399">
            <v>17022</v>
          </cell>
          <cell r="N2399" t="str">
            <v>75 Village Green Dr - Dock #1 ELIZABETHTOWN, PA 17022</v>
          </cell>
        </row>
        <row r="2400">
          <cell r="G2400">
            <v>242157</v>
          </cell>
          <cell r="H2400" t="str">
            <v>TRINITY E C CHURCH</v>
          </cell>
          <cell r="I2400" t="str">
            <v>Lancaster</v>
          </cell>
          <cell r="K2400" t="str">
            <v>322 Hershey Ave</v>
          </cell>
          <cell r="L2400" t="str">
            <v>PA</v>
          </cell>
          <cell r="M2400">
            <v>17603</v>
          </cell>
          <cell r="N2400" t="str">
            <v>322 Hershey Ave Lancaster, PA 17603</v>
          </cell>
        </row>
        <row r="2401">
          <cell r="G2401">
            <v>328356</v>
          </cell>
          <cell r="H2401" t="str">
            <v>HOLIDAY INN LANCASTER</v>
          </cell>
          <cell r="I2401" t="str">
            <v>Lancaster</v>
          </cell>
          <cell r="K2401" t="str">
            <v>26 E Chestnut St</v>
          </cell>
          <cell r="L2401" t="str">
            <v>PA</v>
          </cell>
          <cell r="M2401">
            <v>17602</v>
          </cell>
          <cell r="N2401" t="str">
            <v>26 E Chestnut St Lancaster, PA 17602</v>
          </cell>
        </row>
        <row r="2402">
          <cell r="G2402">
            <v>341678</v>
          </cell>
          <cell r="H2402" t="str">
            <v>Woerth Motor Co</v>
          </cell>
          <cell r="I2402" t="str">
            <v>Gap</v>
          </cell>
          <cell r="K2402" t="str">
            <v>157 PINE CREEK DR</v>
          </cell>
          <cell r="L2402" t="str">
            <v>PA</v>
          </cell>
          <cell r="M2402">
            <v>17527</v>
          </cell>
          <cell r="N2402" t="str">
            <v>157 PINE CREEK DR Gap, PA 17527</v>
          </cell>
        </row>
        <row r="2403">
          <cell r="G2403">
            <v>242187</v>
          </cell>
          <cell r="H2403" t="str">
            <v>TUSCARORA SCHOOL DISTRICT</v>
          </cell>
          <cell r="I2403" t="str">
            <v>Mercersburg</v>
          </cell>
          <cell r="K2403" t="str">
            <v>100 W Seminary St</v>
          </cell>
          <cell r="L2403" t="str">
            <v>PA</v>
          </cell>
          <cell r="M2403">
            <v>17236</v>
          </cell>
          <cell r="N2403" t="str">
            <v>100 W Seminary St Mercersburg, PA 17236</v>
          </cell>
        </row>
        <row r="2404">
          <cell r="G2404">
            <v>293964</v>
          </cell>
          <cell r="H2404" t="str">
            <v>FIRST RATE DRYWALL</v>
          </cell>
          <cell r="I2404" t="str">
            <v>Lititz</v>
          </cell>
          <cell r="K2404" t="str">
            <v>655 W Newport Rd</v>
          </cell>
          <cell r="L2404" t="str">
            <v>PA</v>
          </cell>
          <cell r="M2404">
            <v>17543</v>
          </cell>
          <cell r="N2404" t="str">
            <v>655 W Newport Rd Lititz, PA 17543</v>
          </cell>
        </row>
        <row r="2405">
          <cell r="G2405">
            <v>323660</v>
          </cell>
          <cell r="H2405" t="str">
            <v>CRYSTAL CLEAR JANITORIAL INC#</v>
          </cell>
          <cell r="I2405" t="str">
            <v>Atglen</v>
          </cell>
          <cell r="J2405" t="str">
            <v>Lancaster - SE</v>
          </cell>
          <cell r="K2405" t="str">
            <v>710 Steelville Mill Rd</v>
          </cell>
          <cell r="L2405" t="str">
            <v>PA</v>
          </cell>
          <cell r="M2405">
            <v>19310</v>
          </cell>
          <cell r="N2405" t="str">
            <v>710 Steelville Mill Rd Atglen, PA 19310</v>
          </cell>
        </row>
        <row r="2406">
          <cell r="G2406">
            <v>344658</v>
          </cell>
          <cell r="H2406" t="str">
            <v>TIE'S CLEANING MACHINE</v>
          </cell>
          <cell r="I2406" t="str">
            <v>Mount Laurel</v>
          </cell>
          <cell r="J2406" t="str">
            <v>Cherry Hill</v>
          </cell>
          <cell r="K2406" t="str">
            <v>127 Gaither Dr Suite E</v>
          </cell>
          <cell r="L2406" t="str">
            <v>NJ</v>
          </cell>
          <cell r="M2406">
            <v>8054</v>
          </cell>
          <cell r="N2406" t="str">
            <v>127 Gaither Dr Suite E Mount Laurel, NJ 08054</v>
          </cell>
        </row>
        <row r="2407">
          <cell r="G2407">
            <v>432281</v>
          </cell>
          <cell r="H2407" t="str">
            <v>SKH    NURSERY MECH</v>
          </cell>
          <cell r="I2407" t="str">
            <v>Mechanicsburg</v>
          </cell>
          <cell r="K2407" t="str">
            <v>51 Gettysburg Pike</v>
          </cell>
          <cell r="L2407" t="str">
            <v>PA</v>
          </cell>
          <cell r="M2407">
            <v>17055</v>
          </cell>
          <cell r="N2407" t="str">
            <v>51 Gettysburg Pike Mechanicsburg, PA 17055</v>
          </cell>
        </row>
        <row r="2408">
          <cell r="G2408">
            <v>240038</v>
          </cell>
          <cell r="H2408" t="str">
            <v>FAITH BIBLE FELLOWSHIP CHURCH#</v>
          </cell>
          <cell r="I2408" t="str">
            <v>Lancaster</v>
          </cell>
          <cell r="K2408" t="str">
            <v>151 Donerville Rd</v>
          </cell>
          <cell r="L2408" t="str">
            <v>PA</v>
          </cell>
          <cell r="M2408">
            <v>17603</v>
          </cell>
          <cell r="N2408" t="str">
            <v>151 Donerville Rd Lancaster, PA 17603</v>
          </cell>
        </row>
        <row r="2409">
          <cell r="G2409">
            <v>239615</v>
          </cell>
          <cell r="H2409" t="str">
            <v>CLEARVIEW MENNONITE SCHOOL#</v>
          </cell>
          <cell r="I2409" t="str">
            <v>Manheim</v>
          </cell>
          <cell r="K2409" t="str">
            <v>341 Weaver Rd</v>
          </cell>
          <cell r="L2409" t="str">
            <v>PA</v>
          </cell>
          <cell r="M2409">
            <v>17545</v>
          </cell>
          <cell r="N2409" t="str">
            <v>341 Weaver Rd Manheim, PA 17545</v>
          </cell>
        </row>
        <row r="2410">
          <cell r="G2410">
            <v>241182</v>
          </cell>
          <cell r="H2410" t="str">
            <v>MOUNT JOY MENNONITE CHURCH***</v>
          </cell>
          <cell r="I2410" t="str">
            <v>Mount Joy</v>
          </cell>
          <cell r="K2410" t="str">
            <v>320 Musser Rd</v>
          </cell>
          <cell r="L2410" t="str">
            <v>PA</v>
          </cell>
          <cell r="M2410">
            <v>17552</v>
          </cell>
          <cell r="N2410" t="str">
            <v>320 Musser Rd Mount Joy, PA 17552</v>
          </cell>
        </row>
        <row r="2411">
          <cell r="G2411">
            <v>296186</v>
          </cell>
          <cell r="H2411" t="str">
            <v>WEAVERS GARAGE INC</v>
          </cell>
          <cell r="I2411" t="str">
            <v>Lititz</v>
          </cell>
          <cell r="K2411" t="str">
            <v>533 E Newport Rd</v>
          </cell>
          <cell r="L2411" t="str">
            <v>PA</v>
          </cell>
          <cell r="M2411">
            <v>17543</v>
          </cell>
          <cell r="N2411" t="str">
            <v>533 E Newport Rd Lititz, PA 17543</v>
          </cell>
        </row>
        <row r="2412">
          <cell r="G2412">
            <v>469288</v>
          </cell>
          <cell r="H2412" t="str">
            <v>Gwynedd Square Elementary Scho</v>
          </cell>
          <cell r="I2412" t="str">
            <v>Lansdale</v>
          </cell>
          <cell r="K2412" t="str">
            <v>1641 Supplee Rd</v>
          </cell>
          <cell r="L2412" t="str">
            <v>PA</v>
          </cell>
          <cell r="M2412">
            <v>19446</v>
          </cell>
          <cell r="N2412" t="str">
            <v>1641 Supplee Rd Lansdale, PA 19446</v>
          </cell>
        </row>
        <row r="2413">
          <cell r="G2413">
            <v>479841</v>
          </cell>
          <cell r="H2413" t="str">
            <v>Warehouse Athletics</v>
          </cell>
          <cell r="I2413" t="str">
            <v>Lititz</v>
          </cell>
          <cell r="K2413" t="str">
            <v>37 W Millport Rd</v>
          </cell>
          <cell r="L2413" t="str">
            <v>PA</v>
          </cell>
          <cell r="M2413">
            <v>17543</v>
          </cell>
          <cell r="N2413" t="str">
            <v>37 W Millport Rd Lititz, PA 17543</v>
          </cell>
        </row>
        <row r="2414">
          <cell r="G2414">
            <v>274142</v>
          </cell>
          <cell r="H2414" t="str">
            <v>Mid County Senior Center</v>
          </cell>
          <cell r="I2414" t="str">
            <v>Wilmington</v>
          </cell>
          <cell r="K2414" t="str">
            <v>1 1st Regiment Rd</v>
          </cell>
          <cell r="L2414" t="str">
            <v>DE</v>
          </cell>
          <cell r="M2414">
            <v>19808</v>
          </cell>
          <cell r="N2414" t="str">
            <v>1 1st Regiment Rd Wilmington, DE 19808</v>
          </cell>
        </row>
        <row r="2415">
          <cell r="G2415">
            <v>482831</v>
          </cell>
          <cell r="H2415" t="str">
            <v>Elizabethtown College</v>
          </cell>
          <cell r="I2415" t="str">
            <v>ELIZABETHTOWN</v>
          </cell>
          <cell r="K2415" t="str">
            <v>1 Kiwanis Blvd</v>
          </cell>
          <cell r="L2415" t="str">
            <v>PA</v>
          </cell>
          <cell r="M2415">
            <v>17022</v>
          </cell>
          <cell r="N2415" t="str">
            <v>1 Kiwanis Blvd ELIZABETHTOWN, PA 17022</v>
          </cell>
        </row>
        <row r="2416">
          <cell r="G2416">
            <v>340409</v>
          </cell>
          <cell r="H2416" t="str">
            <v>NEWPORT CHURCH</v>
          </cell>
          <cell r="I2416" t="str">
            <v>Elm</v>
          </cell>
          <cell r="K2416" t="str">
            <v>656 W Newport Rd</v>
          </cell>
          <cell r="L2416" t="str">
            <v>PA</v>
          </cell>
          <cell r="M2416">
            <v>17521</v>
          </cell>
          <cell r="N2416" t="str">
            <v>656 W Newport Rd Elm, PA 17521</v>
          </cell>
        </row>
        <row r="2417">
          <cell r="G2417">
            <v>342517</v>
          </cell>
          <cell r="H2417" t="str">
            <v>NORTHAMPTON TENNIS &amp; FITNESS</v>
          </cell>
          <cell r="I2417" t="str">
            <v>Richboro</v>
          </cell>
          <cell r="J2417" t="str">
            <v>Philly Suburbs - North</v>
          </cell>
          <cell r="K2417" t="str">
            <v>593 Glen Meadow Rd</v>
          </cell>
          <cell r="L2417" t="str">
            <v>PA</v>
          </cell>
          <cell r="M2417">
            <v>18954</v>
          </cell>
          <cell r="N2417" t="str">
            <v>593 Glen Meadow Rd Richboro, PA 18954</v>
          </cell>
        </row>
        <row r="2418">
          <cell r="G2418">
            <v>437966</v>
          </cell>
          <cell r="H2418" t="str">
            <v>Penn Beach Elementary School</v>
          </cell>
          <cell r="I2418" t="str">
            <v>Pennsville</v>
          </cell>
          <cell r="K2418" t="str">
            <v>96 Kansas Rd</v>
          </cell>
          <cell r="L2418" t="str">
            <v>NJ</v>
          </cell>
          <cell r="M2418">
            <v>8070</v>
          </cell>
          <cell r="N2418" t="str">
            <v>96 Kansas Rd Pennsville, NJ 08070</v>
          </cell>
        </row>
        <row r="2419">
          <cell r="G2419">
            <v>269475</v>
          </cell>
          <cell r="H2419" t="str">
            <v>GENE ENGLISH</v>
          </cell>
          <cell r="I2419" t="str">
            <v>Wrightsville</v>
          </cell>
          <cell r="K2419" t="str">
            <v>710 Strickler School Rd</v>
          </cell>
          <cell r="L2419" t="str">
            <v>PA</v>
          </cell>
          <cell r="M2419">
            <v>17368</v>
          </cell>
          <cell r="N2419" t="str">
            <v>710 Strickler School Rd Wrightsville, PA 17368</v>
          </cell>
        </row>
        <row r="2420">
          <cell r="G2420">
            <v>314233</v>
          </cell>
          <cell r="H2420" t="str">
            <v>Edward Christy</v>
          </cell>
          <cell r="I2420" t="str">
            <v>Hatboro</v>
          </cell>
          <cell r="J2420" t="str">
            <v>Philly Suburbs - North</v>
          </cell>
          <cell r="K2420" t="str">
            <v>208 Beatrice Ave</v>
          </cell>
          <cell r="L2420" t="str">
            <v>PA</v>
          </cell>
          <cell r="M2420">
            <v>19040</v>
          </cell>
          <cell r="N2420" t="str">
            <v>208 Beatrice Ave Hatboro, PA 19040</v>
          </cell>
        </row>
        <row r="2421">
          <cell r="G2421">
            <v>240695</v>
          </cell>
          <cell r="H2421" t="str">
            <v>LAKE MEADE P O A</v>
          </cell>
          <cell r="I2421" t="str">
            <v>East Berlin</v>
          </cell>
          <cell r="K2421" t="str">
            <v>4 Forrest Dr</v>
          </cell>
          <cell r="L2421" t="str">
            <v>PA</v>
          </cell>
          <cell r="M2421">
            <v>17316</v>
          </cell>
          <cell r="N2421" t="str">
            <v>4 Forrest Dr East Berlin, PA 17316</v>
          </cell>
        </row>
        <row r="2422">
          <cell r="G2422">
            <v>418853</v>
          </cell>
          <cell r="H2422" t="str">
            <v>Tredyffrin / Easttown Middle S</v>
          </cell>
          <cell r="I2422" t="str">
            <v>Berwyn</v>
          </cell>
          <cell r="K2422" t="str">
            <v>801 Conestoga Rd</v>
          </cell>
          <cell r="L2422" t="str">
            <v>PA</v>
          </cell>
          <cell r="M2422">
            <v>19312</v>
          </cell>
          <cell r="N2422" t="str">
            <v>801 Conestoga Rd Berwyn, PA 19312</v>
          </cell>
        </row>
        <row r="2423">
          <cell r="G2423">
            <v>272997</v>
          </cell>
          <cell r="H2423" t="str">
            <v>LANCASTER YMCA</v>
          </cell>
          <cell r="I2423" t="str">
            <v>Lancaster</v>
          </cell>
          <cell r="K2423" t="str">
            <v>265 Harrisburg Ave</v>
          </cell>
          <cell r="L2423" t="str">
            <v>PA</v>
          </cell>
          <cell r="M2423">
            <v>17603</v>
          </cell>
          <cell r="N2423" t="str">
            <v>265 Harrisburg Ave Lancaster, PA 17603</v>
          </cell>
        </row>
        <row r="2424">
          <cell r="G2424">
            <v>480971</v>
          </cell>
          <cell r="H2424" t="str">
            <v>Jelko Services Inc.</v>
          </cell>
          <cell r="I2424" t="str">
            <v>Flemington</v>
          </cell>
          <cell r="K2424" t="str">
            <v>683 State Route 12</v>
          </cell>
          <cell r="L2424" t="str">
            <v>NJ</v>
          </cell>
          <cell r="M2424">
            <v>8822</v>
          </cell>
          <cell r="N2424" t="str">
            <v>683 State Route 12 Flemington, NJ 08822</v>
          </cell>
        </row>
        <row r="2425">
          <cell r="G2425">
            <v>326081</v>
          </cell>
          <cell r="H2425" t="str">
            <v>BETTE PALMERRUBY</v>
          </cell>
          <cell r="I2425" t="str">
            <v>Lancaster</v>
          </cell>
          <cell r="K2425" t="str">
            <v>971 Center Ave</v>
          </cell>
          <cell r="L2425" t="str">
            <v>PA</v>
          </cell>
          <cell r="M2425">
            <v>17601</v>
          </cell>
          <cell r="N2425" t="str">
            <v>971 Center Ave Lancaster, PA 17601</v>
          </cell>
        </row>
        <row r="2426">
          <cell r="G2426">
            <v>246845</v>
          </cell>
          <cell r="H2426" t="str">
            <v>LANCASTER FOUNDRY SUPPLY CO IN</v>
          </cell>
          <cell r="I2426" t="str">
            <v>Lancaster</v>
          </cell>
          <cell r="K2426" t="str">
            <v>2314 Norman Rd</v>
          </cell>
          <cell r="L2426" t="str">
            <v>PA</v>
          </cell>
          <cell r="M2426">
            <v>17601</v>
          </cell>
          <cell r="N2426" t="str">
            <v>2314 Norman Rd Lancaster, PA 17601</v>
          </cell>
        </row>
        <row r="2427">
          <cell r="G2427">
            <v>305641</v>
          </cell>
          <cell r="H2427" t="str">
            <v>Temple Health Chestnut Hill Ho</v>
          </cell>
          <cell r="I2427" t="str">
            <v>Philadelphia</v>
          </cell>
          <cell r="K2427" t="str">
            <v>8835 GERMANTOWN AVE</v>
          </cell>
          <cell r="L2427" t="str">
            <v>PA</v>
          </cell>
          <cell r="M2427">
            <v>19118</v>
          </cell>
          <cell r="N2427" t="str">
            <v>8835 GERMANTOWN AVE Philadelphia, PA 19118</v>
          </cell>
        </row>
        <row r="2428">
          <cell r="G2428">
            <v>471042</v>
          </cell>
          <cell r="H2428" t="str">
            <v>TE Connectivity -Rapho Park Pl</v>
          </cell>
          <cell r="I2428" t="str">
            <v>Manheim</v>
          </cell>
          <cell r="K2428" t="str">
            <v>209 Shellyland Rd</v>
          </cell>
          <cell r="L2428" t="str">
            <v>PA</v>
          </cell>
          <cell r="M2428">
            <v>17545</v>
          </cell>
          <cell r="N2428" t="str">
            <v>209 Shellyland Rd Manheim, PA 17545</v>
          </cell>
        </row>
        <row r="2429">
          <cell r="G2429">
            <v>241416</v>
          </cell>
          <cell r="H2429" t="str">
            <v>PEQUEA BRETHREN IN CHRIST</v>
          </cell>
          <cell r="I2429" t="str">
            <v>Lancaster</v>
          </cell>
          <cell r="K2429" t="str">
            <v>40 Church Rd</v>
          </cell>
          <cell r="L2429" t="str">
            <v>PA</v>
          </cell>
          <cell r="M2429">
            <v>17603</v>
          </cell>
          <cell r="N2429" t="str">
            <v>40 Church Rd Lancaster, PA 17603</v>
          </cell>
        </row>
        <row r="2430">
          <cell r="G2430">
            <v>256665</v>
          </cell>
          <cell r="H2430" t="str">
            <v>TIMS CLEANING SERVICE</v>
          </cell>
          <cell r="I2430" t="str">
            <v>Ephrata</v>
          </cell>
          <cell r="K2430" t="str">
            <v>11 Stoneridge Cir</v>
          </cell>
          <cell r="L2430" t="str">
            <v>PA</v>
          </cell>
          <cell r="M2430">
            <v>17522</v>
          </cell>
          <cell r="N2430" t="str">
            <v>11 Stoneridge Cir Ephrata, PA 17522</v>
          </cell>
        </row>
        <row r="2431">
          <cell r="G2431">
            <v>336489</v>
          </cell>
          <cell r="H2431" t="str">
            <v>Foxfield At Naaman's Creek Inc</v>
          </cell>
          <cell r="I2431" t="str">
            <v>Garnet Valley</v>
          </cell>
          <cell r="K2431" t="str">
            <v>100 Clubhouse Cir</v>
          </cell>
          <cell r="L2431" t="str">
            <v>PA</v>
          </cell>
          <cell r="M2431">
            <v>19060</v>
          </cell>
          <cell r="N2431" t="str">
            <v>100 Clubhouse Cir Garnet Valley, PA 19060</v>
          </cell>
        </row>
        <row r="2432">
          <cell r="G2432">
            <v>240706</v>
          </cell>
          <cell r="H2432" t="str">
            <v>LAMPETER UNITED METHODIST CHUR</v>
          </cell>
          <cell r="I2432" t="str">
            <v>Lancaster</v>
          </cell>
          <cell r="K2432" t="str">
            <v>1101 Village Rd</v>
          </cell>
          <cell r="L2432" t="str">
            <v>PA</v>
          </cell>
          <cell r="M2432">
            <v>17602</v>
          </cell>
          <cell r="N2432" t="str">
            <v>1101 Village Rd Lancaster, PA 17602</v>
          </cell>
        </row>
        <row r="2433">
          <cell r="G2433">
            <v>329016</v>
          </cell>
          <cell r="H2433" t="str">
            <v>MILLERSVILLE UNIV SERVICE ONLY</v>
          </cell>
          <cell r="I2433" t="str">
            <v>Millersville</v>
          </cell>
          <cell r="K2433" t="str">
            <v>153 S Creek Rd</v>
          </cell>
          <cell r="L2433" t="str">
            <v>PA</v>
          </cell>
          <cell r="M2433">
            <v>17551</v>
          </cell>
          <cell r="N2433" t="str">
            <v>153 S Creek Rd Millersville, PA 17551</v>
          </cell>
        </row>
        <row r="2434">
          <cell r="G2434">
            <v>481694</v>
          </cell>
          <cell r="H2434" t="str">
            <v>Bill Falcone</v>
          </cell>
          <cell r="I2434" t="str">
            <v>Steelton</v>
          </cell>
          <cell r="K2434" t="str">
            <v>2238 S 2nd St</v>
          </cell>
          <cell r="L2434" t="str">
            <v>PA</v>
          </cell>
          <cell r="M2434">
            <v>17113</v>
          </cell>
          <cell r="N2434" t="str">
            <v>2238 S 2nd St Steelton, PA 17113</v>
          </cell>
        </row>
        <row r="2435">
          <cell r="G2435">
            <v>239464</v>
          </cell>
          <cell r="H2435" t="str">
            <v>CALVARY BAPTIST CHURCH V</v>
          </cell>
          <cell r="I2435" t="str">
            <v>Lancaster</v>
          </cell>
          <cell r="K2435" t="str">
            <v>530 Milton Rd</v>
          </cell>
          <cell r="L2435" t="str">
            <v>PA</v>
          </cell>
          <cell r="M2435">
            <v>17602</v>
          </cell>
          <cell r="N2435" t="str">
            <v>530 Milton Rd Lancaster, PA 17602</v>
          </cell>
        </row>
        <row r="2436">
          <cell r="G2436">
            <v>468560</v>
          </cell>
          <cell r="H2436" t="str">
            <v>Laurel Elementary</v>
          </cell>
          <cell r="I2436" t="str">
            <v>Laurel</v>
          </cell>
          <cell r="K2436" t="str">
            <v>815 S Central Ave</v>
          </cell>
          <cell r="L2436" t="str">
            <v>DE</v>
          </cell>
          <cell r="M2436">
            <v>19956</v>
          </cell>
          <cell r="N2436" t="str">
            <v>815 S Central Ave Laurel, DE 19956</v>
          </cell>
        </row>
        <row r="2437">
          <cell r="G2437">
            <v>331855</v>
          </cell>
          <cell r="H2437" t="str">
            <v>LILY'S BEST IN TOWN</v>
          </cell>
          <cell r="I2437" t="str">
            <v>Lancaster</v>
          </cell>
          <cell r="K2437" t="str">
            <v>417 E Frederick St</v>
          </cell>
          <cell r="L2437" t="str">
            <v>PA</v>
          </cell>
          <cell r="M2437">
            <v>17602</v>
          </cell>
          <cell r="N2437" t="str">
            <v>417 E Frederick St Lancaster, PA 17602</v>
          </cell>
        </row>
        <row r="2438">
          <cell r="G2438">
            <v>297463</v>
          </cell>
          <cell r="H2438" t="str">
            <v>First Global Methodist Church</v>
          </cell>
          <cell r="I2438" t="str">
            <v>Cherry Hill</v>
          </cell>
          <cell r="J2438" t="str">
            <v>Cherry Hill</v>
          </cell>
          <cell r="K2438" t="str">
            <v>1995 Marlton Pike East</v>
          </cell>
          <cell r="L2438" t="str">
            <v>NJ</v>
          </cell>
          <cell r="M2438">
            <v>8003</v>
          </cell>
          <cell r="N2438" t="str">
            <v>1995 Marlton Pike East Cherry Hill, NJ 08003</v>
          </cell>
        </row>
        <row r="2439">
          <cell r="G2439">
            <v>307495</v>
          </cell>
          <cell r="H2439" t="str">
            <v>CARLISLE BOROUGH PARKS &amp; RECRE</v>
          </cell>
          <cell r="I2439" t="str">
            <v>Carlisle</v>
          </cell>
          <cell r="K2439" t="str">
            <v>415 Franklin St</v>
          </cell>
          <cell r="L2439" t="str">
            <v>PA</v>
          </cell>
          <cell r="M2439">
            <v>17013</v>
          </cell>
          <cell r="N2439" t="str">
            <v>415 Franklin St Carlisle, PA 17013</v>
          </cell>
        </row>
        <row r="2440">
          <cell r="G2440">
            <v>307991</v>
          </cell>
          <cell r="H2440" t="str">
            <v>BRICK GABLES ZIGS BAKERY</v>
          </cell>
          <cell r="I2440" t="str">
            <v>Lititz</v>
          </cell>
          <cell r="K2440" t="str">
            <v>800 E Newport Rd</v>
          </cell>
          <cell r="L2440" t="str">
            <v>PA</v>
          </cell>
          <cell r="M2440">
            <v>17543</v>
          </cell>
          <cell r="N2440" t="str">
            <v>800 E Newport Rd Lititz, PA 17543</v>
          </cell>
        </row>
        <row r="2441">
          <cell r="G2441">
            <v>343425</v>
          </cell>
          <cell r="H2441" t="str">
            <v>Holy Rosary Regional Catholic</v>
          </cell>
          <cell r="I2441" t="str">
            <v>PLYMOUTH MEETING</v>
          </cell>
          <cell r="K2441" t="str">
            <v>3040 Walton Rd</v>
          </cell>
          <cell r="L2441" t="str">
            <v>PA</v>
          </cell>
          <cell r="M2441">
            <v>19462</v>
          </cell>
          <cell r="N2441" t="str">
            <v>3040 Walton Rd PLYMOUTH MEETING, PA 19462</v>
          </cell>
        </row>
        <row r="2442">
          <cell r="G2442">
            <v>453291</v>
          </cell>
          <cell r="H2442" t="str">
            <v>CLEARVIEW ELEMENTARY</v>
          </cell>
          <cell r="I2442" t="str">
            <v>Brogue</v>
          </cell>
          <cell r="K2442" t="str">
            <v>2650 Delta Rd</v>
          </cell>
          <cell r="L2442" t="str">
            <v>PA</v>
          </cell>
          <cell r="M2442">
            <v>17309</v>
          </cell>
          <cell r="N2442" t="str">
            <v>2650 Delta Rd Brogue, PA 17309</v>
          </cell>
        </row>
        <row r="2443">
          <cell r="G2443">
            <v>336865</v>
          </cell>
          <cell r="H2443" t="str">
            <v>Keystone State Sports</v>
          </cell>
          <cell r="I2443" t="str">
            <v>Manheim</v>
          </cell>
          <cell r="K2443" t="str">
            <v>662 Ditz Dr</v>
          </cell>
          <cell r="L2443" t="str">
            <v>PA</v>
          </cell>
          <cell r="M2443">
            <v>17545</v>
          </cell>
          <cell r="N2443" t="str">
            <v>662 Ditz Dr Manheim, PA 17545</v>
          </cell>
        </row>
        <row r="2444">
          <cell r="G2444">
            <v>316927</v>
          </cell>
          <cell r="H2444" t="str">
            <v>CLUGSTON CLEANING SERVICE*</v>
          </cell>
          <cell r="I2444" t="str">
            <v>Lititz</v>
          </cell>
          <cell r="K2444" t="str">
            <v>2073 Main St</v>
          </cell>
          <cell r="L2444" t="str">
            <v>PA</v>
          </cell>
          <cell r="M2444">
            <v>17543</v>
          </cell>
          <cell r="N2444" t="str">
            <v>2073 Main St Lititz, PA 17543</v>
          </cell>
        </row>
        <row r="2445">
          <cell r="G2445">
            <v>284406</v>
          </cell>
          <cell r="H2445" t="str">
            <v>WELSCH MAINTENANCE SERVICES IN</v>
          </cell>
          <cell r="I2445" t="str">
            <v>Lancaster</v>
          </cell>
          <cell r="K2445" t="str">
            <v>548 Gralan Dr</v>
          </cell>
          <cell r="L2445" t="str">
            <v>PA</v>
          </cell>
          <cell r="M2445">
            <v>17601</v>
          </cell>
          <cell r="N2445" t="str">
            <v>548 Gralan Dr Lancaster, PA 17601</v>
          </cell>
        </row>
        <row r="2446">
          <cell r="G2446">
            <v>345067</v>
          </cell>
          <cell r="H2446" t="str">
            <v>Freedom Custom Cutting LLC</v>
          </cell>
          <cell r="I2446" t="str">
            <v>Stevens</v>
          </cell>
          <cell r="K2446" t="str">
            <v>1235 Mount Airy Rd</v>
          </cell>
          <cell r="L2446" t="str">
            <v>PA</v>
          </cell>
          <cell r="M2446">
            <v>17578</v>
          </cell>
          <cell r="N2446" t="str">
            <v>1235 Mount Airy Rd Stevens, PA 17578</v>
          </cell>
        </row>
        <row r="2447">
          <cell r="G2447">
            <v>419089</v>
          </cell>
          <cell r="H2447" t="str">
            <v>W. L. Gore &amp; Associates Inc.</v>
          </cell>
          <cell r="I2447" t="str">
            <v>Newark</v>
          </cell>
          <cell r="K2447" t="str">
            <v>555 Paper Mill Rd</v>
          </cell>
          <cell r="L2447" t="str">
            <v>DE</v>
          </cell>
          <cell r="M2447">
            <v>19711</v>
          </cell>
          <cell r="N2447" t="str">
            <v>555 Paper Mill Rd Newark, DE 19711</v>
          </cell>
        </row>
        <row r="2448">
          <cell r="G2448">
            <v>239974</v>
          </cell>
          <cell r="H2448" t="str">
            <v>ELIZABETHTOWN ST PAULS UM CHUR</v>
          </cell>
          <cell r="I2448" t="str">
            <v>ELIZABETHTOWN</v>
          </cell>
          <cell r="K2448" t="str">
            <v>398 N Locust St</v>
          </cell>
          <cell r="L2448" t="str">
            <v>PA</v>
          </cell>
          <cell r="M2448">
            <v>17022</v>
          </cell>
          <cell r="N2448" t="str">
            <v>398 N Locust St ELIZABETHTOWN, PA 17022</v>
          </cell>
        </row>
        <row r="2449">
          <cell r="G2449">
            <v>416525</v>
          </cell>
          <cell r="H2449" t="str">
            <v>Simon Butler Elementary School</v>
          </cell>
          <cell r="I2449" t="str">
            <v>Chalfont</v>
          </cell>
          <cell r="K2449" t="str">
            <v>200 Brittany Dr</v>
          </cell>
          <cell r="L2449" t="str">
            <v>PA</v>
          </cell>
          <cell r="M2449">
            <v>18914</v>
          </cell>
          <cell r="N2449" t="str">
            <v>200 Brittany Dr Chalfont, PA 18914</v>
          </cell>
        </row>
        <row r="2450">
          <cell r="G2450">
            <v>325948</v>
          </cell>
          <cell r="H2450" t="str">
            <v>Lanc Independent Baptist Churc</v>
          </cell>
          <cell r="I2450" t="str">
            <v>Lititz</v>
          </cell>
          <cell r="K2450" t="str">
            <v>33 E Center St</v>
          </cell>
          <cell r="L2450" t="str">
            <v>PA</v>
          </cell>
          <cell r="M2450">
            <v>17543</v>
          </cell>
          <cell r="N2450" t="str">
            <v>33 E Center St Lititz, PA 17543</v>
          </cell>
        </row>
        <row r="2451">
          <cell r="G2451">
            <v>425364</v>
          </cell>
          <cell r="H2451" t="str">
            <v>Sovereign Avenue School</v>
          </cell>
          <cell r="I2451" t="str">
            <v>Atlantic City</v>
          </cell>
          <cell r="J2451" t="str">
            <v>Atlantic City</v>
          </cell>
          <cell r="K2451" t="str">
            <v>111 N Sovereign Ave</v>
          </cell>
          <cell r="L2451" t="str">
            <v>NJ</v>
          </cell>
          <cell r="M2451">
            <v>8401</v>
          </cell>
          <cell r="N2451" t="str">
            <v>111 N Sovereign Ave Atlantic City, NJ 08401</v>
          </cell>
        </row>
        <row r="2452">
          <cell r="G2452">
            <v>341927</v>
          </cell>
          <cell r="H2452" t="str">
            <v>CARRIAGE MACHINE SHOP LLC</v>
          </cell>
          <cell r="I2452" t="str">
            <v>Bird in Hand</v>
          </cell>
          <cell r="K2452" t="str">
            <v>250 Maple Ave</v>
          </cell>
          <cell r="L2452" t="str">
            <v>PA</v>
          </cell>
          <cell r="M2452">
            <v>17505</v>
          </cell>
          <cell r="N2452" t="str">
            <v>250 Maple Ave Bird in Hand, PA 17505</v>
          </cell>
        </row>
        <row r="2453">
          <cell r="G2453">
            <v>344903</v>
          </cell>
          <cell r="H2453" t="str">
            <v>Robert Hoey</v>
          </cell>
          <cell r="I2453" t="str">
            <v>Wilmington</v>
          </cell>
          <cell r="K2453" t="str">
            <v>144 Bunche Blvd</v>
          </cell>
          <cell r="L2453" t="str">
            <v>DE</v>
          </cell>
          <cell r="M2453">
            <v>19801</v>
          </cell>
          <cell r="N2453" t="str">
            <v>144 Bunche Blvd Wilmington, DE 19801</v>
          </cell>
        </row>
        <row r="2454">
          <cell r="G2454">
            <v>243952</v>
          </cell>
          <cell r="H2454" t="str">
            <v>Metropolitan Baptist Church</v>
          </cell>
          <cell r="I2454" t="str">
            <v>Philadelphia</v>
          </cell>
          <cell r="K2454" t="str">
            <v>3500 Baring St</v>
          </cell>
          <cell r="L2454" t="str">
            <v>PA</v>
          </cell>
          <cell r="M2454">
            <v>19104</v>
          </cell>
          <cell r="N2454" t="str">
            <v>3500 Baring St Philadelphia, PA 19104</v>
          </cell>
        </row>
        <row r="2455">
          <cell r="G2455">
            <v>299323</v>
          </cell>
          <cell r="H2455" t="str">
            <v>AESCULAP IMPLANT SYSTEMS LLC#</v>
          </cell>
          <cell r="I2455" t="str">
            <v>Breinigsville</v>
          </cell>
          <cell r="K2455" t="str">
            <v>9999 Hamilton Blvd</v>
          </cell>
          <cell r="L2455" t="str">
            <v>PA</v>
          </cell>
          <cell r="M2455">
            <v>18031</v>
          </cell>
          <cell r="N2455" t="str">
            <v>9999 Hamilton Blvd Breinigsville, PA 18031</v>
          </cell>
        </row>
        <row r="2456">
          <cell r="G2456">
            <v>331631</v>
          </cell>
          <cell r="H2456" t="str">
            <v>United Dog LLC</v>
          </cell>
          <cell r="I2456" t="str">
            <v>Huntingdon Valley</v>
          </cell>
          <cell r="J2456" t="str">
            <v>Philly Suburbs - North</v>
          </cell>
          <cell r="K2456" t="str">
            <v>1957 Pioneer Rd Bldg B6</v>
          </cell>
          <cell r="L2456" t="str">
            <v>PA</v>
          </cell>
          <cell r="M2456">
            <v>19006</v>
          </cell>
          <cell r="N2456" t="str">
            <v>1957 Pioneer Rd Bldg B6 Huntingdon Valley, PA 19006</v>
          </cell>
        </row>
        <row r="2457">
          <cell r="G2457">
            <v>243085</v>
          </cell>
          <cell r="H2457" t="str">
            <v>Capital School District</v>
          </cell>
          <cell r="I2457" t="str">
            <v>Dover</v>
          </cell>
          <cell r="K2457" t="str">
            <v>198 Commerce Way</v>
          </cell>
          <cell r="L2457" t="str">
            <v>DE</v>
          </cell>
          <cell r="M2457">
            <v>19904</v>
          </cell>
          <cell r="N2457" t="str">
            <v>198 Commerce Way Dover, DE 19904</v>
          </cell>
        </row>
        <row r="2458">
          <cell r="G2458">
            <v>334668</v>
          </cell>
          <cell r="H2458" t="str">
            <v>EVOLUTION BARBELL LLC</v>
          </cell>
          <cell r="I2458" t="str">
            <v>Myerstown</v>
          </cell>
          <cell r="K2458" t="str">
            <v>524 S CHERRY ST</v>
          </cell>
          <cell r="L2458" t="str">
            <v>PA</v>
          </cell>
          <cell r="M2458">
            <v>17067</v>
          </cell>
          <cell r="N2458" t="str">
            <v>524 S CHERRY ST Myerstown, PA 17067</v>
          </cell>
        </row>
        <row r="2459">
          <cell r="G2459">
            <v>331095</v>
          </cell>
          <cell r="H2459" t="str">
            <v>ST THOMAS MORE SCHOOL &amp; PARISH</v>
          </cell>
          <cell r="I2459" t="str">
            <v>Allentown</v>
          </cell>
          <cell r="J2459" t="str">
            <v>Allentown</v>
          </cell>
          <cell r="K2459" t="str">
            <v>1040 Flexer Ave</v>
          </cell>
          <cell r="L2459" t="str">
            <v>PA</v>
          </cell>
          <cell r="M2459">
            <v>18103</v>
          </cell>
          <cell r="N2459" t="str">
            <v>1040 Flexer Ave Allentown, PA 18103</v>
          </cell>
        </row>
        <row r="2460">
          <cell r="G2460">
            <v>241916</v>
          </cell>
          <cell r="H2460" t="str">
            <v>ST JOHNS UCC CHURCH</v>
          </cell>
          <cell r="I2460" t="str">
            <v>Shamokin</v>
          </cell>
          <cell r="K2460" t="str">
            <v>117 N 8th St</v>
          </cell>
          <cell r="L2460" t="str">
            <v>PA</v>
          </cell>
          <cell r="M2460">
            <v>17872</v>
          </cell>
          <cell r="N2460" t="str">
            <v>117 N 8th St Shamokin, PA 17872</v>
          </cell>
        </row>
        <row r="2461">
          <cell r="G2461">
            <v>343851</v>
          </cell>
          <cell r="H2461" t="str">
            <v>Xelerate Auto</v>
          </cell>
          <cell r="I2461" t="str">
            <v>Lancaster</v>
          </cell>
          <cell r="K2461" t="str">
            <v>1275 Loop Rd</v>
          </cell>
          <cell r="L2461" t="str">
            <v>PA</v>
          </cell>
          <cell r="M2461">
            <v>17601</v>
          </cell>
          <cell r="N2461" t="str">
            <v>1275 Loop Rd Lancaster, PA 17601</v>
          </cell>
        </row>
        <row r="2462">
          <cell r="G2462">
            <v>453164</v>
          </cell>
          <cell r="H2462" t="str">
            <v>BAINBRIDGE ELEMENTARY SCHOOL</v>
          </cell>
          <cell r="I2462" t="str">
            <v>Bainbridge</v>
          </cell>
          <cell r="J2462" t="str">
            <v>Lancaster - West</v>
          </cell>
          <cell r="K2462" t="str">
            <v>416 S 2nd St Apt 305</v>
          </cell>
          <cell r="L2462" t="str">
            <v>PA</v>
          </cell>
          <cell r="M2462">
            <v>17502</v>
          </cell>
          <cell r="N2462" t="str">
            <v>416 S 2nd St Apt 305 Bainbridge, PA 17502</v>
          </cell>
        </row>
        <row r="2463">
          <cell r="G2463">
            <v>481189</v>
          </cell>
          <cell r="H2463" t="str">
            <v>West Snyder Elementary School</v>
          </cell>
          <cell r="I2463" t="str">
            <v>Beaver Springs</v>
          </cell>
          <cell r="J2463" t="str">
            <v>Lewistown</v>
          </cell>
          <cell r="K2463" t="str">
            <v>645 Snyder Ave</v>
          </cell>
          <cell r="L2463" t="str">
            <v>PA</v>
          </cell>
          <cell r="M2463">
            <v>17812</v>
          </cell>
          <cell r="N2463" t="str">
            <v>645 Snyder Ave Beaver Springs, PA 17812</v>
          </cell>
        </row>
        <row r="2464">
          <cell r="G2464">
            <v>415573</v>
          </cell>
          <cell r="H2464" t="str">
            <v>LEWISBURG AREA SCHOOL</v>
          </cell>
          <cell r="I2464" t="str">
            <v>Lewisburg</v>
          </cell>
          <cell r="K2464" t="str">
            <v>815 Market St</v>
          </cell>
          <cell r="L2464" t="str">
            <v>PA</v>
          </cell>
          <cell r="M2464">
            <v>17837</v>
          </cell>
          <cell r="N2464" t="str">
            <v>815 Market St Lewisburg, PA 17837</v>
          </cell>
        </row>
        <row r="2465">
          <cell r="G2465">
            <v>436169</v>
          </cell>
          <cell r="H2465" t="str">
            <v>Northampton Area High School</v>
          </cell>
          <cell r="I2465" t="str">
            <v>Northampton</v>
          </cell>
          <cell r="K2465" t="str">
            <v>1619 Laubach Ave</v>
          </cell>
          <cell r="L2465" t="str">
            <v>PA</v>
          </cell>
          <cell r="M2465">
            <v>18067</v>
          </cell>
          <cell r="N2465" t="str">
            <v>1619 Laubach Ave Northampton, PA 18067</v>
          </cell>
        </row>
        <row r="2466">
          <cell r="G2466">
            <v>316622</v>
          </cell>
          <cell r="H2466" t="str">
            <v>GUS'S KEYSTONE FAMILY RESTAURA</v>
          </cell>
          <cell r="I2466" t="str">
            <v>Ephrata</v>
          </cell>
          <cell r="K2466" t="str">
            <v>3687 Rothsville Rd</v>
          </cell>
          <cell r="L2466" t="str">
            <v>PA</v>
          </cell>
          <cell r="M2466">
            <v>17522</v>
          </cell>
          <cell r="N2466" t="str">
            <v>3687 Rothsville Rd Ephrata, PA 17522</v>
          </cell>
        </row>
        <row r="2467">
          <cell r="G2467">
            <v>244999</v>
          </cell>
          <cell r="H2467" t="str">
            <v>CC Edward J DeSeta Company Inc</v>
          </cell>
          <cell r="I2467" t="str">
            <v>Wilmington</v>
          </cell>
          <cell r="K2467" t="str">
            <v>322 A St</v>
          </cell>
          <cell r="L2467" t="str">
            <v>DE</v>
          </cell>
          <cell r="M2467">
            <v>19801</v>
          </cell>
          <cell r="N2467" t="str">
            <v>322 A St Wilmington, DE 19801</v>
          </cell>
        </row>
        <row r="2468">
          <cell r="G2468">
            <v>453879</v>
          </cell>
          <cell r="H2468" t="str">
            <v>BE Sport Ware</v>
          </cell>
          <cell r="I2468" t="str">
            <v>Broomall</v>
          </cell>
          <cell r="K2468" t="str">
            <v>1005 Sussex Blvd</v>
          </cell>
          <cell r="L2468" t="str">
            <v>PA</v>
          </cell>
          <cell r="M2468">
            <v>19008</v>
          </cell>
          <cell r="N2468" t="str">
            <v>1005 Sussex Blvd Broomall, PA 19008</v>
          </cell>
        </row>
        <row r="2469">
          <cell r="G2469">
            <v>241833</v>
          </cell>
          <cell r="H2469" t="str">
            <v>SLOUGH FLOORING INC.</v>
          </cell>
          <cell r="I2469" t="str">
            <v>Harrisburg</v>
          </cell>
          <cell r="K2469" t="str">
            <v>10 S 24th St</v>
          </cell>
          <cell r="L2469" t="str">
            <v>PA</v>
          </cell>
          <cell r="M2469">
            <v>17103</v>
          </cell>
          <cell r="N2469" t="str">
            <v>10 S 24th St Harrisburg, PA 17103</v>
          </cell>
        </row>
        <row r="2470">
          <cell r="G2470">
            <v>459319</v>
          </cell>
          <cell r="H2470" t="str">
            <v>Bravo's Carpet &amp; Tile Care</v>
          </cell>
          <cell r="I2470" t="str">
            <v>Philadelphia</v>
          </cell>
          <cell r="K2470" t="str">
            <v>2637 S Percy St</v>
          </cell>
          <cell r="L2470" t="str">
            <v>PA</v>
          </cell>
          <cell r="M2470">
            <v>19148</v>
          </cell>
          <cell r="N2470" t="str">
            <v>2637 S Percy St Philadelphia, PA 19148</v>
          </cell>
        </row>
        <row r="2471">
          <cell r="G2471">
            <v>240710</v>
          </cell>
          <cell r="H2471" t="str">
            <v>LANCASTER ASPHALT</v>
          </cell>
          <cell r="I2471" t="str">
            <v>Lititz</v>
          </cell>
          <cell r="K2471" t="str">
            <v>3301 Kissel Hill Rd</v>
          </cell>
          <cell r="L2471" t="str">
            <v>PA</v>
          </cell>
          <cell r="M2471">
            <v>17543</v>
          </cell>
          <cell r="N2471" t="str">
            <v>3301 Kissel Hill Rd Lititz, PA 17543</v>
          </cell>
        </row>
        <row r="2472">
          <cell r="G2472">
            <v>246528</v>
          </cell>
          <cell r="H2472" t="str">
            <v>WEST CHESTER AREA SCHOOL DIST#</v>
          </cell>
          <cell r="I2472" t="str">
            <v>EXTON</v>
          </cell>
          <cell r="K2472" t="str">
            <v>782 Springdale Dr</v>
          </cell>
          <cell r="L2472" t="str">
            <v>PA</v>
          </cell>
          <cell r="M2472">
            <v>19341</v>
          </cell>
          <cell r="N2472" t="str">
            <v>782 Springdale Dr EXTON, PA 19341</v>
          </cell>
        </row>
        <row r="2473">
          <cell r="G2473">
            <v>418271</v>
          </cell>
          <cell r="H2473" t="str">
            <v>Parkway Elementary School</v>
          </cell>
          <cell r="I2473" t="str">
            <v>Ewing</v>
          </cell>
          <cell r="K2473" t="str">
            <v>446 Parkway Ave</v>
          </cell>
          <cell r="L2473" t="str">
            <v>NJ</v>
          </cell>
          <cell r="M2473">
            <v>8618</v>
          </cell>
          <cell r="N2473" t="str">
            <v>446 Parkway Ave Ewing, NJ 08618</v>
          </cell>
        </row>
        <row r="2474">
          <cell r="G2474">
            <v>332675</v>
          </cell>
          <cell r="H2474" t="str">
            <v>HOWELLS GARAGE</v>
          </cell>
          <cell r="I2474" t="str">
            <v>East Petersburg</v>
          </cell>
          <cell r="K2474" t="str">
            <v>6128 Sundra Cir</v>
          </cell>
          <cell r="L2474" t="str">
            <v>PA</v>
          </cell>
          <cell r="M2474">
            <v>17520</v>
          </cell>
          <cell r="N2474" t="str">
            <v>6128 Sundra Cir East Petersburg, PA 17520</v>
          </cell>
        </row>
        <row r="2475">
          <cell r="G2475">
            <v>419756</v>
          </cell>
          <cell r="H2475" t="str">
            <v>ONSITE DETAILING</v>
          </cell>
          <cell r="I2475" t="str">
            <v>Lancaster</v>
          </cell>
          <cell r="K2475" t="str">
            <v>301 Service Rd</v>
          </cell>
          <cell r="L2475" t="str">
            <v>PA</v>
          </cell>
          <cell r="M2475">
            <v>17601</v>
          </cell>
          <cell r="N2475" t="str">
            <v>301 Service Rd Lancaster, PA 17601</v>
          </cell>
        </row>
        <row r="2476">
          <cell r="G2476">
            <v>484002</v>
          </cell>
          <cell r="H2476" t="str">
            <v>Addie Carson</v>
          </cell>
          <cell r="I2476" t="str">
            <v>SMYRNA</v>
          </cell>
          <cell r="K2476" t="str">
            <v>664 SUNNYSIDE RD</v>
          </cell>
          <cell r="L2476" t="str">
            <v>DE</v>
          </cell>
          <cell r="M2476">
            <v>19977</v>
          </cell>
          <cell r="N2476" t="str">
            <v>664 SUNNYSIDE RD SMYRNA, DE 19977</v>
          </cell>
        </row>
        <row r="2477">
          <cell r="G2477">
            <v>468367</v>
          </cell>
          <cell r="H2477" t="str">
            <v>SOUTHWEST ELEMENTARY</v>
          </cell>
          <cell r="I2477" t="str">
            <v>Lebanon</v>
          </cell>
          <cell r="K2477" t="str">
            <v>1500 Woodland St</v>
          </cell>
          <cell r="L2477" t="str">
            <v>PA</v>
          </cell>
          <cell r="M2477">
            <v>17042</v>
          </cell>
          <cell r="N2477" t="str">
            <v>1500 Woodland St Lebanon, PA 17042</v>
          </cell>
        </row>
        <row r="2478">
          <cell r="G2478">
            <v>299108</v>
          </cell>
          <cell r="H2478" t="str">
            <v>ALMONDS STEAM CLEANING#</v>
          </cell>
          <cell r="I2478" t="str">
            <v>Lancaster</v>
          </cell>
          <cell r="K2478" t="str">
            <v>1120 Willow Street Pike</v>
          </cell>
          <cell r="L2478" t="str">
            <v>PA</v>
          </cell>
          <cell r="M2478">
            <v>17602</v>
          </cell>
          <cell r="N2478" t="str">
            <v>1120 Willow Street Pike Lancaster, PA 17602</v>
          </cell>
        </row>
        <row r="2479">
          <cell r="G2479">
            <v>239281</v>
          </cell>
          <cell r="H2479" t="str">
            <v>BELMED INC</v>
          </cell>
          <cell r="I2479" t="str">
            <v>Red Lion</v>
          </cell>
          <cell r="K2479" t="str">
            <v>887 Delta Rd</v>
          </cell>
          <cell r="L2479" t="str">
            <v>PA</v>
          </cell>
          <cell r="M2479">
            <v>17356</v>
          </cell>
          <cell r="N2479" t="str">
            <v>887 Delta Rd Red Lion, PA 17356</v>
          </cell>
        </row>
        <row r="2480">
          <cell r="G2480">
            <v>240049</v>
          </cell>
          <cell r="H2480" t="str">
            <v>FANNETT METAL SCHOOL DISTRICT</v>
          </cell>
          <cell r="I2480" t="str">
            <v>Willow Hill</v>
          </cell>
          <cell r="K2480" t="str">
            <v>14823 Path Valley Rd</v>
          </cell>
          <cell r="L2480" t="str">
            <v>PA</v>
          </cell>
          <cell r="M2480">
            <v>17271</v>
          </cell>
          <cell r="N2480" t="str">
            <v>14823 Path Valley Rd Willow Hill, PA 17271</v>
          </cell>
        </row>
        <row r="2481">
          <cell r="G2481">
            <v>240839</v>
          </cell>
          <cell r="H2481" t="str">
            <v>LEBANON COUNTY CAREER &amp; TECH.</v>
          </cell>
          <cell r="I2481" t="str">
            <v>Lebanon</v>
          </cell>
          <cell r="K2481" t="str">
            <v>833 Metro Dr</v>
          </cell>
          <cell r="L2481" t="str">
            <v>PA</v>
          </cell>
          <cell r="M2481">
            <v>17042</v>
          </cell>
          <cell r="N2481" t="str">
            <v>833 Metro Dr Lebanon, PA 17042</v>
          </cell>
        </row>
        <row r="2482">
          <cell r="G2482">
            <v>418215</v>
          </cell>
          <cell r="H2482" t="str">
            <v>Ocean City High School</v>
          </cell>
          <cell r="I2482" t="str">
            <v>Ocean City</v>
          </cell>
          <cell r="K2482" t="str">
            <v>501 Atlantic Ave</v>
          </cell>
          <cell r="L2482" t="str">
            <v>NJ</v>
          </cell>
          <cell r="M2482">
            <v>8226</v>
          </cell>
          <cell r="N2482" t="str">
            <v>501 Atlantic Ave Ocean City, NJ 08226</v>
          </cell>
        </row>
        <row r="2483">
          <cell r="G2483">
            <v>246761</v>
          </cell>
          <cell r="H2483" t="str">
            <v>Mercedes Benz Cherry Hill</v>
          </cell>
          <cell r="I2483" t="str">
            <v>Cherry Hill</v>
          </cell>
          <cell r="J2483" t="str">
            <v>Cherry Hill</v>
          </cell>
          <cell r="K2483" t="str">
            <v>2151 Route 70 W</v>
          </cell>
          <cell r="L2483" t="str">
            <v>NJ</v>
          </cell>
          <cell r="M2483">
            <v>8002</v>
          </cell>
          <cell r="N2483" t="str">
            <v>2151 Route 70 W Cherry Hill, NJ 08002</v>
          </cell>
        </row>
        <row r="2484">
          <cell r="G2484">
            <v>430052</v>
          </cell>
          <cell r="H2484" t="str">
            <v>Knapp Elementary School</v>
          </cell>
          <cell r="I2484" t="str">
            <v>Lansdale</v>
          </cell>
          <cell r="K2484" t="str">
            <v>698 Knapp Rd</v>
          </cell>
          <cell r="L2484" t="str">
            <v>PA</v>
          </cell>
          <cell r="M2484">
            <v>19446</v>
          </cell>
          <cell r="N2484" t="str">
            <v>698 Knapp Rd Lansdale, PA 19446</v>
          </cell>
        </row>
        <row r="2485">
          <cell r="G2485">
            <v>271944</v>
          </cell>
          <cell r="H2485" t="str">
            <v>River Valley Regional YMCA</v>
          </cell>
          <cell r="I2485" t="str">
            <v>Williamsport</v>
          </cell>
          <cell r="K2485" t="str">
            <v>641 Walnut St</v>
          </cell>
          <cell r="L2485" t="str">
            <v>PA</v>
          </cell>
          <cell r="M2485">
            <v>17701</v>
          </cell>
          <cell r="N2485" t="str">
            <v>641 Walnut St Williamsport, PA 17701</v>
          </cell>
        </row>
        <row r="2486">
          <cell r="G2486">
            <v>239357</v>
          </cell>
          <cell r="H2486" t="str">
            <v>BOROUGH OF LITITZ</v>
          </cell>
          <cell r="I2486" t="str">
            <v>Lititz</v>
          </cell>
          <cell r="K2486" t="str">
            <v>7 S Broad St</v>
          </cell>
          <cell r="L2486" t="str">
            <v>PA</v>
          </cell>
          <cell r="M2486">
            <v>17543</v>
          </cell>
          <cell r="N2486" t="str">
            <v>7 S Broad St Lititz, PA 17543</v>
          </cell>
        </row>
        <row r="2487">
          <cell r="G2487">
            <v>471241</v>
          </cell>
          <cell r="H2487" t="str">
            <v>Mill Creek Elementary</v>
          </cell>
          <cell r="I2487" t="str">
            <v>Warrington</v>
          </cell>
          <cell r="K2487" t="str">
            <v>638 Bellflower Blvd</v>
          </cell>
          <cell r="L2487" t="str">
            <v>PA</v>
          </cell>
          <cell r="M2487">
            <v>18976</v>
          </cell>
          <cell r="N2487" t="str">
            <v>638 Bellflower Blvd Warrington, PA 18976</v>
          </cell>
        </row>
        <row r="2488">
          <cell r="G2488">
            <v>316524</v>
          </cell>
          <cell r="H2488" t="str">
            <v>PARADISE MASONRY LLC#</v>
          </cell>
          <cell r="I2488" t="str">
            <v>Ronks</v>
          </cell>
          <cell r="K2488" t="str">
            <v>2771 Lincoln Hwy E</v>
          </cell>
          <cell r="L2488" t="str">
            <v>PA</v>
          </cell>
          <cell r="M2488">
            <v>17572</v>
          </cell>
          <cell r="N2488" t="str">
            <v>2771 Lincoln Hwy E Ronks, PA 17572</v>
          </cell>
        </row>
        <row r="2489">
          <cell r="G2489">
            <v>239060</v>
          </cell>
          <cell r="H2489" t="str">
            <v>SHAH PROPERTIES MC</v>
          </cell>
          <cell r="I2489" t="str">
            <v>New Holland</v>
          </cell>
          <cell r="K2489" t="str">
            <v>575 Valley View Dr</v>
          </cell>
          <cell r="L2489" t="str">
            <v>PA</v>
          </cell>
          <cell r="M2489">
            <v>17557</v>
          </cell>
          <cell r="N2489" t="str">
            <v>575 Valley View Dr New Holland, PA 17557</v>
          </cell>
        </row>
        <row r="2490">
          <cell r="G2490">
            <v>279769</v>
          </cell>
          <cell r="H2490" t="str">
            <v>UNITED ZION CAMP GROVE</v>
          </cell>
          <cell r="I2490" t="str">
            <v>Manheim</v>
          </cell>
          <cell r="K2490" t="str">
            <v>2298 Camp Rd</v>
          </cell>
          <cell r="L2490" t="str">
            <v>PA</v>
          </cell>
          <cell r="M2490">
            <v>17545</v>
          </cell>
          <cell r="N2490" t="str">
            <v>2298 Camp Rd Manheim, PA 17545</v>
          </cell>
        </row>
        <row r="2491">
          <cell r="G2491">
            <v>286358</v>
          </cell>
          <cell r="H2491" t="str">
            <v>GETTYSBURG COLLEGE - DINING RO</v>
          </cell>
          <cell r="I2491" t="str">
            <v>Gettysburg</v>
          </cell>
          <cell r="K2491" t="str">
            <v>300 N Washington St</v>
          </cell>
          <cell r="L2491" t="str">
            <v>PA</v>
          </cell>
          <cell r="M2491">
            <v>17325</v>
          </cell>
          <cell r="N2491" t="str">
            <v>300 N Washington St Gettysburg, PA 17325</v>
          </cell>
        </row>
        <row r="2492">
          <cell r="G2492">
            <v>242031</v>
          </cell>
          <cell r="H2492" t="str">
            <v>SUNSET ESTATES INC</v>
          </cell>
          <cell r="I2492" t="str">
            <v>New Providence</v>
          </cell>
          <cell r="K2492" t="str">
            <v>2319 Beaver Valley Pike</v>
          </cell>
          <cell r="L2492" t="str">
            <v>PA</v>
          </cell>
          <cell r="M2492">
            <v>17560</v>
          </cell>
          <cell r="N2492" t="str">
            <v>2319 Beaver Valley Pike New Providence, PA 17560</v>
          </cell>
        </row>
        <row r="2493">
          <cell r="G2493">
            <v>419321</v>
          </cell>
          <cell r="H2493" t="str">
            <v>Scott Cadillac</v>
          </cell>
          <cell r="I2493" t="str">
            <v>Allentown</v>
          </cell>
          <cell r="J2493" t="str">
            <v>Allentown</v>
          </cell>
          <cell r="K2493" t="str">
            <v>3333 Lehigh St</v>
          </cell>
          <cell r="L2493" t="str">
            <v>PA</v>
          </cell>
          <cell r="M2493">
            <v>18103</v>
          </cell>
          <cell r="N2493" t="str">
            <v>3333 Lehigh St Allentown, PA 18103</v>
          </cell>
        </row>
        <row r="2494">
          <cell r="G2494">
            <v>242924</v>
          </cell>
          <cell r="H2494" t="str">
            <v>Associated Power Wash</v>
          </cell>
          <cell r="I2494" t="str">
            <v>WILLOW GROVE</v>
          </cell>
          <cell r="J2494" t="str">
            <v>Philly Suburbs - North</v>
          </cell>
          <cell r="K2494" t="str">
            <v>3980 COMMERCE AVE</v>
          </cell>
          <cell r="L2494" t="str">
            <v>PA</v>
          </cell>
          <cell r="M2494">
            <v>19090</v>
          </cell>
          <cell r="N2494" t="str">
            <v>3980 COMMERCE AVE WILLOW GROVE, PA 19090</v>
          </cell>
        </row>
        <row r="2495">
          <cell r="G2495">
            <v>241308</v>
          </cell>
          <cell r="H2495" t="str">
            <v>OLD ROAD FURNITURE CO</v>
          </cell>
          <cell r="I2495" t="str">
            <v>Intercourse</v>
          </cell>
          <cell r="K2495" t="str">
            <v>3457 Old Philadelphia Pike</v>
          </cell>
          <cell r="L2495" t="str">
            <v>PA</v>
          </cell>
          <cell r="M2495">
            <v>17534</v>
          </cell>
          <cell r="N2495" t="str">
            <v>3457 Old Philadelphia Pike Intercourse, PA 17534</v>
          </cell>
        </row>
        <row r="2496">
          <cell r="G2496">
            <v>468566</v>
          </cell>
          <cell r="H2496" t="str">
            <v>Gayman Elementary School</v>
          </cell>
          <cell r="I2496" t="str">
            <v>Doylestown</v>
          </cell>
          <cell r="J2496" t="str">
            <v>Philly Suburbs - North</v>
          </cell>
          <cell r="K2496" t="str">
            <v>4440 Point Pleasant Pike</v>
          </cell>
          <cell r="L2496" t="str">
            <v>PA</v>
          </cell>
          <cell r="M2496">
            <v>18902</v>
          </cell>
          <cell r="N2496" t="str">
            <v>4440 Point Pleasant Pike Doylestown, PA 18902</v>
          </cell>
        </row>
        <row r="2497">
          <cell r="G2497">
            <v>468388</v>
          </cell>
          <cell r="H2497" t="str">
            <v>GILBERTSVILLE ELEMENTARY</v>
          </cell>
          <cell r="I2497" t="str">
            <v>Gilbertsville</v>
          </cell>
          <cell r="K2497" t="str">
            <v>36 Congo Rd</v>
          </cell>
          <cell r="L2497" t="str">
            <v>PA</v>
          </cell>
          <cell r="M2497">
            <v>19525</v>
          </cell>
          <cell r="N2497" t="str">
            <v>36 Congo Rd Gilbertsville, PA 19525</v>
          </cell>
        </row>
        <row r="2498">
          <cell r="G2498">
            <v>311770</v>
          </cell>
          <cell r="H2498" t="str">
            <v>Shawn Duddy</v>
          </cell>
          <cell r="I2498" t="str">
            <v>Huntingdon Valley</v>
          </cell>
          <cell r="J2498" t="str">
            <v>Philly Suburbs - North</v>
          </cell>
          <cell r="K2498" t="str">
            <v>237 Red Lion Rd</v>
          </cell>
          <cell r="L2498" t="str">
            <v>PA</v>
          </cell>
          <cell r="M2498">
            <v>19006</v>
          </cell>
          <cell r="N2498" t="str">
            <v>237 Red Lion Rd Huntingdon Valley, PA 19006</v>
          </cell>
        </row>
        <row r="2499">
          <cell r="G2499">
            <v>241024</v>
          </cell>
          <cell r="H2499" t="str">
            <v>MANOR HOUSE ASSOC</v>
          </cell>
          <cell r="I2499" t="str">
            <v>Lancaster</v>
          </cell>
          <cell r="K2499" t="str">
            <v>1415 Spencer Ave</v>
          </cell>
          <cell r="L2499" t="str">
            <v>PA</v>
          </cell>
          <cell r="M2499">
            <v>17603</v>
          </cell>
          <cell r="N2499" t="str">
            <v>1415 Spencer Ave Lancaster, PA 17603</v>
          </cell>
        </row>
        <row r="2500">
          <cell r="G2500">
            <v>417183</v>
          </cell>
          <cell r="H2500" t="str">
            <v>Operations Center - CB School</v>
          </cell>
          <cell r="I2500" t="str">
            <v>Doylestown</v>
          </cell>
          <cell r="J2500" t="str">
            <v>Philly Suburbs - North</v>
          </cell>
          <cell r="K2500" t="str">
            <v>320 W Swamp Rd</v>
          </cell>
          <cell r="L2500" t="str">
            <v>PA</v>
          </cell>
          <cell r="M2500">
            <v>18901</v>
          </cell>
          <cell r="N2500" t="str">
            <v>320 W Swamp Rd Doylestown, PA 18901</v>
          </cell>
        </row>
        <row r="2501">
          <cell r="G2501">
            <v>343134</v>
          </cell>
          <cell r="H2501" t="str">
            <v>HAZLETT BURT &amp; WATSON INC</v>
          </cell>
          <cell r="I2501" t="str">
            <v>Lancaster</v>
          </cell>
          <cell r="K2501" t="str">
            <v>48-50 W. CHESTNUT ST; 3RD FLOOR, ST</v>
          </cell>
          <cell r="L2501" t="str">
            <v>PA</v>
          </cell>
          <cell r="M2501">
            <v>17603</v>
          </cell>
          <cell r="N2501" t="str">
            <v>48-50 W. CHESTNUT ST; 3RD FLOOR, ST Lancaster, PA 17603</v>
          </cell>
        </row>
        <row r="2502">
          <cell r="G2502">
            <v>415532</v>
          </cell>
          <cell r="H2502" t="str">
            <v>JL CLARK MFG CO</v>
          </cell>
          <cell r="I2502" t="str">
            <v>Lancaster</v>
          </cell>
          <cell r="K2502" t="str">
            <v>405 W Walnut St</v>
          </cell>
          <cell r="L2502" t="str">
            <v>PA</v>
          </cell>
          <cell r="M2502">
            <v>17603</v>
          </cell>
          <cell r="N2502" t="str">
            <v>405 W Walnut St Lancaster, PA 17603</v>
          </cell>
        </row>
        <row r="2503">
          <cell r="G2503">
            <v>480313</v>
          </cell>
          <cell r="H2503" t="str">
            <v>RK Subaru of Vineland</v>
          </cell>
          <cell r="I2503" t="str">
            <v>Vineland</v>
          </cell>
          <cell r="K2503" t="str">
            <v>700 N Delsea Dr</v>
          </cell>
          <cell r="L2503" t="str">
            <v>NJ</v>
          </cell>
          <cell r="M2503">
            <v>8360</v>
          </cell>
          <cell r="N2503" t="str">
            <v>700 N Delsea Dr Vineland, NJ 08360</v>
          </cell>
        </row>
        <row r="2504">
          <cell r="G2504">
            <v>240275</v>
          </cell>
          <cell r="H2504" t="str">
            <v>Greer Heindel</v>
          </cell>
          <cell r="I2504" t="str">
            <v>Downingtown</v>
          </cell>
          <cell r="K2504" t="str">
            <v>111 Great Oak Dr</v>
          </cell>
          <cell r="L2504" t="str">
            <v>PA</v>
          </cell>
          <cell r="M2504">
            <v>19335</v>
          </cell>
          <cell r="N2504" t="str">
            <v>111 Great Oak Dr Downingtown, PA 19335</v>
          </cell>
        </row>
        <row r="2505">
          <cell r="G2505">
            <v>239850</v>
          </cell>
          <cell r="H2505" t="str">
            <v>DONEGAL CLEANING SVC #</v>
          </cell>
          <cell r="I2505" t="str">
            <v>Marietta</v>
          </cell>
          <cell r="K2505" t="str">
            <v>271 W Market St</v>
          </cell>
          <cell r="L2505" t="str">
            <v>PA</v>
          </cell>
          <cell r="M2505">
            <v>17547</v>
          </cell>
          <cell r="N2505" t="str">
            <v>271 W Market St Marietta, PA 17547</v>
          </cell>
        </row>
        <row r="2506">
          <cell r="G2506">
            <v>319477</v>
          </cell>
          <cell r="H2506" t="str">
            <v>COHO PROPERTY HOLDINGS LLC</v>
          </cell>
          <cell r="I2506" t="str">
            <v>Lancaster</v>
          </cell>
          <cell r="K2506" t="str">
            <v>2119 New Holland Pike</v>
          </cell>
          <cell r="L2506" t="str">
            <v>PA</v>
          </cell>
          <cell r="M2506">
            <v>17601</v>
          </cell>
          <cell r="N2506" t="str">
            <v>2119 New Holland Pike Lancaster, PA 17601</v>
          </cell>
        </row>
        <row r="2507">
          <cell r="G2507">
            <v>245916</v>
          </cell>
          <cell r="H2507" t="str">
            <v>New Beginnings Church</v>
          </cell>
          <cell r="I2507" t="str">
            <v>Jamison</v>
          </cell>
          <cell r="J2507" t="str">
            <v>Philly Suburbs - North</v>
          </cell>
          <cell r="K2507" t="str">
            <v>1471 Almshouse Rd</v>
          </cell>
          <cell r="L2507" t="str">
            <v>PA</v>
          </cell>
          <cell r="M2507">
            <v>18929</v>
          </cell>
          <cell r="N2507" t="str">
            <v>1471 Almshouse Rd Jamison, PA 18929</v>
          </cell>
        </row>
        <row r="2508">
          <cell r="G2508">
            <v>330469</v>
          </cell>
          <cell r="H2508" t="str">
            <v>Roxanne Walker</v>
          </cell>
          <cell r="I2508" t="str">
            <v>York Haven</v>
          </cell>
          <cell r="K2508" t="str">
            <v>40 Markley Dr</v>
          </cell>
          <cell r="L2508" t="str">
            <v>PA</v>
          </cell>
          <cell r="M2508">
            <v>17370</v>
          </cell>
          <cell r="N2508" t="str">
            <v>40 Markley Dr York Haven, PA 17370</v>
          </cell>
        </row>
        <row r="2509">
          <cell r="G2509">
            <v>239368</v>
          </cell>
          <cell r="H2509" t="str">
            <v>BOYERTOWN AREA SCHOOL DIST#</v>
          </cell>
          <cell r="I2509" t="str">
            <v>Boyertown</v>
          </cell>
          <cell r="K2509" t="str">
            <v>911 Montgomery Ave</v>
          </cell>
          <cell r="L2509" t="str">
            <v>PA</v>
          </cell>
          <cell r="M2509">
            <v>19512</v>
          </cell>
          <cell r="N2509" t="str">
            <v>911 Montgomery Ave Boyertown, PA 19512</v>
          </cell>
        </row>
        <row r="2510">
          <cell r="G2510">
            <v>459522</v>
          </cell>
          <cell r="H2510" t="str">
            <v>GO N BANANAS</v>
          </cell>
          <cell r="I2510" t="str">
            <v>Lancaster</v>
          </cell>
          <cell r="K2510" t="str">
            <v>1170 Garfield Ave</v>
          </cell>
          <cell r="L2510" t="str">
            <v>PA</v>
          </cell>
          <cell r="M2510">
            <v>17601</v>
          </cell>
          <cell r="N2510" t="str">
            <v>1170 Garfield Ave Lancaster, PA 17601</v>
          </cell>
        </row>
        <row r="2511">
          <cell r="G2511">
            <v>266723</v>
          </cell>
          <cell r="H2511" t="str">
            <v>MILL CREEK BIBLE CHURCH</v>
          </cell>
          <cell r="I2511" t="str">
            <v>Lancaster</v>
          </cell>
          <cell r="K2511" t="str">
            <v>270 Strasburg Pike</v>
          </cell>
          <cell r="L2511" t="str">
            <v>PA</v>
          </cell>
          <cell r="M2511">
            <v>17602</v>
          </cell>
          <cell r="N2511" t="str">
            <v>270 Strasburg Pike Lancaster, PA 17602</v>
          </cell>
        </row>
        <row r="2512">
          <cell r="G2512">
            <v>273148</v>
          </cell>
          <cell r="H2512" t="str">
            <v>Joe Fruhman</v>
          </cell>
          <cell r="I2512" t="str">
            <v>Schnecksville</v>
          </cell>
          <cell r="K2512" t="str">
            <v>4140 Lawton Ct</v>
          </cell>
          <cell r="L2512" t="str">
            <v>PA</v>
          </cell>
          <cell r="M2512">
            <v>18078</v>
          </cell>
          <cell r="N2512" t="str">
            <v>4140 Lawton Ct Schnecksville, PA 18078</v>
          </cell>
        </row>
        <row r="2513">
          <cell r="G2513">
            <v>417803</v>
          </cell>
          <cell r="H2513" t="str">
            <v>Log College Middle School</v>
          </cell>
          <cell r="I2513" t="str">
            <v>Warminster</v>
          </cell>
          <cell r="J2513" t="str">
            <v>Philly Suburbs - North</v>
          </cell>
          <cell r="K2513" t="str">
            <v>730 Norristown Rd</v>
          </cell>
          <cell r="L2513" t="str">
            <v>PA</v>
          </cell>
          <cell r="M2513">
            <v>18974</v>
          </cell>
          <cell r="N2513" t="str">
            <v>730 Norristown Rd Warminster, PA 18974</v>
          </cell>
        </row>
        <row r="2514">
          <cell r="G2514">
            <v>240373</v>
          </cell>
          <cell r="H2514" t="str">
            <v>ROBERTSON INSURANCE &amp; RISK MGM</v>
          </cell>
          <cell r="I2514" t="str">
            <v>Lititz</v>
          </cell>
          <cell r="K2514" t="str">
            <v>3399 Jetstar Dr</v>
          </cell>
          <cell r="L2514" t="str">
            <v>PA</v>
          </cell>
          <cell r="M2514">
            <v>17543</v>
          </cell>
          <cell r="N2514" t="str">
            <v>3399 Jetstar Dr Lititz, PA 17543</v>
          </cell>
        </row>
        <row r="2515">
          <cell r="G2515">
            <v>312852</v>
          </cell>
          <cell r="H2515" t="str">
            <v>SALVATION ARMY - Reading PA</v>
          </cell>
          <cell r="I2515" t="str">
            <v>Reading</v>
          </cell>
          <cell r="K2515" t="str">
            <v>301 S 5th St</v>
          </cell>
          <cell r="L2515" t="str">
            <v>PA</v>
          </cell>
          <cell r="M2515">
            <v>19602</v>
          </cell>
          <cell r="N2515" t="str">
            <v>301 S 5th St Reading, PA 19602</v>
          </cell>
        </row>
        <row r="2516">
          <cell r="G2516">
            <v>295660</v>
          </cell>
          <cell r="H2516" t="str">
            <v>Coleman's Custom Floor Service</v>
          </cell>
          <cell r="I2516" t="str">
            <v>Manheim</v>
          </cell>
          <cell r="K2516" t="str">
            <v>325 E Stiegel St.</v>
          </cell>
          <cell r="L2516" t="str">
            <v>PA</v>
          </cell>
          <cell r="M2516">
            <v>17545</v>
          </cell>
          <cell r="N2516" t="str">
            <v>325 E Stiegel St. Manheim, PA 17545</v>
          </cell>
        </row>
        <row r="2517">
          <cell r="G2517">
            <v>330511</v>
          </cell>
          <cell r="H2517" t="str">
            <v>CC - HENRY H ROSS &amp; SON INC #</v>
          </cell>
          <cell r="I2517" t="str">
            <v>Lititz</v>
          </cell>
          <cell r="K2517" t="str">
            <v>121 Koser Rd</v>
          </cell>
          <cell r="L2517" t="str">
            <v>PA</v>
          </cell>
          <cell r="M2517">
            <v>17543</v>
          </cell>
          <cell r="N2517" t="str">
            <v>121 Koser Rd Lititz, PA 17543</v>
          </cell>
        </row>
        <row r="2518">
          <cell r="G2518">
            <v>294935</v>
          </cell>
          <cell r="H2518" t="str">
            <v>CC - CHAMPS BARBER SCHOOL</v>
          </cell>
          <cell r="I2518" t="str">
            <v>Lancaster</v>
          </cell>
          <cell r="K2518" t="str">
            <v>54 W King St</v>
          </cell>
          <cell r="L2518" t="str">
            <v>PA</v>
          </cell>
          <cell r="M2518">
            <v>17603</v>
          </cell>
          <cell r="N2518" t="str">
            <v>54 W King St Lancaster, PA 17603</v>
          </cell>
        </row>
        <row r="2519">
          <cell r="G2519">
            <v>241888</v>
          </cell>
          <cell r="H2519" t="str">
            <v>SPOTLESS CLEANING#</v>
          </cell>
          <cell r="I2519" t="str">
            <v>Lancaster</v>
          </cell>
          <cell r="K2519" t="str">
            <v>2227 Dutch Gold Dr</v>
          </cell>
          <cell r="L2519" t="str">
            <v>PA</v>
          </cell>
          <cell r="M2519">
            <v>17601</v>
          </cell>
          <cell r="N2519" t="str">
            <v>2227 Dutch Gold Dr Lancaster, PA 17601</v>
          </cell>
        </row>
        <row r="2520">
          <cell r="G2520">
            <v>482190</v>
          </cell>
          <cell r="H2520" t="str">
            <v>Shawn Duddy</v>
          </cell>
          <cell r="I2520" t="str">
            <v>Huntingdon Valley</v>
          </cell>
          <cell r="J2520" t="str">
            <v>Philly Suburbs - North</v>
          </cell>
          <cell r="K2520" t="str">
            <v>237 Red Lion Rd</v>
          </cell>
          <cell r="L2520" t="str">
            <v>PA</v>
          </cell>
          <cell r="M2520">
            <v>19006</v>
          </cell>
          <cell r="N2520" t="str">
            <v>237 Red Lion Rd Huntingdon Valley, PA 19006</v>
          </cell>
        </row>
        <row r="2521">
          <cell r="G2521">
            <v>274038</v>
          </cell>
          <cell r="H2521" t="str">
            <v>Ovations at Elk View</v>
          </cell>
          <cell r="I2521" t="str">
            <v>West Grove</v>
          </cell>
          <cell r="K2521" t="str">
            <v>285 Hendrickson Ln</v>
          </cell>
          <cell r="L2521" t="str">
            <v>PA</v>
          </cell>
          <cell r="M2521">
            <v>19390</v>
          </cell>
          <cell r="N2521" t="str">
            <v>285 Hendrickson Ln West Grove, PA 19390</v>
          </cell>
        </row>
        <row r="2522">
          <cell r="G2522">
            <v>244695</v>
          </cell>
          <cell r="H2522" t="str">
            <v>Janice Butterfield</v>
          </cell>
          <cell r="I2522" t="str">
            <v>Roslyn</v>
          </cell>
          <cell r="K2522" t="str">
            <v>1148 Colonial Ave</v>
          </cell>
          <cell r="L2522" t="str">
            <v>PA</v>
          </cell>
          <cell r="M2522">
            <v>19001</v>
          </cell>
          <cell r="N2522" t="str">
            <v>1148 Colonial Ave Roslyn, PA 19001</v>
          </cell>
        </row>
        <row r="2523">
          <cell r="G2523">
            <v>312350</v>
          </cell>
          <cell r="H2523" t="str">
            <v>BROOK LAWN FARM#</v>
          </cell>
          <cell r="I2523" t="str">
            <v>Lancaster</v>
          </cell>
          <cell r="K2523" t="str">
            <v>34 Kreider Ave</v>
          </cell>
          <cell r="L2523" t="str">
            <v>PA</v>
          </cell>
          <cell r="M2523">
            <v>17601</v>
          </cell>
          <cell r="N2523" t="str">
            <v>34 Kreider Ave Lancaster, PA 17601</v>
          </cell>
        </row>
        <row r="2524">
          <cell r="G2524">
            <v>344225</v>
          </cell>
          <cell r="H2524" t="str">
            <v>Manheim Township Fire Rescue</v>
          </cell>
          <cell r="I2524" t="str">
            <v>Lancaster</v>
          </cell>
          <cell r="K2524" t="str">
            <v>1840 Municipal Dr</v>
          </cell>
          <cell r="L2524" t="str">
            <v>PA</v>
          </cell>
          <cell r="M2524">
            <v>17601</v>
          </cell>
          <cell r="N2524" t="str">
            <v>1840 Municipal Dr Lancaster, PA 17601</v>
          </cell>
        </row>
        <row r="2525">
          <cell r="G2525">
            <v>239121</v>
          </cell>
          <cell r="H2525" t="str">
            <v>ADHESIVES RESEARCH INC</v>
          </cell>
          <cell r="I2525" t="str">
            <v>Glen Rock</v>
          </cell>
          <cell r="K2525" t="str">
            <v>400 Seaks Run Rd</v>
          </cell>
          <cell r="L2525" t="str">
            <v>PA</v>
          </cell>
          <cell r="M2525">
            <v>17327</v>
          </cell>
          <cell r="N2525" t="str">
            <v>400 Seaks Run Rd Glen Rock, PA 17327</v>
          </cell>
        </row>
        <row r="2526">
          <cell r="G2526">
            <v>285884</v>
          </cell>
          <cell r="H2526" t="str">
            <v>Giesler's Garage</v>
          </cell>
          <cell r="I2526" t="str">
            <v>Aston</v>
          </cell>
          <cell r="J2526" t="str">
            <v>Philly Suburbs - SW</v>
          </cell>
          <cell r="K2526" t="str">
            <v>254 BODLEY RD</v>
          </cell>
          <cell r="L2526" t="str">
            <v>PA</v>
          </cell>
          <cell r="M2526">
            <v>19014</v>
          </cell>
          <cell r="N2526" t="str">
            <v>254 BODLEY RD Aston, PA 19014</v>
          </cell>
        </row>
        <row r="2527">
          <cell r="G2527">
            <v>241496</v>
          </cell>
          <cell r="H2527" t="str">
            <v>QUALITY CARPET CARE</v>
          </cell>
          <cell r="I2527" t="str">
            <v>Columbia</v>
          </cell>
          <cell r="K2527" t="str">
            <v>337 N 3rd St</v>
          </cell>
          <cell r="L2527" t="str">
            <v>PA</v>
          </cell>
          <cell r="M2527">
            <v>17512</v>
          </cell>
          <cell r="N2527" t="str">
            <v>337 N 3rd St Columbia, PA 17512</v>
          </cell>
        </row>
        <row r="2528">
          <cell r="G2528">
            <v>468497</v>
          </cell>
          <cell r="H2528" t="str">
            <v>Linden Elementary School</v>
          </cell>
          <cell r="I2528" t="str">
            <v>Doylestown</v>
          </cell>
          <cell r="J2528" t="str">
            <v>Philly Suburbs - North</v>
          </cell>
          <cell r="K2528" t="str">
            <v>480 Linden Ave</v>
          </cell>
          <cell r="L2528" t="str">
            <v>PA</v>
          </cell>
          <cell r="M2528">
            <v>18901</v>
          </cell>
          <cell r="N2528" t="str">
            <v>480 Linden Ave Doylestown, PA 18901</v>
          </cell>
        </row>
        <row r="2529">
          <cell r="G2529">
            <v>344643</v>
          </cell>
          <cell r="H2529" t="str">
            <v>454 NEW HOLLAND AVENUE PARTNER</v>
          </cell>
          <cell r="I2529" t="str">
            <v>Lancaster</v>
          </cell>
          <cell r="K2529" t="str">
            <v>454 New Holland Ave Ste 200</v>
          </cell>
          <cell r="L2529" t="str">
            <v>PA</v>
          </cell>
          <cell r="M2529">
            <v>17602</v>
          </cell>
          <cell r="N2529" t="str">
            <v>454 New Holland Ave Ste 200 Lancaster, PA 17602</v>
          </cell>
        </row>
        <row r="2530">
          <cell r="G2530">
            <v>239052</v>
          </cell>
          <cell r="H2530" t="str">
            <v>ONSITE DETAILING</v>
          </cell>
          <cell r="I2530" t="str">
            <v>Silver Springs</v>
          </cell>
          <cell r="K2530" t="str">
            <v>?</v>
          </cell>
          <cell r="L2530" t="str">
            <v>PA</v>
          </cell>
          <cell r="M2530">
            <v>17575</v>
          </cell>
          <cell r="N2530" t="str">
            <v>? Silver Springs, PA 17575</v>
          </cell>
        </row>
        <row r="2531">
          <cell r="G2531">
            <v>264584</v>
          </cell>
          <cell r="H2531" t="str">
            <v>KEYSTONE INDUST.SAFETY SERVICE</v>
          </cell>
          <cell r="I2531" t="str">
            <v>Mountville</v>
          </cell>
          <cell r="K2531" t="str">
            <v>3571 Mountain View Dr</v>
          </cell>
          <cell r="L2531" t="str">
            <v>PA</v>
          </cell>
          <cell r="M2531">
            <v>17554</v>
          </cell>
          <cell r="N2531" t="str">
            <v>3571 Mountain View Dr Mountville, PA 17554</v>
          </cell>
        </row>
        <row r="2532">
          <cell r="G2532">
            <v>335837</v>
          </cell>
          <cell r="H2532" t="str">
            <v>Zook Management LLC</v>
          </cell>
          <cell r="I2532" t="str">
            <v>Lancaster</v>
          </cell>
          <cell r="K2532" t="str">
            <v>2938 Columbia Ave Ste 401</v>
          </cell>
          <cell r="L2532" t="str">
            <v>PA</v>
          </cell>
          <cell r="M2532">
            <v>17603</v>
          </cell>
          <cell r="N2532" t="str">
            <v>2938 Columbia Ave Ste 401 Lancaster, PA 17603</v>
          </cell>
        </row>
        <row r="2533">
          <cell r="G2533">
            <v>241550</v>
          </cell>
          <cell r="H2533" t="str">
            <v>REAM JEWELERS</v>
          </cell>
          <cell r="I2533" t="str">
            <v>Lancaster</v>
          </cell>
          <cell r="K2533" t="str">
            <v>58 N Queen St</v>
          </cell>
          <cell r="L2533" t="str">
            <v>PA</v>
          </cell>
          <cell r="M2533">
            <v>17603</v>
          </cell>
          <cell r="N2533" t="str">
            <v>58 N Queen St Lancaster, PA 17603</v>
          </cell>
        </row>
        <row r="2534">
          <cell r="G2534">
            <v>339905</v>
          </cell>
          <cell r="H2534" t="str">
            <v>LEGACY LAW ADVISORS</v>
          </cell>
          <cell r="I2534" t="str">
            <v>Lititz</v>
          </cell>
          <cell r="K2534" t="str">
            <v>147 W Airport Rd Ste 300</v>
          </cell>
          <cell r="L2534" t="str">
            <v>PA</v>
          </cell>
          <cell r="M2534">
            <v>17543</v>
          </cell>
          <cell r="N2534" t="str">
            <v>147 W Airport Rd Ste 300 Lititz, PA 17543</v>
          </cell>
        </row>
        <row r="2535">
          <cell r="G2535">
            <v>452927</v>
          </cell>
          <cell r="H2535" t="str">
            <v>Haverford Parks/Recreation</v>
          </cell>
          <cell r="I2535" t="str">
            <v>HAVERFORD</v>
          </cell>
          <cell r="K2535" t="str">
            <v>9000 Parkview Dr</v>
          </cell>
          <cell r="L2535" t="str">
            <v>PA</v>
          </cell>
          <cell r="M2535">
            <v>19041</v>
          </cell>
          <cell r="N2535" t="str">
            <v>9000 Parkview Dr HAVERFORD, PA 19041</v>
          </cell>
        </row>
        <row r="2536">
          <cell r="G2536">
            <v>240571</v>
          </cell>
          <cell r="H2536" t="str">
            <v>JOHN R YERGER</v>
          </cell>
          <cell r="I2536" t="str">
            <v>Lititz</v>
          </cell>
          <cell r="K2536" t="str">
            <v>301 Balmer Rd</v>
          </cell>
          <cell r="L2536" t="str">
            <v>PA</v>
          </cell>
          <cell r="M2536">
            <v>17543</v>
          </cell>
          <cell r="N2536" t="str">
            <v>301 Balmer Rd Lititz, PA 17543</v>
          </cell>
        </row>
        <row r="2537">
          <cell r="G2537">
            <v>467079</v>
          </cell>
          <cell r="H2537" t="str">
            <v>26 NORTH AVIATION</v>
          </cell>
          <cell r="I2537" t="str">
            <v>Lititz</v>
          </cell>
          <cell r="K2537" t="str">
            <v>500 Airport Rd Ste C</v>
          </cell>
          <cell r="L2537" t="str">
            <v>PA</v>
          </cell>
          <cell r="M2537">
            <v>17543</v>
          </cell>
          <cell r="N2537" t="str">
            <v>500 Airport Rd Ste C Lititz, PA 17543</v>
          </cell>
        </row>
        <row r="2538">
          <cell r="G2538">
            <v>454130</v>
          </cell>
          <cell r="H2538" t="str">
            <v>WAYNESBORO FAIRVIEW ELEM WHSE</v>
          </cell>
          <cell r="I2538" t="str">
            <v>Waynesboro</v>
          </cell>
          <cell r="K2538" t="str">
            <v>220 Fairview Ave</v>
          </cell>
          <cell r="L2538" t="str">
            <v>PA</v>
          </cell>
          <cell r="M2538">
            <v>17268</v>
          </cell>
          <cell r="N2538" t="str">
            <v>220 Fairview Ave Waynesboro, PA 17268</v>
          </cell>
        </row>
        <row r="2539">
          <cell r="G2539">
            <v>474801</v>
          </cell>
          <cell r="H2539" t="str">
            <v>The Restaurant Store</v>
          </cell>
          <cell r="I2539" t="str">
            <v>Bensalem</v>
          </cell>
          <cell r="J2539" t="str">
            <v>Philly - NE</v>
          </cell>
          <cell r="K2539" t="str">
            <v>615 Bristol Pike</v>
          </cell>
          <cell r="L2539" t="str">
            <v>PA</v>
          </cell>
          <cell r="M2539">
            <v>19020</v>
          </cell>
          <cell r="N2539" t="str">
            <v>615 Bristol Pike Bensalem, PA 19020</v>
          </cell>
        </row>
        <row r="2540">
          <cell r="G2540">
            <v>343862</v>
          </cell>
          <cell r="H2540" t="str">
            <v>Donald George Flick LLC</v>
          </cell>
          <cell r="I2540" t="str">
            <v>New Providence</v>
          </cell>
          <cell r="K2540" t="str">
            <v>201 Maple Ln</v>
          </cell>
          <cell r="L2540" t="str">
            <v>PA</v>
          </cell>
          <cell r="M2540">
            <v>17560</v>
          </cell>
          <cell r="N2540" t="str">
            <v>201 Maple Ln New Providence, PA 17560</v>
          </cell>
        </row>
        <row r="2541">
          <cell r="G2541">
            <v>239690</v>
          </cell>
          <cell r="H2541" t="str">
            <v>CONESTOGA CHURCH OF THE BRETHR</v>
          </cell>
          <cell r="I2541" t="str">
            <v>Leola</v>
          </cell>
          <cell r="K2541" t="str">
            <v>141 E Main St</v>
          </cell>
          <cell r="L2541" t="str">
            <v>PA</v>
          </cell>
          <cell r="M2541">
            <v>17540</v>
          </cell>
          <cell r="N2541" t="str">
            <v>141 E Main St Leola, PA 17540</v>
          </cell>
        </row>
        <row r="2542">
          <cell r="G2542">
            <v>331467</v>
          </cell>
          <cell r="H2542" t="str">
            <v>Stony Brook Gardens</v>
          </cell>
          <cell r="I2542" t="str">
            <v>York</v>
          </cell>
          <cell r="K2542" t="str">
            <v>17 Theater Ln</v>
          </cell>
          <cell r="L2542" t="str">
            <v>PA</v>
          </cell>
          <cell r="M2542">
            <v>17402</v>
          </cell>
          <cell r="N2542" t="str">
            <v>17 Theater Ln York, PA 17402</v>
          </cell>
        </row>
        <row r="2543">
          <cell r="G2543">
            <v>484084</v>
          </cell>
          <cell r="H2543" t="str">
            <v>Arthur Funk &amp; Sons</v>
          </cell>
          <cell r="I2543" t="str">
            <v>Lancaster</v>
          </cell>
          <cell r="K2543" t="str">
            <v>1405 Birch Rd</v>
          </cell>
          <cell r="L2543" t="str">
            <v>PA</v>
          </cell>
          <cell r="M2543">
            <v>17603</v>
          </cell>
          <cell r="N2543" t="str">
            <v>1405 Birch Rd Lancaster, PA 17603</v>
          </cell>
        </row>
        <row r="2544">
          <cell r="G2544">
            <v>442356</v>
          </cell>
          <cell r="H2544" t="str">
            <v>Wawa Store # 0441</v>
          </cell>
          <cell r="I2544" t="str">
            <v>Barnegat Township</v>
          </cell>
          <cell r="J2544" t="str">
            <v>Jersey Shore - North</v>
          </cell>
          <cell r="K2544" t="str">
            <v>550 N Main St (@ Bayshore Dr)</v>
          </cell>
          <cell r="L2544" t="str">
            <v>NJ</v>
          </cell>
          <cell r="M2544">
            <v>8005</v>
          </cell>
          <cell r="N2544" t="str">
            <v>550 N Main St (@ Bayshore Dr) Barnegat Township, NJ 08005</v>
          </cell>
        </row>
        <row r="2545">
          <cell r="G2545">
            <v>467047</v>
          </cell>
          <cell r="H2545" t="str">
            <v>NEW HOLLAND ELEMENTARY</v>
          </cell>
          <cell r="I2545" t="str">
            <v>New Holland</v>
          </cell>
          <cell r="K2545" t="str">
            <v>126 Eastern School Rd</v>
          </cell>
          <cell r="L2545" t="str">
            <v>PA</v>
          </cell>
          <cell r="M2545">
            <v>17557</v>
          </cell>
          <cell r="N2545" t="str">
            <v>126 Eastern School Rd New Holland, PA 17557</v>
          </cell>
        </row>
        <row r="2546">
          <cell r="G2546">
            <v>332497</v>
          </cell>
          <cell r="H2546" t="str">
            <v>Reichs EC Church</v>
          </cell>
          <cell r="I2546" t="str">
            <v>Marietta</v>
          </cell>
          <cell r="K2546" t="str">
            <v>338 Stackstown Rd</v>
          </cell>
          <cell r="L2546" t="str">
            <v>PA</v>
          </cell>
          <cell r="M2546">
            <v>17547</v>
          </cell>
          <cell r="N2546" t="str">
            <v>338 Stackstown Rd Marietta, PA 17547</v>
          </cell>
        </row>
        <row r="2547">
          <cell r="G2547">
            <v>346203</v>
          </cell>
          <cell r="H2547" t="str">
            <v>OTTERBEIN UNITED BRETHERN CHUR</v>
          </cell>
          <cell r="I2547" t="str">
            <v>Greencastle</v>
          </cell>
          <cell r="K2547" t="str">
            <v>146 Leitersburg St</v>
          </cell>
          <cell r="L2547" t="str">
            <v>PA</v>
          </cell>
          <cell r="M2547">
            <v>17225</v>
          </cell>
          <cell r="N2547" t="str">
            <v>146 Leitersburg St Greencastle, PA 17225</v>
          </cell>
        </row>
        <row r="2548">
          <cell r="G2548">
            <v>240189</v>
          </cell>
          <cell r="H2548" t="str">
            <v>GENESYS CONTROLS CORP</v>
          </cell>
          <cell r="I2548" t="str">
            <v>Landisville</v>
          </cell>
          <cell r="K2548" t="str">
            <v>1908 McFarland Dr</v>
          </cell>
          <cell r="L2548" t="str">
            <v>PA</v>
          </cell>
          <cell r="M2548">
            <v>17538</v>
          </cell>
          <cell r="N2548" t="str">
            <v>1908 McFarland Dr Landisville, PA 17538</v>
          </cell>
        </row>
        <row r="2549">
          <cell r="G2549">
            <v>244969</v>
          </cell>
          <cell r="H2549" t="str">
            <v>Kennett Consolidated School</v>
          </cell>
          <cell r="I2549" t="str">
            <v>Kennett Square</v>
          </cell>
          <cell r="K2549" t="str">
            <v>300 E South St</v>
          </cell>
          <cell r="L2549" t="str">
            <v>PA</v>
          </cell>
          <cell r="M2549">
            <v>19348</v>
          </cell>
          <cell r="N2549" t="str">
            <v>300 E South St Kennett Square, PA 19348</v>
          </cell>
        </row>
        <row r="2550">
          <cell r="G2550">
            <v>308971</v>
          </cell>
          <cell r="H2550" t="str">
            <v>Florence Challman</v>
          </cell>
          <cell r="I2550" t="str">
            <v>Warminster</v>
          </cell>
          <cell r="J2550" t="str">
            <v>Philly Suburbs - North</v>
          </cell>
          <cell r="K2550" t="str">
            <v>13322 Anns Choice Way</v>
          </cell>
          <cell r="L2550" t="str">
            <v>PA</v>
          </cell>
          <cell r="M2550">
            <v>18974</v>
          </cell>
          <cell r="N2550" t="str">
            <v>13322 Anns Choice Way Warminster, PA 18974</v>
          </cell>
        </row>
        <row r="2551">
          <cell r="G2551">
            <v>325482</v>
          </cell>
          <cell r="H2551" t="str">
            <v>JOYCE HALL</v>
          </cell>
          <cell r="I2551" t="str">
            <v>Lancaster</v>
          </cell>
          <cell r="K2551" t="str">
            <v>695 New Holland Ave</v>
          </cell>
          <cell r="L2551" t="str">
            <v>PA</v>
          </cell>
          <cell r="M2551">
            <v>17602</v>
          </cell>
          <cell r="N2551" t="str">
            <v>695 New Holland Ave Lancaster, PA 17602</v>
          </cell>
        </row>
        <row r="2552">
          <cell r="G2552">
            <v>239525</v>
          </cell>
          <cell r="H2552" t="str">
            <v>CERTIFIED CARPET SERVICE</v>
          </cell>
          <cell r="I2552" t="str">
            <v>Lancaster</v>
          </cell>
          <cell r="K2552" t="str">
            <v>1065 Columbia Ave</v>
          </cell>
          <cell r="L2552" t="str">
            <v>PA</v>
          </cell>
          <cell r="M2552">
            <v>17603</v>
          </cell>
          <cell r="N2552" t="str">
            <v>1065 Columbia Ave Lancaster, PA 17603</v>
          </cell>
        </row>
        <row r="2553">
          <cell r="G2553">
            <v>244115</v>
          </cell>
          <cell r="H2553" t="str">
            <v>Jason Williams</v>
          </cell>
          <cell r="I2553" t="str">
            <v>Elkins Park</v>
          </cell>
          <cell r="K2553" t="str">
            <v>816 Elkins Ave</v>
          </cell>
          <cell r="L2553" t="str">
            <v>PA</v>
          </cell>
          <cell r="M2553">
            <v>19027</v>
          </cell>
          <cell r="N2553" t="str">
            <v>816 Elkins Ave Elkins Park, PA 19027</v>
          </cell>
        </row>
        <row r="2554">
          <cell r="G2554">
            <v>450234</v>
          </cell>
          <cell r="H2554" t="str">
            <v>ELECTRON ENERGY CORP</v>
          </cell>
          <cell r="I2554" t="str">
            <v>Lancaster</v>
          </cell>
          <cell r="K2554" t="str">
            <v>300 Running Pump Rd</v>
          </cell>
          <cell r="L2554" t="str">
            <v>PA</v>
          </cell>
          <cell r="M2554">
            <v>17603</v>
          </cell>
          <cell r="N2554" t="str">
            <v>300 Running Pump Rd Lancaster, PA 17603</v>
          </cell>
        </row>
        <row r="2555">
          <cell r="G2555">
            <v>241008</v>
          </cell>
          <cell r="H2555" t="str">
            <v>MANHEIM CHRISTIAN DAY SCHOOL</v>
          </cell>
          <cell r="I2555" t="str">
            <v>Manheim</v>
          </cell>
          <cell r="K2555" t="str">
            <v>686 Lebanon Rd</v>
          </cell>
          <cell r="L2555" t="str">
            <v>PA</v>
          </cell>
          <cell r="M2555">
            <v>17545</v>
          </cell>
          <cell r="N2555" t="str">
            <v>686 Lebanon Rd Manheim, PA 17545</v>
          </cell>
        </row>
        <row r="2556">
          <cell r="G2556">
            <v>344012</v>
          </cell>
          <cell r="H2556" t="str">
            <v>CHRISTIAN FELLOWSHIP CHURCH</v>
          </cell>
          <cell r="I2556" t="str">
            <v>New Holland</v>
          </cell>
          <cell r="K2556" t="str">
            <v>758 Spruce Rd</v>
          </cell>
          <cell r="L2556" t="str">
            <v>PA</v>
          </cell>
          <cell r="M2556">
            <v>17557</v>
          </cell>
          <cell r="N2556" t="str">
            <v>758 Spruce Rd New Holland, PA 17557</v>
          </cell>
        </row>
        <row r="2557">
          <cell r="G2557">
            <v>474644</v>
          </cell>
          <cell r="H2557" t="str">
            <v>Angie's Custom Cleaning</v>
          </cell>
          <cell r="I2557" t="str">
            <v>Lancaster</v>
          </cell>
          <cell r="K2557" t="str">
            <v>222 Seymour St</v>
          </cell>
          <cell r="L2557" t="str">
            <v>PA</v>
          </cell>
          <cell r="M2557">
            <v>17603</v>
          </cell>
          <cell r="N2557" t="str">
            <v>222 Seymour St Lancaster, PA 17603</v>
          </cell>
        </row>
        <row r="2558">
          <cell r="G2558">
            <v>328563</v>
          </cell>
          <cell r="H2558" t="str">
            <v>Tom McKevitt</v>
          </cell>
          <cell r="I2558" t="str">
            <v>Warrington</v>
          </cell>
          <cell r="J2558" t="str">
            <v>Philly Suburbs - North</v>
          </cell>
          <cell r="K2558" t="str">
            <v>1805 Cedar Ct</v>
          </cell>
          <cell r="L2558" t="str">
            <v>PA</v>
          </cell>
          <cell r="M2558">
            <v>18976</v>
          </cell>
          <cell r="N2558" t="str">
            <v>1805 Cedar Ct Warrington, PA 18976</v>
          </cell>
        </row>
        <row r="2559">
          <cell r="G2559">
            <v>330016</v>
          </cell>
          <cell r="H2559" t="str">
            <v>Porsche Audi Warrington</v>
          </cell>
          <cell r="I2559" t="str">
            <v>Warrington</v>
          </cell>
          <cell r="K2559" t="str">
            <v>1607 EASTON RD</v>
          </cell>
          <cell r="L2559" t="str">
            <v>PA</v>
          </cell>
          <cell r="M2559">
            <v>18976</v>
          </cell>
          <cell r="N2559" t="str">
            <v>1607 EASTON RD Warrington, PA 18976</v>
          </cell>
        </row>
        <row r="2560">
          <cell r="G2560">
            <v>318870</v>
          </cell>
          <cell r="H2560" t="str">
            <v>BEST Professional Services, LL</v>
          </cell>
          <cell r="I2560" t="str">
            <v>Columbia</v>
          </cell>
          <cell r="K2560" t="str">
            <v>PO Box 646</v>
          </cell>
          <cell r="L2560" t="str">
            <v>PA</v>
          </cell>
          <cell r="M2560">
            <v>17512</v>
          </cell>
          <cell r="N2560" t="str">
            <v>PO Box 646 Columbia, PA 17512</v>
          </cell>
        </row>
        <row r="2561">
          <cell r="G2561">
            <v>240602</v>
          </cell>
          <cell r="H2561" t="str">
            <v>LISA ANDERSON V</v>
          </cell>
          <cell r="I2561" t="str">
            <v>Ephrata</v>
          </cell>
          <cell r="K2561" t="str">
            <v>66 Allen Rd</v>
          </cell>
          <cell r="L2561" t="str">
            <v>PA</v>
          </cell>
          <cell r="M2561">
            <v>17522</v>
          </cell>
          <cell r="N2561" t="str">
            <v>66 Allen Rd Ephrata, PA 17522</v>
          </cell>
        </row>
        <row r="2562">
          <cell r="G2562">
            <v>340136</v>
          </cell>
          <cell r="H2562" t="str">
            <v>INCENTER</v>
          </cell>
          <cell r="I2562" t="str">
            <v>Fort Washington</v>
          </cell>
          <cell r="K2562" t="str">
            <v>550 Pinetown Rd Ste 206A</v>
          </cell>
          <cell r="L2562" t="str">
            <v>PA</v>
          </cell>
          <cell r="M2562">
            <v>19034</v>
          </cell>
          <cell r="N2562" t="str">
            <v>550 Pinetown Rd Ste 206A Fort Washington, PA 19034</v>
          </cell>
        </row>
        <row r="2563">
          <cell r="G2563">
            <v>239518</v>
          </cell>
          <cell r="H2563" t="str">
            <v>CENTRAL MANOR CHURCH OF GOD</v>
          </cell>
          <cell r="I2563" t="str">
            <v>Washington Boro</v>
          </cell>
          <cell r="K2563" t="str">
            <v>387 Penn St</v>
          </cell>
          <cell r="L2563" t="str">
            <v>PA</v>
          </cell>
          <cell r="M2563">
            <v>17582</v>
          </cell>
          <cell r="N2563" t="str">
            <v>387 Penn St Washington Boro, PA 17582</v>
          </cell>
        </row>
        <row r="2564">
          <cell r="G2564">
            <v>273733</v>
          </cell>
          <cell r="H2564" t="str">
            <v>J &amp; A CLEANING</v>
          </cell>
          <cell r="I2564" t="str">
            <v>Manheim</v>
          </cell>
          <cell r="K2564" t="str">
            <v>2253 Meadow View Rd</v>
          </cell>
          <cell r="L2564" t="str">
            <v>PA</v>
          </cell>
          <cell r="M2564">
            <v>17545</v>
          </cell>
          <cell r="N2564" t="str">
            <v>2253 Meadow View Rd Manheim, PA 17545</v>
          </cell>
        </row>
        <row r="2565">
          <cell r="G2565">
            <v>265265</v>
          </cell>
          <cell r="H2565" t="str">
            <v>FESTIVA LANCASTER INC V</v>
          </cell>
          <cell r="I2565" t="str">
            <v>Lancaster</v>
          </cell>
          <cell r="K2565" t="str">
            <v>701 Columbia Ave</v>
          </cell>
          <cell r="L2565" t="str">
            <v>PA</v>
          </cell>
          <cell r="M2565">
            <v>17603</v>
          </cell>
          <cell r="N2565" t="str">
            <v>701 Columbia Ave Lancaster, PA 17603</v>
          </cell>
        </row>
        <row r="2566">
          <cell r="G2566">
            <v>346438</v>
          </cell>
          <cell r="H2566" t="str">
            <v>BUSHONG PROPERTY GROUP</v>
          </cell>
          <cell r="I2566" t="str">
            <v>Pequea</v>
          </cell>
          <cell r="K2566" t="str">
            <v>75 RAVEN CRST</v>
          </cell>
          <cell r="L2566" t="str">
            <v>PA</v>
          </cell>
          <cell r="M2566">
            <v>17565</v>
          </cell>
          <cell r="N2566" t="str">
            <v>75 RAVEN CRST Pequea, PA 17565</v>
          </cell>
        </row>
        <row r="2567">
          <cell r="G2567">
            <v>298452</v>
          </cell>
          <cell r="H2567" t="str">
            <v>REM AUTOMOTIVE INC</v>
          </cell>
          <cell r="I2567" t="str">
            <v>Annville</v>
          </cell>
          <cell r="J2567" t="str">
            <v>Lebanon - West</v>
          </cell>
          <cell r="K2567" t="str">
            <v>20 Landings Dr</v>
          </cell>
          <cell r="L2567" t="str">
            <v>PA</v>
          </cell>
          <cell r="M2567">
            <v>17003</v>
          </cell>
          <cell r="N2567" t="str">
            <v>20 Landings Dr Annville, PA 17003</v>
          </cell>
        </row>
        <row r="2568">
          <cell r="G2568">
            <v>336898</v>
          </cell>
          <cell r="H2568" t="str">
            <v>CC - Scott Smith Window Cleane</v>
          </cell>
          <cell r="I2568" t="str">
            <v>New Hope</v>
          </cell>
          <cell r="K2568" t="str">
            <v>4343 Lower Mountain Rd</v>
          </cell>
          <cell r="L2568" t="str">
            <v>PA</v>
          </cell>
          <cell r="M2568">
            <v>18938</v>
          </cell>
          <cell r="N2568" t="str">
            <v>4343 Lower Mountain Rd New Hope, PA 18938</v>
          </cell>
        </row>
        <row r="2569">
          <cell r="G2569">
            <v>245462</v>
          </cell>
          <cell r="H2569" t="str">
            <v>Newark Charter Kitchens</v>
          </cell>
          <cell r="I2569" t="str">
            <v>Newark</v>
          </cell>
          <cell r="K2569" t="str">
            <v>2001 Patriot Way</v>
          </cell>
          <cell r="L2569" t="str">
            <v>DE</v>
          </cell>
          <cell r="M2569">
            <v>19711</v>
          </cell>
          <cell r="N2569" t="str">
            <v>2001 Patriot Way Newark, DE 19711</v>
          </cell>
        </row>
        <row r="2570">
          <cell r="G2570">
            <v>470336</v>
          </cell>
          <cell r="H2570" t="str">
            <v>Centennial Station Condo Assoc</v>
          </cell>
          <cell r="I2570" t="str">
            <v>Warminster</v>
          </cell>
          <cell r="J2570" t="str">
            <v>Philly Suburbs - North</v>
          </cell>
          <cell r="K2570" t="str">
            <v>12116 Centennial Sta</v>
          </cell>
          <cell r="L2570" t="str">
            <v>PA</v>
          </cell>
          <cell r="M2570">
            <v>18974</v>
          </cell>
          <cell r="N2570" t="str">
            <v>12116 Centennial Sta Warminster, PA 18974</v>
          </cell>
        </row>
        <row r="2571">
          <cell r="G2571">
            <v>246339</v>
          </cell>
          <cell r="H2571" t="str">
            <v>Sumpter Services</v>
          </cell>
          <cell r="I2571" t="str">
            <v>Newtown</v>
          </cell>
          <cell r="K2571" t="str">
            <v>4638 Township Line Rd</v>
          </cell>
          <cell r="L2571" t="str">
            <v>PA</v>
          </cell>
          <cell r="M2571">
            <v>18940</v>
          </cell>
          <cell r="N2571" t="str">
            <v>4638 Township Line Rd Newtown, PA 18940</v>
          </cell>
        </row>
        <row r="2572">
          <cell r="G2572">
            <v>239568</v>
          </cell>
          <cell r="H2572" t="str">
            <v>CHURCH OF GOD - WASH BORO</v>
          </cell>
          <cell r="I2572" t="str">
            <v>Washington Boro</v>
          </cell>
          <cell r="K2572" t="str">
            <v>4035 Blue Rock Rd</v>
          </cell>
          <cell r="L2572" t="str">
            <v>PA</v>
          </cell>
          <cell r="M2572">
            <v>17582</v>
          </cell>
          <cell r="N2572" t="str">
            <v>4035 Blue Rock Rd Washington Boro, PA 17582</v>
          </cell>
        </row>
        <row r="2573">
          <cell r="G2573">
            <v>418702</v>
          </cell>
          <cell r="H2573" t="str">
            <v>Middle School 8th Grade Center</v>
          </cell>
          <cell r="I2573" t="str">
            <v>Royersford</v>
          </cell>
          <cell r="K2573" t="str">
            <v>700 Washington St</v>
          </cell>
          <cell r="L2573" t="str">
            <v>PA</v>
          </cell>
          <cell r="M2573">
            <v>19468</v>
          </cell>
          <cell r="N2573" t="str">
            <v>700 Washington St Royersford, PA 19468</v>
          </cell>
        </row>
        <row r="2574">
          <cell r="G2574">
            <v>482621</v>
          </cell>
          <cell r="H2574" t="str">
            <v>Your Home Outlet</v>
          </cell>
          <cell r="I2574" t="str">
            <v>Warminster</v>
          </cell>
          <cell r="J2574" t="str">
            <v>Philly Suburbs - North</v>
          </cell>
          <cell r="K2574" t="str">
            <v>654 York Rd</v>
          </cell>
          <cell r="L2574" t="str">
            <v>PA</v>
          </cell>
          <cell r="M2574">
            <v>18974</v>
          </cell>
          <cell r="N2574" t="str">
            <v>654 York Rd Warminster, PA 18974</v>
          </cell>
        </row>
        <row r="2575">
          <cell r="G2575">
            <v>322724</v>
          </cell>
          <cell r="H2575" t="str">
            <v>C VICTOR SCHRECK</v>
          </cell>
          <cell r="I2575" t="str">
            <v>Lancaster</v>
          </cell>
          <cell r="K2575" t="str">
            <v>1109 Stony Battery Rd</v>
          </cell>
          <cell r="L2575" t="str">
            <v>PA</v>
          </cell>
          <cell r="M2575">
            <v>17601</v>
          </cell>
          <cell r="N2575" t="str">
            <v>1109 Stony Battery Rd Lancaster, PA 17601</v>
          </cell>
        </row>
        <row r="2576">
          <cell r="G2576">
            <v>479167</v>
          </cell>
          <cell r="H2576" t="str">
            <v>Donegal-DJH Food Service</v>
          </cell>
          <cell r="I2576" t="str">
            <v>Mount Joy</v>
          </cell>
          <cell r="K2576" t="str">
            <v>915 ANDERSON FERRY RD</v>
          </cell>
          <cell r="L2576" t="str">
            <v>PA</v>
          </cell>
          <cell r="M2576">
            <v>17552</v>
          </cell>
          <cell r="N2576" t="str">
            <v>915 ANDERSON FERRY RD Mount Joy, PA 17552</v>
          </cell>
        </row>
        <row r="2577">
          <cell r="G2577">
            <v>281950</v>
          </cell>
          <cell r="H2577" t="str">
            <v>All Fill Inc.</v>
          </cell>
          <cell r="I2577" t="str">
            <v>EXTON</v>
          </cell>
          <cell r="K2577" t="str">
            <v>418 Creamery Way</v>
          </cell>
          <cell r="L2577" t="str">
            <v>PA</v>
          </cell>
          <cell r="M2577">
            <v>19341</v>
          </cell>
          <cell r="N2577" t="str">
            <v>418 Creamery Way EXTON, PA 19341</v>
          </cell>
        </row>
        <row r="2578">
          <cell r="G2578">
            <v>245854</v>
          </cell>
          <cell r="H2578" t="str">
            <v>Dave Lombard</v>
          </cell>
          <cell r="I2578" t="str">
            <v>Rockledge</v>
          </cell>
          <cell r="K2578" t="str">
            <v>7956 Church Rd</v>
          </cell>
          <cell r="L2578" t="str">
            <v>PA</v>
          </cell>
          <cell r="M2578">
            <v>19046</v>
          </cell>
          <cell r="N2578" t="str">
            <v>7956 Church Rd Rockledge, PA 19046</v>
          </cell>
        </row>
        <row r="2579">
          <cell r="G2579">
            <v>297799</v>
          </cell>
          <cell r="H2579" t="str">
            <v>Christopher Strack</v>
          </cell>
          <cell r="I2579" t="str">
            <v>Hatboro</v>
          </cell>
          <cell r="J2579" t="str">
            <v>Philly Suburbs - North</v>
          </cell>
          <cell r="K2579" t="str">
            <v>50 Maurice Ln</v>
          </cell>
          <cell r="L2579" t="str">
            <v>PA</v>
          </cell>
          <cell r="M2579">
            <v>19040</v>
          </cell>
          <cell r="N2579" t="str">
            <v>50 Maurice Ln Hatboro, PA 19040</v>
          </cell>
        </row>
        <row r="2580">
          <cell r="G2580">
            <v>309521</v>
          </cell>
          <cell r="H2580" t="str">
            <v>BENJAMIN S BEILER</v>
          </cell>
          <cell r="I2580" t="str">
            <v>Millerstown</v>
          </cell>
          <cell r="J2580" t="str">
            <v>Lewistown</v>
          </cell>
          <cell r="K2580" t="str">
            <v>889 Knisely Hill Rd</v>
          </cell>
          <cell r="L2580" t="str">
            <v>PA</v>
          </cell>
          <cell r="M2580">
            <v>17062</v>
          </cell>
          <cell r="N2580" t="str">
            <v>889 Knisely Hill Rd Millerstown, PA 17062</v>
          </cell>
        </row>
        <row r="2581">
          <cell r="G2581">
            <v>346225</v>
          </cell>
          <cell r="H2581" t="str">
            <v>Renae Charles</v>
          </cell>
          <cell r="I2581" t="str">
            <v>Schwenksville</v>
          </cell>
          <cell r="K2581" t="str">
            <v>37 GAME FARM RD</v>
          </cell>
          <cell r="L2581" t="str">
            <v>PA</v>
          </cell>
          <cell r="M2581">
            <v>19473</v>
          </cell>
          <cell r="N2581" t="str">
            <v>37 GAME FARM RD Schwenksville, PA 19473</v>
          </cell>
        </row>
        <row r="2582">
          <cell r="G2582">
            <v>342198</v>
          </cell>
          <cell r="H2582" t="str">
            <v>WAGSWORTH MANOR</v>
          </cell>
          <cell r="I2582" t="str">
            <v>Malvern</v>
          </cell>
          <cell r="K2582" t="str">
            <v>27 SPRING MILL DR</v>
          </cell>
          <cell r="L2582" t="str">
            <v>PA</v>
          </cell>
          <cell r="M2582">
            <v>19355</v>
          </cell>
          <cell r="N2582" t="str">
            <v>27 SPRING MILL DR Malvern, PA 19355</v>
          </cell>
        </row>
        <row r="2583">
          <cell r="G2583">
            <v>242422</v>
          </cell>
          <cell r="H2583" t="str">
            <v>WIZARD LOCK &amp; SAFE CO</v>
          </cell>
          <cell r="I2583" t="str">
            <v>Lancaster</v>
          </cell>
          <cell r="K2583" t="str">
            <v>218 N Prince St</v>
          </cell>
          <cell r="L2583" t="str">
            <v>PA</v>
          </cell>
          <cell r="M2583">
            <v>17603</v>
          </cell>
          <cell r="N2583" t="str">
            <v>218 N Prince St Lancaster, PA 17603</v>
          </cell>
        </row>
        <row r="2584">
          <cell r="G2584">
            <v>311096</v>
          </cell>
          <cell r="H2584" t="str">
            <v>ST PAULS LUTHERAN CHURCH</v>
          </cell>
          <cell r="I2584" t="str">
            <v>Penryn</v>
          </cell>
          <cell r="K2584" t="str">
            <v>1258 W. Newport Rd</v>
          </cell>
          <cell r="L2584" t="str">
            <v>PA</v>
          </cell>
          <cell r="M2584">
            <v>17564</v>
          </cell>
          <cell r="N2584" t="str">
            <v>1258 W. Newport Rd Penryn, PA 17564</v>
          </cell>
        </row>
        <row r="2585">
          <cell r="G2585">
            <v>471038</v>
          </cell>
          <cell r="H2585" t="str">
            <v>FAIRLANE VILLAGE MALL</v>
          </cell>
          <cell r="I2585" t="str">
            <v>Pottsville</v>
          </cell>
          <cell r="K2585" t="str">
            <v>7211 Fairlane Village Mall</v>
          </cell>
          <cell r="L2585" t="str">
            <v>PA</v>
          </cell>
          <cell r="M2585">
            <v>17901</v>
          </cell>
          <cell r="N2585" t="str">
            <v>7211 Fairlane Village Mall Pottsville, PA 17901</v>
          </cell>
        </row>
        <row r="2586">
          <cell r="G2586">
            <v>318768</v>
          </cell>
          <cell r="H2586" t="str">
            <v>DEIRDRE LEHMAN</v>
          </cell>
          <cell r="I2586" t="str">
            <v>Lancaster</v>
          </cell>
          <cell r="K2586" t="str">
            <v>735 State St</v>
          </cell>
          <cell r="L2586" t="str">
            <v>PA</v>
          </cell>
          <cell r="M2586">
            <v>17603</v>
          </cell>
          <cell r="N2586" t="str">
            <v>735 State St Lancaster, PA 17603</v>
          </cell>
        </row>
        <row r="2587">
          <cell r="G2587">
            <v>468325</v>
          </cell>
          <cell r="H2587" t="str">
            <v>LEBANON MIDDLE SCHOOL</v>
          </cell>
          <cell r="I2587" t="str">
            <v>Lebanon</v>
          </cell>
          <cell r="K2587" t="str">
            <v>350 N 8th Street</v>
          </cell>
          <cell r="L2587" t="str">
            <v>PA</v>
          </cell>
          <cell r="M2587">
            <v>17046</v>
          </cell>
          <cell r="N2587" t="str">
            <v>350 N 8th Street Lebanon, PA 17046</v>
          </cell>
        </row>
        <row r="2588">
          <cell r="G2588">
            <v>301231</v>
          </cell>
          <cell r="H2588" t="str">
            <v>West Laurel Hill Cemetary</v>
          </cell>
          <cell r="I2588" t="str">
            <v>Bala Cynwyd</v>
          </cell>
          <cell r="J2588" t="str">
            <v>Philly - NW</v>
          </cell>
          <cell r="K2588" t="str">
            <v>215 Belmont Ave</v>
          </cell>
          <cell r="L2588" t="str">
            <v>PA</v>
          </cell>
          <cell r="M2588">
            <v>19004</v>
          </cell>
          <cell r="N2588" t="str">
            <v>215 Belmont Ave Bala Cynwyd, PA 19004</v>
          </cell>
        </row>
        <row r="2589">
          <cell r="G2589">
            <v>242852</v>
          </cell>
          <cell r="H2589" t="str">
            <v>Abington Memorial Hospital</v>
          </cell>
          <cell r="I2589" t="str">
            <v>Abington</v>
          </cell>
          <cell r="J2589" t="str">
            <v>Philly Suburbs - Lower</v>
          </cell>
          <cell r="K2589" t="str">
            <v>1200 Old York Rd</v>
          </cell>
          <cell r="L2589" t="str">
            <v>PA</v>
          </cell>
          <cell r="M2589">
            <v>19001</v>
          </cell>
          <cell r="N2589" t="str">
            <v>1200 Old York Rd Abington, PA 19001</v>
          </cell>
        </row>
        <row r="2590">
          <cell r="G2590">
            <v>334071</v>
          </cell>
          <cell r="H2590" t="str">
            <v>Kathy Speitel</v>
          </cell>
          <cell r="I2590" t="str">
            <v>Lancaster</v>
          </cell>
          <cell r="K2590" t="str">
            <v>416 S Queen St</v>
          </cell>
          <cell r="L2590" t="str">
            <v>PA</v>
          </cell>
          <cell r="M2590">
            <v>17603</v>
          </cell>
          <cell r="N2590" t="str">
            <v>416 S Queen St Lancaster, PA 17603</v>
          </cell>
        </row>
        <row r="2591">
          <cell r="G2591">
            <v>483958</v>
          </cell>
          <cell r="H2591" t="str">
            <v>Woerth Motor Co</v>
          </cell>
          <cell r="I2591" t="str">
            <v>Gap</v>
          </cell>
          <cell r="K2591" t="str">
            <v>157 PINE CREEK DR</v>
          </cell>
          <cell r="L2591" t="str">
            <v>PA</v>
          </cell>
          <cell r="M2591">
            <v>17527</v>
          </cell>
          <cell r="N2591" t="str">
            <v>157 PINE CREEK DR Gap, PA 17527</v>
          </cell>
        </row>
        <row r="2592">
          <cell r="G2592">
            <v>336919</v>
          </cell>
          <cell r="H2592" t="str">
            <v>Eric Smith</v>
          </cell>
          <cell r="I2592" t="str">
            <v>Philadelphia</v>
          </cell>
          <cell r="K2592" t="str">
            <v>8525 Alicia St</v>
          </cell>
          <cell r="L2592" t="str">
            <v>PA</v>
          </cell>
          <cell r="M2592">
            <v>19111</v>
          </cell>
          <cell r="N2592" t="str">
            <v>8525 Alicia St Philadelphia, PA 19111</v>
          </cell>
        </row>
        <row r="2593">
          <cell r="G2593">
            <v>240579</v>
          </cell>
          <cell r="H2593" t="str">
            <v>JONES DEALERSHIPS INC</v>
          </cell>
          <cell r="I2593" t="str">
            <v>Lancaster</v>
          </cell>
          <cell r="K2593" t="str">
            <v>1335 Manheim Pike</v>
          </cell>
          <cell r="L2593" t="str">
            <v>PA</v>
          </cell>
          <cell r="M2593">
            <v>17601</v>
          </cell>
          <cell r="N2593" t="str">
            <v>1335 Manheim Pike Lancaster, PA 17601</v>
          </cell>
        </row>
        <row r="2594">
          <cell r="G2594">
            <v>472539</v>
          </cell>
          <cell r="H2594" t="str">
            <v>Wilkes Barre VA Medical Center</v>
          </cell>
          <cell r="I2594" t="str">
            <v>Wilkes Barre</v>
          </cell>
          <cell r="K2594" t="str">
            <v>1112 E End Blvd</v>
          </cell>
          <cell r="L2594" t="str">
            <v>PA</v>
          </cell>
          <cell r="M2594">
            <v>18711</v>
          </cell>
          <cell r="N2594" t="str">
            <v>1112 E End Blvd Wilkes Barre, PA 18711</v>
          </cell>
        </row>
        <row r="2595">
          <cell r="G2595">
            <v>319887</v>
          </cell>
          <cell r="H2595" t="str">
            <v>HANK DIENSTBERGER#</v>
          </cell>
          <cell r="I2595" t="str">
            <v>Lancaster</v>
          </cell>
          <cell r="K2595" t="str">
            <v>394 Carter Moir Dr</v>
          </cell>
          <cell r="L2595" t="str">
            <v>PA</v>
          </cell>
          <cell r="M2595">
            <v>17601</v>
          </cell>
          <cell r="N2595" t="str">
            <v>394 Carter Moir Dr Lancaster, PA 17601</v>
          </cell>
        </row>
        <row r="2596">
          <cell r="G2596">
            <v>285791</v>
          </cell>
          <cell r="H2596" t="str">
            <v>PAOLI FIRE COMPANY</v>
          </cell>
          <cell r="I2596" t="str">
            <v>Paoli</v>
          </cell>
          <cell r="K2596" t="str">
            <v>69 Darby Rd</v>
          </cell>
          <cell r="L2596" t="str">
            <v>PA</v>
          </cell>
          <cell r="M2596">
            <v>19301</v>
          </cell>
          <cell r="N2596" t="str">
            <v>69 Darby Rd Paoli, PA 19301</v>
          </cell>
        </row>
        <row r="2597">
          <cell r="G2597">
            <v>469177</v>
          </cell>
          <cell r="H2597" t="str">
            <v>MAZIE GABLE ELEMENTARY</v>
          </cell>
          <cell r="I2597" t="str">
            <v>Red Lion</v>
          </cell>
          <cell r="K2597" t="str">
            <v>100 E Prospect St</v>
          </cell>
          <cell r="L2597" t="str">
            <v>PA</v>
          </cell>
          <cell r="M2597">
            <v>17356</v>
          </cell>
          <cell r="N2597" t="str">
            <v>100 E Prospect St Red Lion, PA 17356</v>
          </cell>
        </row>
        <row r="2598">
          <cell r="G2598">
            <v>464883</v>
          </cell>
          <cell r="H2598" t="str">
            <v>STONY BROOK ELEMENTARY</v>
          </cell>
          <cell r="I2598" t="str">
            <v>York</v>
          </cell>
          <cell r="K2598" t="str">
            <v>250 Silver Spur Dr</v>
          </cell>
          <cell r="L2598" t="str">
            <v>PA</v>
          </cell>
          <cell r="M2598">
            <v>17402</v>
          </cell>
          <cell r="N2598" t="str">
            <v>250 Silver Spur Dr York, PA 17402</v>
          </cell>
        </row>
        <row r="2599">
          <cell r="G2599">
            <v>239499</v>
          </cell>
          <cell r="H2599" t="str">
            <v>CARPENTER COMMUNITY CHURCH</v>
          </cell>
          <cell r="I2599" t="str">
            <v>Talmage</v>
          </cell>
          <cell r="K2599" t="str">
            <v>378 Glenbrook Rd</v>
          </cell>
          <cell r="L2599" t="str">
            <v>PA</v>
          </cell>
          <cell r="M2599">
            <v>17580</v>
          </cell>
          <cell r="N2599" t="str">
            <v>378 Glenbrook Rd Talmage, PA 17580</v>
          </cell>
        </row>
        <row r="2600">
          <cell r="G2600">
            <v>242205</v>
          </cell>
          <cell r="H2600" t="str">
            <v>UMBRELLA WORKS APARTMENTS</v>
          </cell>
          <cell r="I2600" t="str">
            <v>Lancaster</v>
          </cell>
          <cell r="K2600" t="str">
            <v>250 W King St</v>
          </cell>
          <cell r="L2600" t="str">
            <v>PA</v>
          </cell>
          <cell r="M2600">
            <v>17603</v>
          </cell>
          <cell r="N2600" t="str">
            <v>250 W King St Lancaster, PA 17603</v>
          </cell>
        </row>
        <row r="2601">
          <cell r="G2601">
            <v>309094</v>
          </cell>
          <cell r="H2601" t="str">
            <v>NEWLY RESTORED</v>
          </cell>
          <cell r="I2601" t="str">
            <v>Mount Joy</v>
          </cell>
          <cell r="K2601" t="str">
            <v>714 Harold Ave</v>
          </cell>
          <cell r="L2601" t="str">
            <v>PA</v>
          </cell>
          <cell r="M2601">
            <v>17552</v>
          </cell>
          <cell r="N2601" t="str">
            <v>714 Harold Ave Mount Joy, PA 17552</v>
          </cell>
        </row>
        <row r="2602">
          <cell r="G2602">
            <v>417770</v>
          </cell>
          <cell r="H2602" t="str">
            <v>Lenape Middle School</v>
          </cell>
          <cell r="I2602" t="str">
            <v>Doylestown</v>
          </cell>
          <cell r="J2602" t="str">
            <v>Philly Suburbs - North</v>
          </cell>
          <cell r="K2602" t="str">
            <v>313 W State St</v>
          </cell>
          <cell r="L2602" t="str">
            <v>PA</v>
          </cell>
          <cell r="M2602">
            <v>18901</v>
          </cell>
          <cell r="N2602" t="str">
            <v>313 W State St Doylestown, PA 18901</v>
          </cell>
        </row>
        <row r="2603">
          <cell r="G2603">
            <v>431262</v>
          </cell>
          <cell r="H2603" t="str">
            <v>HERITAGE HOTEL</v>
          </cell>
          <cell r="I2603" t="str">
            <v>Lancaster</v>
          </cell>
          <cell r="K2603" t="str">
            <v>500 Centerville Rd</v>
          </cell>
          <cell r="L2603" t="str">
            <v>PA</v>
          </cell>
          <cell r="M2603">
            <v>17601</v>
          </cell>
          <cell r="N2603" t="str">
            <v>500 Centerville Rd Lancaster, PA 17601</v>
          </cell>
        </row>
        <row r="2604">
          <cell r="G2604">
            <v>268982</v>
          </cell>
          <cell r="H2604" t="str">
            <v>LANCASTER ARTS RESTURANT</v>
          </cell>
          <cell r="I2604" t="str">
            <v>Lancaster</v>
          </cell>
          <cell r="K2604" t="str">
            <v>300 Harrisburg Ave</v>
          </cell>
          <cell r="L2604" t="str">
            <v>PA</v>
          </cell>
          <cell r="M2604">
            <v>17603</v>
          </cell>
          <cell r="N2604" t="str">
            <v>300 Harrisburg Ave Lancaster, PA 17603</v>
          </cell>
        </row>
        <row r="2605">
          <cell r="G2605">
            <v>241586</v>
          </cell>
          <cell r="H2605" t="str">
            <v>REVERE TAVERN</v>
          </cell>
          <cell r="I2605" t="str">
            <v>Paradise</v>
          </cell>
          <cell r="K2605" t="str">
            <v>3063 Lincoln Hwy E</v>
          </cell>
          <cell r="L2605" t="str">
            <v>PA</v>
          </cell>
          <cell r="M2605">
            <v>17562</v>
          </cell>
          <cell r="N2605" t="str">
            <v>3063 Lincoln Hwy E Paradise, PA 17562</v>
          </cell>
        </row>
        <row r="2606">
          <cell r="G2606">
            <v>345307</v>
          </cell>
          <cell r="H2606" t="str">
            <v>Susan Reiser</v>
          </cell>
          <cell r="I2606" t="str">
            <v>Furlong</v>
          </cell>
          <cell r="K2606" t="str">
            <v>3959 Hillcrest Dr</v>
          </cell>
          <cell r="L2606" t="str">
            <v>PA</v>
          </cell>
          <cell r="M2606">
            <v>18925</v>
          </cell>
          <cell r="N2606" t="str">
            <v>3959 Hillcrest Dr Furlong, PA 18925</v>
          </cell>
        </row>
        <row r="2607">
          <cell r="G2607">
            <v>239090</v>
          </cell>
          <cell r="H2607" t="str">
            <v>A CLEAN HOMETOWN SERVICES</v>
          </cell>
          <cell r="I2607" t="str">
            <v>Lancaster</v>
          </cell>
          <cell r="K2607" t="str">
            <v>239 Steepbank Rd</v>
          </cell>
          <cell r="L2607" t="str">
            <v>PA</v>
          </cell>
          <cell r="M2607">
            <v>17602</v>
          </cell>
          <cell r="N2607" t="str">
            <v>239 Steepbank Rd Lancaster, PA 17602</v>
          </cell>
        </row>
        <row r="2608">
          <cell r="G2608">
            <v>245968</v>
          </cell>
          <cell r="H2608" t="str">
            <v>Palisades School District</v>
          </cell>
          <cell r="I2608" t="str">
            <v>Kintnersville</v>
          </cell>
          <cell r="K2608" t="str">
            <v>39 Thomas Free Dr</v>
          </cell>
          <cell r="L2608" t="str">
            <v>PA</v>
          </cell>
          <cell r="M2608">
            <v>18930</v>
          </cell>
          <cell r="N2608" t="str">
            <v>39 Thomas Free Dr Kintnersville, PA 18930</v>
          </cell>
        </row>
        <row r="2609">
          <cell r="G2609">
            <v>457907</v>
          </cell>
          <cell r="H2609" t="str">
            <v>Hanover Grocery Outlet</v>
          </cell>
          <cell r="I2609" t="str">
            <v>Hanover</v>
          </cell>
          <cell r="K2609" t="str">
            <v>1150 Carlisle St</v>
          </cell>
          <cell r="L2609" t="str">
            <v>PA</v>
          </cell>
          <cell r="M2609">
            <v>17331</v>
          </cell>
          <cell r="N2609" t="str">
            <v>1150 Carlisle St Hanover, PA 17331</v>
          </cell>
        </row>
        <row r="2610">
          <cell r="G2610">
            <v>480333</v>
          </cell>
          <cell r="H2610" t="str">
            <v>Alloway Elementary School</v>
          </cell>
          <cell r="I2610" t="str">
            <v>Littlestown</v>
          </cell>
          <cell r="K2610" t="str">
            <v>162 Newark St</v>
          </cell>
          <cell r="L2610" t="str">
            <v>PA</v>
          </cell>
          <cell r="M2610">
            <v>17340</v>
          </cell>
          <cell r="N2610" t="str">
            <v>162 Newark St Littlestown, PA 17340</v>
          </cell>
        </row>
        <row r="2611">
          <cell r="G2611">
            <v>266721</v>
          </cell>
          <cell r="H2611" t="str">
            <v>HERSHEY PAPER COMPANY V</v>
          </cell>
          <cell r="I2611" t="str">
            <v>Lancaster</v>
          </cell>
          <cell r="K2611" t="str">
            <v>3650 Hempland Rd</v>
          </cell>
          <cell r="L2611" t="str">
            <v>PA</v>
          </cell>
          <cell r="M2611">
            <v>17601</v>
          </cell>
          <cell r="N2611" t="str">
            <v>3650 Hempland Rd Lancaster, PA 17601</v>
          </cell>
        </row>
        <row r="2612">
          <cell r="G2612">
            <v>241872</v>
          </cell>
          <cell r="H2612" t="str">
            <v>South Western School District</v>
          </cell>
          <cell r="I2612" t="str">
            <v>Hanover</v>
          </cell>
          <cell r="K2612" t="str">
            <v>225 Bowman Rd</v>
          </cell>
          <cell r="L2612" t="str">
            <v>PA</v>
          </cell>
          <cell r="M2612">
            <v>17331</v>
          </cell>
          <cell r="N2612" t="str">
            <v>225 Bowman Rd Hanover, PA 17331</v>
          </cell>
        </row>
        <row r="2613">
          <cell r="G2613">
            <v>344841</v>
          </cell>
          <cell r="H2613" t="str">
            <v>Michael Schlitter</v>
          </cell>
          <cell r="I2613" t="str">
            <v>Mount Joy</v>
          </cell>
          <cell r="K2613" t="str">
            <v>424 Sunset Ave</v>
          </cell>
          <cell r="L2613" t="str">
            <v>PA</v>
          </cell>
          <cell r="M2613">
            <v>17552</v>
          </cell>
          <cell r="N2613" t="str">
            <v>424 Sunset Ave Mount Joy, PA 17552</v>
          </cell>
        </row>
        <row r="2614">
          <cell r="G2614">
            <v>424180</v>
          </cell>
          <cell r="H2614" t="str">
            <v>Cat-Pickering Campus</v>
          </cell>
          <cell r="I2614" t="str">
            <v>Phoenixville</v>
          </cell>
          <cell r="K2614" t="str">
            <v>1580 Charlestown Rd</v>
          </cell>
          <cell r="L2614" t="str">
            <v>PA</v>
          </cell>
          <cell r="M2614">
            <v>19460</v>
          </cell>
          <cell r="N2614" t="str">
            <v>1580 Charlestown Rd Phoenixville, PA 19460</v>
          </cell>
        </row>
        <row r="2615">
          <cell r="G2615">
            <v>239155</v>
          </cell>
          <cell r="H2615" t="str">
            <v>ALLENTOWN FAIRGROUNDS FARMERS</v>
          </cell>
          <cell r="I2615" t="str">
            <v>Allentown</v>
          </cell>
          <cell r="J2615" t="str">
            <v>Allentown</v>
          </cell>
          <cell r="K2615" t="str">
            <v>1825 Chew St</v>
          </cell>
          <cell r="L2615" t="str">
            <v>PA</v>
          </cell>
          <cell r="M2615">
            <v>18104</v>
          </cell>
          <cell r="N2615" t="str">
            <v>1825 Chew St Allentown, PA 18104</v>
          </cell>
        </row>
        <row r="2616">
          <cell r="G2616">
            <v>423138</v>
          </cell>
          <cell r="H2616" t="str">
            <v>CONESTOGA VALLEY HIGH SCHOOL</v>
          </cell>
          <cell r="I2616" t="str">
            <v>Lancaster</v>
          </cell>
          <cell r="K2616" t="str">
            <v>2110 Horseshoe Rd</v>
          </cell>
          <cell r="L2616" t="str">
            <v>PA</v>
          </cell>
          <cell r="M2616">
            <v>17601</v>
          </cell>
          <cell r="N2616" t="str">
            <v>2110 Horseshoe Rd Lancaster, PA 17601</v>
          </cell>
        </row>
        <row r="2617">
          <cell r="G2617">
            <v>300023</v>
          </cell>
          <cell r="H2617" t="str">
            <v>MOBILE DETAILING V</v>
          </cell>
          <cell r="I2617" t="str">
            <v>Manheim</v>
          </cell>
          <cell r="K2617" t="str">
            <v>1337 Newport Rd</v>
          </cell>
          <cell r="L2617" t="str">
            <v>PA</v>
          </cell>
          <cell r="M2617">
            <v>17545</v>
          </cell>
          <cell r="N2617" t="str">
            <v>1337 Newport Rd Manheim, PA 17545</v>
          </cell>
        </row>
        <row r="2618">
          <cell r="G2618">
            <v>241725</v>
          </cell>
          <cell r="H2618" t="str">
            <v>WHITE HORSE FIRE CO</v>
          </cell>
          <cell r="I2618" t="str">
            <v>Gap</v>
          </cell>
          <cell r="K2618" t="str">
            <v>111 White Horse Rd</v>
          </cell>
          <cell r="L2618" t="str">
            <v>PA</v>
          </cell>
          <cell r="M2618">
            <v>17527</v>
          </cell>
          <cell r="N2618" t="str">
            <v>111 White Horse Rd Gap, PA 17527</v>
          </cell>
        </row>
        <row r="2619">
          <cell r="G2619">
            <v>317826</v>
          </cell>
          <cell r="H2619" t="str">
            <v>ADVANCED CLEANING SOLUTIONS</v>
          </cell>
          <cell r="I2619" t="str">
            <v>Allentown</v>
          </cell>
          <cell r="J2619" t="str">
            <v>Allentown</v>
          </cell>
          <cell r="K2619" t="str">
            <v>3477 Corporate Suite 100</v>
          </cell>
          <cell r="L2619" t="str">
            <v>PA</v>
          </cell>
          <cell r="M2619">
            <v>18106</v>
          </cell>
          <cell r="N2619" t="str">
            <v>3477 Corporate Suite 100 Allentown, PA 18106</v>
          </cell>
        </row>
        <row r="2620">
          <cell r="G2620">
            <v>246293</v>
          </cell>
          <cell r="H2620" t="str">
            <v>Somerdale Public School</v>
          </cell>
          <cell r="I2620" t="str">
            <v>Somerdale</v>
          </cell>
          <cell r="J2620" t="str">
            <v>Cherry Hill</v>
          </cell>
          <cell r="K2620" t="str">
            <v>301 Grace St</v>
          </cell>
          <cell r="L2620" t="str">
            <v>NJ</v>
          </cell>
          <cell r="M2620">
            <v>8083</v>
          </cell>
          <cell r="N2620" t="str">
            <v>301 Grace St Somerdale, NJ 08083</v>
          </cell>
        </row>
        <row r="2621">
          <cell r="G2621">
            <v>326885</v>
          </cell>
          <cell r="H2621" t="str">
            <v>ELDEEB REALTY USA LLC</v>
          </cell>
          <cell r="I2621" t="str">
            <v>Lancaster</v>
          </cell>
          <cell r="K2621" t="str">
            <v>554 Beaver St</v>
          </cell>
          <cell r="L2621" t="str">
            <v>PA</v>
          </cell>
          <cell r="M2621">
            <v>17603</v>
          </cell>
          <cell r="N2621" t="str">
            <v>554 Beaver St Lancaster, PA 17603</v>
          </cell>
        </row>
        <row r="2622">
          <cell r="G2622">
            <v>330069</v>
          </cell>
          <cell r="H2622" t="str">
            <v>Roberta Newton</v>
          </cell>
          <cell r="I2622" t="str">
            <v>Millersville</v>
          </cell>
          <cell r="K2622" t="str">
            <v>359 E CHARLOTTE ST</v>
          </cell>
          <cell r="L2622" t="str">
            <v>PA</v>
          </cell>
          <cell r="M2622">
            <v>17551</v>
          </cell>
          <cell r="N2622" t="str">
            <v>359 E CHARLOTTE ST Millersville, PA 17551</v>
          </cell>
        </row>
        <row r="2623">
          <cell r="G2623">
            <v>239688</v>
          </cell>
          <cell r="H2623" t="str">
            <v>CONCORDIA EVANGEL</v>
          </cell>
          <cell r="I2623" t="str">
            <v>Columbia</v>
          </cell>
          <cell r="K2623" t="str">
            <v>3825 Concordia Rd</v>
          </cell>
          <cell r="L2623" t="str">
            <v>PA</v>
          </cell>
          <cell r="M2623">
            <v>17512</v>
          </cell>
          <cell r="N2623" t="str">
            <v>3825 Concordia Rd Columbia, PA 17512</v>
          </cell>
        </row>
        <row r="2624">
          <cell r="G2624">
            <v>239566</v>
          </cell>
          <cell r="H2624" t="str">
            <v>CHUCK M BALMER</v>
          </cell>
          <cell r="I2624" t="str">
            <v>Lititz</v>
          </cell>
          <cell r="K2624" t="str">
            <v>84 Fairview Rd</v>
          </cell>
          <cell r="L2624" t="str">
            <v>PA</v>
          </cell>
          <cell r="M2624">
            <v>17543</v>
          </cell>
          <cell r="N2624" t="str">
            <v>84 Fairview Rd Lititz, PA 17543</v>
          </cell>
        </row>
        <row r="2625">
          <cell r="G2625">
            <v>269161</v>
          </cell>
          <cell r="H2625" t="str">
            <v>Jaime Lebron</v>
          </cell>
          <cell r="I2625" t="str">
            <v>Philadelphia</v>
          </cell>
          <cell r="K2625" t="str">
            <v>208 Stearly St</v>
          </cell>
          <cell r="L2625" t="str">
            <v>PA</v>
          </cell>
          <cell r="M2625">
            <v>19111</v>
          </cell>
          <cell r="N2625" t="str">
            <v>208 Stearly St Philadelphia, PA 19111</v>
          </cell>
        </row>
        <row r="2626">
          <cell r="G2626">
            <v>415352</v>
          </cell>
          <cell r="H2626" t="str">
            <v>SOUTH WESTERN SENIOR HIGH FOOD</v>
          </cell>
          <cell r="I2626" t="str">
            <v>Hanover</v>
          </cell>
          <cell r="K2626" t="str">
            <v>225 Bowman Rd</v>
          </cell>
          <cell r="L2626" t="str">
            <v>PA</v>
          </cell>
          <cell r="M2626">
            <v>17331</v>
          </cell>
          <cell r="N2626" t="str">
            <v>225 Bowman Rd Hanover, PA 17331</v>
          </cell>
        </row>
        <row r="2627">
          <cell r="G2627">
            <v>415361</v>
          </cell>
          <cell r="H2627" t="str">
            <v>BLUE BALL ELEMENTARY</v>
          </cell>
          <cell r="I2627" t="str">
            <v>East Earl</v>
          </cell>
          <cell r="K2627" t="str">
            <v>126 Ewell Rd</v>
          </cell>
          <cell r="L2627" t="str">
            <v>PA</v>
          </cell>
          <cell r="M2627">
            <v>17519</v>
          </cell>
          <cell r="N2627" t="str">
            <v>126 Ewell Rd East Earl, PA 17519</v>
          </cell>
        </row>
        <row r="2628">
          <cell r="G2628">
            <v>241048</v>
          </cell>
          <cell r="H2628" t="str">
            <v>MARY F GEIGER</v>
          </cell>
          <cell r="I2628" t="str">
            <v>Lancaster</v>
          </cell>
          <cell r="K2628" t="str">
            <v>305  Donna Ave</v>
          </cell>
          <cell r="L2628" t="str">
            <v>PA</v>
          </cell>
          <cell r="M2628">
            <v>17603</v>
          </cell>
          <cell r="N2628" t="str">
            <v>305  Donna Ave Lancaster, PA 17603</v>
          </cell>
        </row>
        <row r="2629">
          <cell r="G2629">
            <v>333021</v>
          </cell>
          <cell r="H2629" t="str">
            <v>Roberta Anastasio</v>
          </cell>
          <cell r="I2629" t="str">
            <v>Willow Street</v>
          </cell>
          <cell r="K2629" t="str">
            <v>26 Hawthorne Cir</v>
          </cell>
          <cell r="L2629" t="str">
            <v>PA</v>
          </cell>
          <cell r="M2629">
            <v>17584</v>
          </cell>
          <cell r="N2629" t="str">
            <v>26 Hawthorne Cir Willow Street, PA 17584</v>
          </cell>
        </row>
        <row r="2630">
          <cell r="G2630">
            <v>315233</v>
          </cell>
          <cell r="H2630" t="str">
            <v>MOT Charter High School</v>
          </cell>
          <cell r="I2630" t="str">
            <v>MIDDLETOWN</v>
          </cell>
          <cell r="K2630" t="str">
            <v>1156 Levels Rd</v>
          </cell>
          <cell r="L2630" t="str">
            <v>DE</v>
          </cell>
          <cell r="M2630">
            <v>19709</v>
          </cell>
          <cell r="N2630" t="str">
            <v>1156 Levels Rd MIDDLETOWN, DE 19709</v>
          </cell>
        </row>
        <row r="2631">
          <cell r="G2631">
            <v>272995</v>
          </cell>
          <cell r="H2631" t="str">
            <v>JAMIE HIRST</v>
          </cell>
          <cell r="I2631" t="str">
            <v>Lancaster</v>
          </cell>
          <cell r="K2631" t="str">
            <v>143 Hershey Ave</v>
          </cell>
          <cell r="L2631" t="str">
            <v>PA</v>
          </cell>
          <cell r="M2631">
            <v>17601</v>
          </cell>
          <cell r="N2631" t="str">
            <v>143 Hershey Ave Lancaster, PA 17601</v>
          </cell>
        </row>
        <row r="2632">
          <cell r="G2632">
            <v>424769</v>
          </cell>
          <cell r="H2632" t="str">
            <v>Scott Volvo</v>
          </cell>
          <cell r="I2632" t="str">
            <v>Allentown</v>
          </cell>
          <cell r="J2632" t="str">
            <v>Allentown</v>
          </cell>
          <cell r="K2632" t="str">
            <v>3209 Lehigh St</v>
          </cell>
          <cell r="L2632" t="str">
            <v>PA</v>
          </cell>
          <cell r="M2632">
            <v>18103</v>
          </cell>
          <cell r="N2632" t="str">
            <v>3209 Lehigh St Allentown, PA 18103</v>
          </cell>
        </row>
        <row r="2633">
          <cell r="G2633">
            <v>432604</v>
          </cell>
          <cell r="H2633" t="str">
            <v>BBS GROCERY OUTLET</v>
          </cell>
          <cell r="I2633" t="str">
            <v>Morgantown</v>
          </cell>
          <cell r="K2633" t="str">
            <v>150 Moreview Blvd</v>
          </cell>
          <cell r="L2633" t="str">
            <v>PA</v>
          </cell>
          <cell r="M2633">
            <v>19543</v>
          </cell>
          <cell r="N2633" t="str">
            <v>150 Moreview Blvd Morgantown, PA 19543</v>
          </cell>
        </row>
        <row r="2634">
          <cell r="G2634">
            <v>451854</v>
          </cell>
          <cell r="H2634" t="str">
            <v>BOROUGH OF LITITZ</v>
          </cell>
          <cell r="I2634" t="str">
            <v>Lititz</v>
          </cell>
          <cell r="K2634" t="str">
            <v>117 W Lincoln Ave</v>
          </cell>
          <cell r="L2634" t="str">
            <v>PA</v>
          </cell>
          <cell r="M2634">
            <v>17543</v>
          </cell>
          <cell r="N2634" t="str">
            <v>117 W Lincoln Ave Lititz, PA 17543</v>
          </cell>
        </row>
        <row r="2635">
          <cell r="G2635">
            <v>244124</v>
          </cell>
          <cell r="H2635" t="str">
            <v>Nick Misciagno</v>
          </cell>
          <cell r="I2635" t="str">
            <v>Warminster</v>
          </cell>
          <cell r="J2635" t="str">
            <v>Philly Suburbs - North</v>
          </cell>
          <cell r="K2635" t="str">
            <v>1194 Emma Ln</v>
          </cell>
          <cell r="L2635" t="str">
            <v>PA</v>
          </cell>
          <cell r="M2635">
            <v>18974</v>
          </cell>
          <cell r="N2635" t="str">
            <v>1194 Emma Ln Warminster, PA 18974</v>
          </cell>
        </row>
        <row r="2636">
          <cell r="G2636">
            <v>306487</v>
          </cell>
          <cell r="H2636" t="str">
            <v>C &amp; J Environmental Inc.</v>
          </cell>
          <cell r="I2636" t="str">
            <v>Warminster</v>
          </cell>
          <cell r="K2636" t="str">
            <v>1800 Mearns Rd</v>
          </cell>
          <cell r="L2636" t="str">
            <v>PA</v>
          </cell>
          <cell r="M2636">
            <v>18974</v>
          </cell>
          <cell r="N2636" t="str">
            <v>1800 Mearns Rd Warminster, PA 18974</v>
          </cell>
        </row>
        <row r="2637">
          <cell r="G2637">
            <v>346482</v>
          </cell>
          <cell r="H2637" t="str">
            <v>HERBERT NOLL</v>
          </cell>
          <cell r="I2637" t="str">
            <v>Lancaster</v>
          </cell>
          <cell r="K2637" t="str">
            <v>1847 BUCHERS ML</v>
          </cell>
          <cell r="L2637" t="str">
            <v>PA</v>
          </cell>
          <cell r="M2637">
            <v>17601</v>
          </cell>
          <cell r="N2637" t="str">
            <v>1847 BUCHERS ML Lancaster, PA 17601</v>
          </cell>
        </row>
        <row r="2638">
          <cell r="G2638">
            <v>315390</v>
          </cell>
          <cell r="H2638" t="str">
            <v>HANCOCK CLEANING SERV COVERALL</v>
          </cell>
          <cell r="I2638" t="str">
            <v>Lititz</v>
          </cell>
          <cell r="K2638" t="str">
            <v>542 W 2nd Ave</v>
          </cell>
          <cell r="L2638" t="str">
            <v>PA</v>
          </cell>
          <cell r="M2638">
            <v>17543</v>
          </cell>
          <cell r="N2638" t="str">
            <v>542 W 2nd Ave Lititz, PA 17543</v>
          </cell>
        </row>
        <row r="2639">
          <cell r="G2639">
            <v>340088</v>
          </cell>
          <cell r="H2639" t="str">
            <v>Sandy Miller</v>
          </cell>
          <cell r="I2639" t="str">
            <v>Hatfield</v>
          </cell>
          <cell r="K2639" t="str">
            <v>2893 Valley Woods Rd</v>
          </cell>
          <cell r="L2639" t="str">
            <v>PA</v>
          </cell>
          <cell r="M2639">
            <v>19440</v>
          </cell>
          <cell r="N2639" t="str">
            <v>2893 Valley Woods Rd Hatfield, PA 19440</v>
          </cell>
        </row>
        <row r="2640">
          <cell r="G2640">
            <v>339231</v>
          </cell>
          <cell r="H2640" t="str">
            <v>HONDRU CHEVROLET</v>
          </cell>
          <cell r="I2640" t="str">
            <v>ELIZABETHTOWN</v>
          </cell>
          <cell r="K2640" t="str">
            <v>2005 S Market St</v>
          </cell>
          <cell r="L2640" t="str">
            <v>PA</v>
          </cell>
          <cell r="M2640">
            <v>17022</v>
          </cell>
          <cell r="N2640" t="str">
            <v>2005 S Market St ELIZABETHTOWN, PA 17022</v>
          </cell>
        </row>
        <row r="2641">
          <cell r="G2641">
            <v>239700</v>
          </cell>
          <cell r="H2641" t="str">
            <v>CONESTOGA VALLEY CHURCH OF CHR</v>
          </cell>
          <cell r="I2641" t="str">
            <v>Lancaster</v>
          </cell>
          <cell r="K2641" t="str">
            <v>2045 Horseshoe Rd</v>
          </cell>
          <cell r="L2641" t="str">
            <v>PA</v>
          </cell>
          <cell r="M2641">
            <v>17602</v>
          </cell>
          <cell r="N2641" t="str">
            <v>2045 Horseshoe Rd Lancaster, PA 17602</v>
          </cell>
        </row>
        <row r="2642">
          <cell r="G2642">
            <v>479272</v>
          </cell>
          <cell r="H2642" t="str">
            <v>SMITH MIDDLE SCHOOL</v>
          </cell>
          <cell r="I2642" t="str">
            <v>Quarryville</v>
          </cell>
          <cell r="K2642" t="str">
            <v>645 Kirkwood Pike</v>
          </cell>
          <cell r="L2642" t="str">
            <v>PA</v>
          </cell>
          <cell r="M2642">
            <v>17566</v>
          </cell>
          <cell r="N2642" t="str">
            <v>645 Kirkwood Pike Quarryville, PA 17566</v>
          </cell>
        </row>
        <row r="2643">
          <cell r="G2643">
            <v>424506</v>
          </cell>
          <cell r="H2643" t="str">
            <v>BOYERTOWN SENIOR HIGH SCHOOL</v>
          </cell>
          <cell r="I2643" t="str">
            <v>Boyertown</v>
          </cell>
          <cell r="K2643" t="str">
            <v>120 N Monroe St</v>
          </cell>
          <cell r="L2643" t="str">
            <v>PA</v>
          </cell>
          <cell r="M2643">
            <v>19512</v>
          </cell>
          <cell r="N2643" t="str">
            <v>120 N Monroe St Boyertown, PA 19512</v>
          </cell>
        </row>
        <row r="2644">
          <cell r="G2644">
            <v>453081</v>
          </cell>
          <cell r="H2644" t="str">
            <v>FAIRVIEW ELEMENTARY SCHOOL</v>
          </cell>
          <cell r="I2644" t="str">
            <v>Waynesboro</v>
          </cell>
          <cell r="K2644" t="str">
            <v>220 Fairview Ave</v>
          </cell>
          <cell r="L2644" t="str">
            <v>PA</v>
          </cell>
          <cell r="M2644">
            <v>17268</v>
          </cell>
          <cell r="N2644" t="str">
            <v>220 Fairview Ave Waynesboro, PA 17268</v>
          </cell>
        </row>
        <row r="2645">
          <cell r="G2645">
            <v>416879</v>
          </cell>
          <cell r="H2645" t="str">
            <v>Bridge Valley Elementary Schoo</v>
          </cell>
          <cell r="I2645" t="str">
            <v>Furlong</v>
          </cell>
          <cell r="K2645" t="str">
            <v>2280 Sugar Bottom Rd</v>
          </cell>
          <cell r="L2645" t="str">
            <v>PA</v>
          </cell>
          <cell r="M2645">
            <v>18925</v>
          </cell>
          <cell r="N2645" t="str">
            <v>2280 Sugar Bottom Rd Furlong, PA 18925</v>
          </cell>
        </row>
        <row r="2646">
          <cell r="G2646">
            <v>342246</v>
          </cell>
          <cell r="H2646" t="str">
            <v>Tim Rossillo - Employee</v>
          </cell>
          <cell r="I2646" t="str">
            <v>Aston</v>
          </cell>
          <cell r="J2646" t="str">
            <v>Philly Suburbs - SW</v>
          </cell>
          <cell r="K2646" t="str">
            <v>159 Blackthorne Ln</v>
          </cell>
          <cell r="L2646" t="str">
            <v>PA</v>
          </cell>
          <cell r="M2646">
            <v>19014</v>
          </cell>
          <cell r="N2646" t="str">
            <v>159 Blackthorne Ln Aston, PA 19014</v>
          </cell>
        </row>
        <row r="2647">
          <cell r="G2647">
            <v>300574</v>
          </cell>
          <cell r="H2647" t="str">
            <v>Canine Academy</v>
          </cell>
          <cell r="I2647" t="str">
            <v>Penndel</v>
          </cell>
          <cell r="K2647" t="str">
            <v>377 W Lincoln Hwy</v>
          </cell>
          <cell r="L2647" t="str">
            <v>PA</v>
          </cell>
          <cell r="M2647">
            <v>19047</v>
          </cell>
          <cell r="N2647" t="str">
            <v>377 W Lincoln Hwy Penndel, PA 19047</v>
          </cell>
        </row>
        <row r="2648">
          <cell r="G2648">
            <v>301832</v>
          </cell>
          <cell r="H2648" t="str">
            <v>KELLEYS HOOD &amp; VENT CLG</v>
          </cell>
          <cell r="I2648" t="str">
            <v>Lancaster</v>
          </cell>
          <cell r="K2648" t="str">
            <v>645 Clermont Ave</v>
          </cell>
          <cell r="L2648" t="str">
            <v>PA</v>
          </cell>
          <cell r="M2648">
            <v>17602</v>
          </cell>
          <cell r="N2648" t="str">
            <v>645 Clermont Ave Lancaster, PA 17602</v>
          </cell>
        </row>
        <row r="2649">
          <cell r="G2649">
            <v>324287</v>
          </cell>
          <cell r="H2649" t="str">
            <v>Alert Fire Company #1</v>
          </cell>
          <cell r="I2649" t="str">
            <v>Downingtown</v>
          </cell>
          <cell r="K2649" t="str">
            <v>122 W Pennsylvania Ave</v>
          </cell>
          <cell r="L2649" t="str">
            <v>PA</v>
          </cell>
          <cell r="M2649">
            <v>19335</v>
          </cell>
          <cell r="N2649" t="str">
            <v>122 W Pennsylvania Ave Downingtown, PA 19335</v>
          </cell>
        </row>
        <row r="2650">
          <cell r="G2650">
            <v>415633</v>
          </cell>
          <cell r="H2650" t="str">
            <v>NORTHERN HIGH SCHOOL</v>
          </cell>
          <cell r="I2650" t="str">
            <v>Dillsburg</v>
          </cell>
          <cell r="K2650" t="str">
            <v>653 S Baltimore St</v>
          </cell>
          <cell r="L2650" t="str">
            <v>PA</v>
          </cell>
          <cell r="M2650">
            <v>17019</v>
          </cell>
          <cell r="N2650" t="str">
            <v>653 S Baltimore St Dillsburg, PA 17019</v>
          </cell>
        </row>
        <row r="2651">
          <cell r="G2651">
            <v>415634</v>
          </cell>
          <cell r="H2651" t="str">
            <v>NORTHERN YORK -  NEW MIDDLE SC</v>
          </cell>
          <cell r="I2651" t="str">
            <v>Dillsburg</v>
          </cell>
          <cell r="K2651" t="str">
            <v>655 S Baltimore St</v>
          </cell>
          <cell r="L2651" t="str">
            <v>PA</v>
          </cell>
          <cell r="M2651">
            <v>17019</v>
          </cell>
          <cell r="N2651" t="str">
            <v>655 S Baltimore St Dillsburg, PA 17019</v>
          </cell>
        </row>
        <row r="2652">
          <cell r="G2652">
            <v>466003</v>
          </cell>
          <cell r="H2652" t="str">
            <v>CLEARVIEW ELEMENTARY SCHOOL</v>
          </cell>
          <cell r="I2652" t="str">
            <v>Hanover</v>
          </cell>
          <cell r="K2652" t="str">
            <v>801 Randolph St</v>
          </cell>
          <cell r="L2652" t="str">
            <v>PA</v>
          </cell>
          <cell r="M2652">
            <v>17331</v>
          </cell>
          <cell r="N2652" t="str">
            <v>801 Randolph St Hanover, PA 17331</v>
          </cell>
        </row>
        <row r="2653">
          <cell r="G2653">
            <v>268865</v>
          </cell>
          <cell r="H2653" t="str">
            <v>Dawn Gray</v>
          </cell>
          <cell r="I2653" t="str">
            <v>Levittown</v>
          </cell>
          <cell r="K2653" t="str">
            <v>35 WHITEWOOD DR</v>
          </cell>
          <cell r="L2653" t="str">
            <v>PA</v>
          </cell>
          <cell r="M2653">
            <v>19057</v>
          </cell>
          <cell r="N2653" t="str">
            <v>35 WHITEWOOD DR Levittown, PA 19057</v>
          </cell>
        </row>
        <row r="2654">
          <cell r="G2654">
            <v>243346</v>
          </cell>
          <cell r="H2654" t="str">
            <v>Doylestown Presbyterian Church</v>
          </cell>
          <cell r="I2654" t="str">
            <v>Doylestown</v>
          </cell>
          <cell r="J2654" t="str">
            <v>Philly Suburbs - North</v>
          </cell>
          <cell r="K2654" t="str">
            <v>127 E Court St</v>
          </cell>
          <cell r="L2654" t="str">
            <v>PA</v>
          </cell>
          <cell r="M2654">
            <v>18901</v>
          </cell>
          <cell r="N2654" t="str">
            <v>127 E Court St Doylestown, PA 18901</v>
          </cell>
        </row>
        <row r="2655">
          <cell r="G2655">
            <v>243092</v>
          </cell>
          <cell r="H2655" t="str">
            <v>Bob Carberry</v>
          </cell>
          <cell r="I2655" t="str">
            <v>Langhorne</v>
          </cell>
          <cell r="K2655" t="str">
            <v>177 Colonial Dr</v>
          </cell>
          <cell r="L2655" t="str">
            <v>PA</v>
          </cell>
          <cell r="M2655">
            <v>19047</v>
          </cell>
          <cell r="N2655" t="str">
            <v>177 Colonial Dr Langhorne, PA 19047</v>
          </cell>
        </row>
        <row r="2656">
          <cell r="G2656">
            <v>470748</v>
          </cell>
          <cell r="H2656" t="str">
            <v>The Hill School</v>
          </cell>
          <cell r="I2656" t="str">
            <v>Pottstown</v>
          </cell>
          <cell r="K2656" t="str">
            <v>717 E High St</v>
          </cell>
          <cell r="L2656" t="str">
            <v>PA</v>
          </cell>
          <cell r="M2656">
            <v>19464</v>
          </cell>
          <cell r="N2656" t="str">
            <v>717 E High St Pottstown, PA 19464</v>
          </cell>
        </row>
        <row r="2657">
          <cell r="G2657">
            <v>346524</v>
          </cell>
          <cell r="H2657" t="str">
            <v>David Smith</v>
          </cell>
          <cell r="I2657" t="str">
            <v>Newark</v>
          </cell>
          <cell r="K2657" t="str">
            <v>113 GLENCOE CT</v>
          </cell>
          <cell r="L2657" t="str">
            <v>DE</v>
          </cell>
          <cell r="M2657">
            <v>19702</v>
          </cell>
          <cell r="N2657" t="str">
            <v>113 GLENCOE CT Newark, DE 19702</v>
          </cell>
        </row>
        <row r="2658">
          <cell r="G2658">
            <v>239467</v>
          </cell>
          <cell r="H2658" t="str">
            <v>CALVARY INDEPENDENT BAPTIST CH</v>
          </cell>
          <cell r="I2658" t="str">
            <v>Quarryville</v>
          </cell>
          <cell r="K2658" t="str">
            <v>1225 Robert Fulton Hwy</v>
          </cell>
          <cell r="L2658" t="str">
            <v>PA</v>
          </cell>
          <cell r="M2658">
            <v>17566</v>
          </cell>
          <cell r="N2658" t="str">
            <v>1225 Robert Fulton Hwy Quarryville, PA 17566</v>
          </cell>
        </row>
        <row r="2659">
          <cell r="G2659">
            <v>239607</v>
          </cell>
          <cell r="H2659" t="str">
            <v>CLEAN ENTERPRISES#</v>
          </cell>
          <cell r="I2659" t="str">
            <v>Quarryville</v>
          </cell>
          <cell r="K2659" t="str">
            <v>315 W State St</v>
          </cell>
          <cell r="L2659" t="str">
            <v>PA</v>
          </cell>
          <cell r="M2659">
            <v>17566</v>
          </cell>
          <cell r="N2659" t="str">
            <v>315 W State St Quarryville, PA 17566</v>
          </cell>
        </row>
        <row r="2660">
          <cell r="G2660">
            <v>239630</v>
          </cell>
          <cell r="H2660" t="str">
            <v>COCALICO SCHOOL DISTRICT</v>
          </cell>
          <cell r="I2660" t="str">
            <v>Denver</v>
          </cell>
          <cell r="K2660" t="str">
            <v>800 S 4th St</v>
          </cell>
          <cell r="L2660" t="str">
            <v>PA</v>
          </cell>
          <cell r="M2660">
            <v>17517</v>
          </cell>
          <cell r="N2660" t="str">
            <v>800 S 4th St Denver, PA 17517</v>
          </cell>
        </row>
        <row r="2661">
          <cell r="G2661">
            <v>239781</v>
          </cell>
          <cell r="H2661" t="str">
            <v>DAUPHIN CTY TECH SCHOOL#</v>
          </cell>
          <cell r="I2661" t="str">
            <v>Harrisburg</v>
          </cell>
          <cell r="K2661" t="str">
            <v>6001 Locust Ln</v>
          </cell>
          <cell r="L2661" t="str">
            <v>PA</v>
          </cell>
          <cell r="M2661">
            <v>17109</v>
          </cell>
          <cell r="N2661" t="str">
            <v>6001 Locust Ln Harrisburg, PA 17109</v>
          </cell>
        </row>
        <row r="2662">
          <cell r="G2662">
            <v>241120</v>
          </cell>
          <cell r="H2662" t="str">
            <v>MIDDLETOWN HOME</v>
          </cell>
          <cell r="I2662" t="str">
            <v>MIDDLETOWN</v>
          </cell>
          <cell r="K2662" t="str">
            <v>999 W Harrisburg Pike</v>
          </cell>
          <cell r="L2662" t="str">
            <v>PA</v>
          </cell>
          <cell r="M2662">
            <v>17057</v>
          </cell>
          <cell r="N2662" t="str">
            <v>999 W Harrisburg Pike MIDDLETOWN, PA 17057</v>
          </cell>
        </row>
        <row r="2663">
          <cell r="G2663">
            <v>241142</v>
          </cell>
          <cell r="H2663" t="str">
            <v>MILTON HERSHEY SCHOOL#</v>
          </cell>
          <cell r="I2663" t="str">
            <v>Hershey</v>
          </cell>
          <cell r="K2663" t="str">
            <v>1201 Homestead Ln</v>
          </cell>
          <cell r="L2663" t="str">
            <v>PA</v>
          </cell>
          <cell r="M2663">
            <v>17033</v>
          </cell>
          <cell r="N2663" t="str">
            <v>1201 Homestead Ln Hershey, PA 17033</v>
          </cell>
        </row>
        <row r="2664">
          <cell r="G2664">
            <v>241545</v>
          </cell>
          <cell r="H2664" t="str">
            <v>READING SCHOOL DISTRICT</v>
          </cell>
          <cell r="I2664" t="str">
            <v>Reading</v>
          </cell>
          <cell r="K2664" t="str">
            <v>800 Washington St</v>
          </cell>
          <cell r="L2664" t="str">
            <v>PA</v>
          </cell>
          <cell r="M2664">
            <v>19601</v>
          </cell>
          <cell r="N2664" t="str">
            <v>800 Washington St Reading, PA 19601</v>
          </cell>
        </row>
        <row r="2665">
          <cell r="G2665">
            <v>242996</v>
          </cell>
          <cell r="H2665" t="str">
            <v>Clearview Regional Board of Ed</v>
          </cell>
          <cell r="I2665" t="str">
            <v>Mullica Hill</v>
          </cell>
          <cell r="K2665" t="str">
            <v>420 Cedar Rd</v>
          </cell>
          <cell r="L2665" t="str">
            <v>NJ</v>
          </cell>
          <cell r="M2665">
            <v>8062</v>
          </cell>
          <cell r="N2665" t="str">
            <v>420 Cedar Rd Mullica Hill, NJ 08062</v>
          </cell>
        </row>
        <row r="2666">
          <cell r="G2666">
            <v>242998</v>
          </cell>
          <cell r="H2666" t="str">
            <v>Glassboro Board of Education</v>
          </cell>
          <cell r="I2666" t="str">
            <v>Glassboro</v>
          </cell>
          <cell r="K2666" t="str">
            <v>560 Joseph L Bowe Blvd</v>
          </cell>
          <cell r="L2666" t="str">
            <v>NJ</v>
          </cell>
          <cell r="M2666">
            <v>8028</v>
          </cell>
          <cell r="N2666" t="str">
            <v>560 Joseph L Bowe Blvd Glassboro, NJ 08028</v>
          </cell>
        </row>
        <row r="2667">
          <cell r="G2667">
            <v>243367</v>
          </cell>
          <cell r="H2667" t="str">
            <v>East Penn School District</v>
          </cell>
          <cell r="I2667" t="str">
            <v>Emmaus</v>
          </cell>
          <cell r="K2667" t="str">
            <v>800 Pine St</v>
          </cell>
          <cell r="L2667" t="str">
            <v>PA</v>
          </cell>
          <cell r="M2667">
            <v>18049</v>
          </cell>
          <cell r="N2667" t="str">
            <v>800 Pine St Emmaus, PA 18049</v>
          </cell>
        </row>
        <row r="2668">
          <cell r="G2668">
            <v>243948</v>
          </cell>
          <cell r="H2668" t="str">
            <v>Methacton School District</v>
          </cell>
          <cell r="I2668" t="str">
            <v>Eagleville</v>
          </cell>
          <cell r="K2668" t="str">
            <v>1001 Kriebel Mill Rd</v>
          </cell>
          <cell r="L2668" t="str">
            <v>PA</v>
          </cell>
          <cell r="M2668">
            <v>19403</v>
          </cell>
          <cell r="N2668" t="str">
            <v>1001 Kriebel Mill Rd Eagleville, PA 19403</v>
          </cell>
        </row>
        <row r="2669">
          <cell r="G2669">
            <v>244088</v>
          </cell>
          <cell r="H2669" t="str">
            <v>Octorara Area School District</v>
          </cell>
          <cell r="I2669" t="str">
            <v>Atglen</v>
          </cell>
          <cell r="J2669" t="str">
            <v>Lancaster - SE</v>
          </cell>
          <cell r="K2669" t="str">
            <v>228 Highland Rd</v>
          </cell>
          <cell r="L2669" t="str">
            <v>PA</v>
          </cell>
          <cell r="M2669">
            <v>19310</v>
          </cell>
          <cell r="N2669" t="str">
            <v>228 Highland Rd Atglen, PA 19310</v>
          </cell>
        </row>
        <row r="2670">
          <cell r="G2670">
            <v>244189</v>
          </cell>
          <cell r="H2670" t="str">
            <v>Galloway Township Public Schoo</v>
          </cell>
          <cell r="I2670" t="str">
            <v>Galloway</v>
          </cell>
          <cell r="K2670" t="str">
            <v>101 S Reeds Rd</v>
          </cell>
          <cell r="L2670" t="str">
            <v>NJ</v>
          </cell>
          <cell r="M2670">
            <v>8205</v>
          </cell>
          <cell r="N2670" t="str">
            <v>101 S Reeds Rd Galloway, NJ 08205</v>
          </cell>
        </row>
        <row r="2671">
          <cell r="G2671">
            <v>244287</v>
          </cell>
          <cell r="H2671" t="str">
            <v>Rancocas Valley Board of Educa</v>
          </cell>
          <cell r="I2671" t="str">
            <v>Mount Holly</v>
          </cell>
          <cell r="J2671" t="str">
            <v>Cherry Hill</v>
          </cell>
          <cell r="K2671" t="str">
            <v>520 Jacksonville Rd</v>
          </cell>
          <cell r="L2671" t="str">
            <v>NJ</v>
          </cell>
          <cell r="M2671">
            <v>8060</v>
          </cell>
          <cell r="N2671" t="str">
            <v>520 Jacksonville Rd Mount Holly, NJ 08060</v>
          </cell>
        </row>
        <row r="2672">
          <cell r="G2672">
            <v>244296</v>
          </cell>
          <cell r="H2672" t="str">
            <v>John Carberry</v>
          </cell>
          <cell r="I2672" t="str">
            <v>Absecon</v>
          </cell>
          <cell r="J2672" t="str">
            <v>Atlantic City</v>
          </cell>
          <cell r="K2672" t="str">
            <v>27 Cortez Ave</v>
          </cell>
          <cell r="L2672" t="str">
            <v>NJ</v>
          </cell>
          <cell r="M2672">
            <v>8201</v>
          </cell>
          <cell r="N2672" t="str">
            <v>27 Cortez Ave Absecon, NJ 08201</v>
          </cell>
        </row>
        <row r="2673">
          <cell r="G2673">
            <v>244639</v>
          </cell>
          <cell r="H2673" t="str">
            <v>Magnolia Board of Education</v>
          </cell>
          <cell r="I2673" t="str">
            <v>Woodlynne</v>
          </cell>
          <cell r="J2673" t="str">
            <v>Camden</v>
          </cell>
          <cell r="K2673" t="str">
            <v>131 Elm Ave</v>
          </cell>
          <cell r="L2673" t="str">
            <v>NJ</v>
          </cell>
          <cell r="M2673">
            <v>8107</v>
          </cell>
          <cell r="N2673" t="str">
            <v>131 Elm Ave Woodlynne, NJ 08107</v>
          </cell>
        </row>
        <row r="2674">
          <cell r="G2674">
            <v>244792</v>
          </cell>
          <cell r="H2674" t="str">
            <v>Southern Regional School Distr</v>
          </cell>
          <cell r="I2674" t="str">
            <v>Manahawkin</v>
          </cell>
          <cell r="J2674" t="str">
            <v>Jersey Shore - North</v>
          </cell>
          <cell r="K2674" t="str">
            <v>105 Cedar Bridge Rd</v>
          </cell>
          <cell r="L2674" t="str">
            <v>NJ</v>
          </cell>
          <cell r="M2674">
            <v>8050</v>
          </cell>
          <cell r="N2674" t="str">
            <v>105 Cedar Bridge Rd Manahawkin, NJ 08050</v>
          </cell>
        </row>
        <row r="2675">
          <cell r="G2675">
            <v>244899</v>
          </cell>
          <cell r="H2675" t="str">
            <v>Luther Woods SNF LLC</v>
          </cell>
          <cell r="I2675" t="str">
            <v>Hatboro</v>
          </cell>
          <cell r="J2675" t="str">
            <v>Philly Suburbs - North</v>
          </cell>
          <cell r="K2675" t="str">
            <v>313 W County Line Rd</v>
          </cell>
          <cell r="L2675" t="str">
            <v>PA</v>
          </cell>
          <cell r="M2675">
            <v>19040</v>
          </cell>
          <cell r="N2675" t="str">
            <v>313 W County Line Rd Hatboro, PA 19040</v>
          </cell>
        </row>
        <row r="2676">
          <cell r="G2676">
            <v>245676</v>
          </cell>
          <cell r="H2676" t="str">
            <v>Lionville Community YMCA Devon</v>
          </cell>
          <cell r="I2676" t="str">
            <v>EXTON</v>
          </cell>
          <cell r="K2676" t="str">
            <v>100 Devon Dr</v>
          </cell>
          <cell r="L2676" t="str">
            <v>PA</v>
          </cell>
          <cell r="M2676">
            <v>19341</v>
          </cell>
          <cell r="N2676" t="str">
            <v>100 Devon Dr EXTON, PA 19341</v>
          </cell>
        </row>
        <row r="2677">
          <cell r="G2677">
            <v>245997</v>
          </cell>
          <cell r="H2677" t="str">
            <v>Pennridge School District</v>
          </cell>
          <cell r="I2677" t="str">
            <v>Perkasie</v>
          </cell>
          <cell r="K2677" t="str">
            <v>1200 N 5th St</v>
          </cell>
          <cell r="L2677" t="str">
            <v>PA</v>
          </cell>
          <cell r="M2677">
            <v>18944</v>
          </cell>
          <cell r="N2677" t="str">
            <v>1200 N 5th St Perkasie, PA 18944</v>
          </cell>
        </row>
        <row r="2678">
          <cell r="G2678">
            <v>246088</v>
          </cell>
          <cell r="H2678" t="str">
            <v>Radnor Township School Distric</v>
          </cell>
          <cell r="I2678" t="str">
            <v>Wayne</v>
          </cell>
          <cell r="K2678" t="str">
            <v>135 S Wayne Ave</v>
          </cell>
          <cell r="L2678" t="str">
            <v>PA</v>
          </cell>
          <cell r="M2678">
            <v>19087</v>
          </cell>
          <cell r="N2678" t="str">
            <v>135 S Wayne Ave Wayne, PA 19087</v>
          </cell>
        </row>
        <row r="2679">
          <cell r="G2679">
            <v>246308</v>
          </cell>
          <cell r="H2679" t="str">
            <v>Spring-Ford Area School Distri</v>
          </cell>
          <cell r="I2679" t="str">
            <v>Royersford</v>
          </cell>
          <cell r="K2679" t="str">
            <v>857 S Lewis Rd</v>
          </cell>
          <cell r="L2679" t="str">
            <v>PA</v>
          </cell>
          <cell r="M2679">
            <v>19468</v>
          </cell>
          <cell r="N2679" t="str">
            <v>857 S Lewis Rd Royersford, PA 19468</v>
          </cell>
        </row>
        <row r="2680">
          <cell r="G2680">
            <v>246533</v>
          </cell>
          <cell r="H2680" t="str">
            <v>West Chester University</v>
          </cell>
          <cell r="I2680" t="str">
            <v>West Chester</v>
          </cell>
          <cell r="K2680" t="str">
            <v>700 South High Street</v>
          </cell>
          <cell r="L2680" t="str">
            <v>PA</v>
          </cell>
          <cell r="M2680">
            <v>19383</v>
          </cell>
          <cell r="N2680" t="str">
            <v>700 South High Street West Chester, PA 19383</v>
          </cell>
        </row>
        <row r="2681">
          <cell r="G2681">
            <v>246935</v>
          </cell>
          <cell r="H2681" t="str">
            <v>1st State Power Clean LLC</v>
          </cell>
          <cell r="I2681" t="str">
            <v>Dover</v>
          </cell>
          <cell r="K2681" t="str">
            <v>?</v>
          </cell>
          <cell r="L2681" t="str">
            <v>DE</v>
          </cell>
          <cell r="M2681">
            <v>19904</v>
          </cell>
          <cell r="N2681" t="str">
            <v>? Dover, DE 19904</v>
          </cell>
        </row>
        <row r="2682">
          <cell r="G2682">
            <v>254199</v>
          </cell>
          <cell r="H2682" t="str">
            <v>LANCASTER HEALTH CENTER#</v>
          </cell>
          <cell r="I2682" t="str">
            <v>Lancaster</v>
          </cell>
          <cell r="K2682" t="str">
            <v>812 N Prince St</v>
          </cell>
          <cell r="L2682" t="str">
            <v>PA</v>
          </cell>
          <cell r="M2682">
            <v>17603</v>
          </cell>
          <cell r="N2682" t="str">
            <v>812 N Prince St Lancaster, PA 17603</v>
          </cell>
        </row>
        <row r="2683">
          <cell r="G2683">
            <v>263408</v>
          </cell>
          <cell r="H2683" t="str">
            <v>LOYALSOCK TOWNSHIP SCHOOL</v>
          </cell>
          <cell r="I2683" t="str">
            <v>Williamsport</v>
          </cell>
          <cell r="K2683" t="str">
            <v>1605 Four Mile Dr</v>
          </cell>
          <cell r="L2683" t="str">
            <v>PA</v>
          </cell>
          <cell r="M2683">
            <v>17701</v>
          </cell>
          <cell r="N2683" t="str">
            <v>1605 Four Mile Dr Williamsport, PA 17701</v>
          </cell>
        </row>
        <row r="2684">
          <cell r="G2684">
            <v>263669</v>
          </cell>
          <cell r="H2684" t="str">
            <v>Camden City Public Schools</v>
          </cell>
          <cell r="I2684" t="str">
            <v>Camden</v>
          </cell>
          <cell r="J2684" t="str">
            <v>Camden</v>
          </cell>
          <cell r="K2684" t="str">
            <v>201 N Front St</v>
          </cell>
          <cell r="L2684" t="str">
            <v>NJ</v>
          </cell>
          <cell r="M2684">
            <v>8102</v>
          </cell>
          <cell r="N2684" t="str">
            <v>201 N Front St Camden, NJ 08102</v>
          </cell>
        </row>
        <row r="2685">
          <cell r="G2685">
            <v>268939</v>
          </cell>
          <cell r="H2685" t="str">
            <v>Fairfield Township BOE</v>
          </cell>
          <cell r="I2685" t="str">
            <v>Bridgeton</v>
          </cell>
          <cell r="K2685" t="str">
            <v>375 Gouldtown Woodruff Rd</v>
          </cell>
          <cell r="L2685" t="str">
            <v>NJ</v>
          </cell>
          <cell r="M2685">
            <v>8302</v>
          </cell>
          <cell r="N2685" t="str">
            <v>375 Gouldtown Woodruff Rd Bridgeton, NJ 08302</v>
          </cell>
        </row>
        <row r="2686">
          <cell r="G2686">
            <v>269353</v>
          </cell>
          <cell r="H2686" t="str">
            <v>WILLIAMSPORT AREA SCHOOL DISTR</v>
          </cell>
          <cell r="I2686" t="str">
            <v>Williamsport</v>
          </cell>
          <cell r="K2686" t="str">
            <v>2780 W 4th St</v>
          </cell>
          <cell r="L2686" t="str">
            <v>PA</v>
          </cell>
          <cell r="M2686">
            <v>17701</v>
          </cell>
          <cell r="N2686" t="str">
            <v>2780 W 4th St Williamsport, PA 17701</v>
          </cell>
        </row>
        <row r="2687">
          <cell r="G2687">
            <v>270093</v>
          </cell>
          <cell r="H2687" t="str">
            <v>St Dorothy Parish</v>
          </cell>
          <cell r="I2687" t="str">
            <v>Drexel Hill</v>
          </cell>
          <cell r="K2687" t="str">
            <v>4910 Township Line Rd</v>
          </cell>
          <cell r="L2687" t="str">
            <v>PA</v>
          </cell>
          <cell r="M2687">
            <v>19026</v>
          </cell>
          <cell r="N2687" t="str">
            <v>4910 Township Line Rd Drexel Hill, PA 19026</v>
          </cell>
        </row>
        <row r="2688">
          <cell r="G2688">
            <v>278982</v>
          </cell>
          <cell r="H2688" t="str">
            <v>Berkeley Township School Distr</v>
          </cell>
          <cell r="I2688" t="str">
            <v>Bayville</v>
          </cell>
          <cell r="J2688" t="str">
            <v>Jersey Shore - North</v>
          </cell>
          <cell r="K2688" t="str">
            <v>53 Central Pkwy</v>
          </cell>
          <cell r="L2688" t="str">
            <v>NJ</v>
          </cell>
          <cell r="M2688">
            <v>8721</v>
          </cell>
          <cell r="N2688" t="str">
            <v>53 Central Pkwy Bayville, NJ 08721</v>
          </cell>
        </row>
        <row r="2689">
          <cell r="G2689">
            <v>308404</v>
          </cell>
          <cell r="H2689" t="str">
            <v>Janitorial Management Inc</v>
          </cell>
          <cell r="I2689" t="str">
            <v>Jamison</v>
          </cell>
          <cell r="K2689" t="str">
            <v>1780 Kendarbren Dr</v>
          </cell>
          <cell r="L2689" t="str">
            <v>PA</v>
          </cell>
          <cell r="M2689">
            <v>18929</v>
          </cell>
          <cell r="N2689" t="str">
            <v>1780 Kendarbren Dr Jamison, PA 18929</v>
          </cell>
        </row>
        <row r="2690">
          <cell r="G2690">
            <v>313217</v>
          </cell>
          <cell r="H2690" t="str">
            <v>MECHANICSBURG SCHOOL DISTRICT</v>
          </cell>
          <cell r="I2690" t="str">
            <v>Mechanicsburg</v>
          </cell>
          <cell r="K2690" t="str">
            <v>600 S Norway St Fl 2</v>
          </cell>
          <cell r="L2690" t="str">
            <v>PA</v>
          </cell>
          <cell r="M2690">
            <v>17055</v>
          </cell>
          <cell r="N2690" t="str">
            <v>600 S Norway St Fl 2 Mechanicsburg, PA 17055</v>
          </cell>
        </row>
        <row r="2691">
          <cell r="G2691">
            <v>321072</v>
          </cell>
          <cell r="H2691" t="str">
            <v>Bridgewater Raritan Regional S</v>
          </cell>
          <cell r="I2691" t="str">
            <v>Bridgewater</v>
          </cell>
          <cell r="K2691" t="str">
            <v>836 Newmans Ln</v>
          </cell>
          <cell r="L2691" t="str">
            <v>NJ</v>
          </cell>
          <cell r="M2691">
            <v>8807</v>
          </cell>
          <cell r="N2691" t="str">
            <v>836 Newmans Ln Bridgewater, NJ 08807</v>
          </cell>
        </row>
        <row r="2692">
          <cell r="G2692">
            <v>326634</v>
          </cell>
          <cell r="H2692" t="str">
            <v>Tim Golonka</v>
          </cell>
          <cell r="I2692" t="str">
            <v>Collegeville</v>
          </cell>
          <cell r="K2692" t="str">
            <v>3917 Landis Rd</v>
          </cell>
          <cell r="L2692" t="str">
            <v>PA</v>
          </cell>
          <cell r="M2692">
            <v>19426</v>
          </cell>
          <cell r="N2692" t="str">
            <v>3917 Landis Rd Collegeville, PA 19426</v>
          </cell>
        </row>
        <row r="2693">
          <cell r="G2693">
            <v>333426</v>
          </cell>
          <cell r="H2693" t="str">
            <v>DOYLESTOWN HEALTH HOSPITAL</v>
          </cell>
          <cell r="I2693" t="str">
            <v>Doylestown</v>
          </cell>
          <cell r="J2693" t="str">
            <v>Philly Suburbs - North</v>
          </cell>
          <cell r="K2693" t="str">
            <v>595 W State St</v>
          </cell>
          <cell r="L2693" t="str">
            <v>PA</v>
          </cell>
          <cell r="M2693">
            <v>18901</v>
          </cell>
          <cell r="N2693" t="str">
            <v>595 W State St Doylestown, PA 18901</v>
          </cell>
        </row>
        <row r="2694">
          <cell r="G2694">
            <v>333733</v>
          </cell>
          <cell r="H2694" t="str">
            <v>Mark Lindsay</v>
          </cell>
          <cell r="I2694" t="str">
            <v>West Chester</v>
          </cell>
          <cell r="K2694" t="str">
            <v>1532 Tattersall Way</v>
          </cell>
          <cell r="L2694" t="str">
            <v>PA</v>
          </cell>
          <cell r="M2694">
            <v>19380</v>
          </cell>
          <cell r="N2694" t="str">
            <v>1532 Tattersall Way West Chester, PA 19380</v>
          </cell>
        </row>
        <row r="2695">
          <cell r="G2695">
            <v>334520</v>
          </cell>
          <cell r="H2695" t="str">
            <v>Weaver Associates INC.</v>
          </cell>
          <cell r="I2695" t="str">
            <v>Lancaster</v>
          </cell>
          <cell r="K2695" t="str">
            <v>131 Elmwood Rd</v>
          </cell>
          <cell r="L2695" t="str">
            <v>PA</v>
          </cell>
          <cell r="M2695">
            <v>17602</v>
          </cell>
          <cell r="N2695" t="str">
            <v>131 Elmwood Rd Lancaster, PA 17602</v>
          </cell>
        </row>
        <row r="2696">
          <cell r="G2696">
            <v>335341</v>
          </cell>
          <cell r="H2696" t="str">
            <v>West Cape May Board of Educati</v>
          </cell>
          <cell r="I2696" t="str">
            <v>West Cape May</v>
          </cell>
          <cell r="K2696" t="str">
            <v>301 Moore St</v>
          </cell>
          <cell r="L2696" t="str">
            <v>NJ</v>
          </cell>
          <cell r="M2696">
            <v>8204</v>
          </cell>
          <cell r="N2696" t="str">
            <v>301 Moore St West Cape May, NJ 08204</v>
          </cell>
        </row>
        <row r="2697">
          <cell r="G2697">
            <v>342774</v>
          </cell>
          <cell r="H2697" t="str">
            <v>EXCELCARE AT THE PINES</v>
          </cell>
          <cell r="I2697" t="str">
            <v>Atlantic City</v>
          </cell>
          <cell r="J2697" t="str">
            <v>Atlantic City</v>
          </cell>
          <cell r="K2697" t="str">
            <v>29 N Vermont Ave</v>
          </cell>
          <cell r="L2697" t="str">
            <v>NJ</v>
          </cell>
          <cell r="M2697">
            <v>8401</v>
          </cell>
          <cell r="N2697" t="str">
            <v>29 N Vermont Ave Atlantic City, NJ 08401</v>
          </cell>
        </row>
        <row r="2698">
          <cell r="G2698">
            <v>342870</v>
          </cell>
          <cell r="H2698" t="str">
            <v>DUBLIN VOLUNTEER FIRE COMPANY</v>
          </cell>
          <cell r="I2698" t="str">
            <v>Dublin</v>
          </cell>
          <cell r="K2698" t="str">
            <v>194 N Main St</v>
          </cell>
          <cell r="L2698" t="str">
            <v>PA</v>
          </cell>
          <cell r="M2698">
            <v>18917</v>
          </cell>
          <cell r="N2698" t="str">
            <v>194 N Main St Dublin, PA 18917</v>
          </cell>
        </row>
        <row r="2699">
          <cell r="G2699">
            <v>343450</v>
          </cell>
          <cell r="H2699" t="str">
            <v>Northfield Community School</v>
          </cell>
          <cell r="I2699" t="str">
            <v>Northfield</v>
          </cell>
          <cell r="K2699" t="str">
            <v>2000 New Rd</v>
          </cell>
          <cell r="L2699" t="str">
            <v>NJ</v>
          </cell>
          <cell r="M2699">
            <v>8225</v>
          </cell>
          <cell r="N2699" t="str">
            <v>2000 New Rd Northfield, NJ 08225</v>
          </cell>
        </row>
        <row r="2700">
          <cell r="G2700">
            <v>344722</v>
          </cell>
          <cell r="H2700" t="str">
            <v>It Takes Philly</v>
          </cell>
          <cell r="I2700" t="str">
            <v>Jenkintown</v>
          </cell>
          <cell r="K2700" t="str">
            <v>419 Johnson St</v>
          </cell>
          <cell r="L2700" t="str">
            <v>PA</v>
          </cell>
          <cell r="M2700">
            <v>19046</v>
          </cell>
          <cell r="N2700" t="str">
            <v>419 Johnson St Jenkintown, PA 19046</v>
          </cell>
        </row>
        <row r="2701">
          <cell r="G2701">
            <v>345333</v>
          </cell>
          <cell r="H2701" t="str">
            <v>Brad Miller</v>
          </cell>
          <cell r="I2701" t="str">
            <v>Cleona</v>
          </cell>
          <cell r="K2701" t="str">
            <v>415 Cleona Blvd</v>
          </cell>
          <cell r="L2701" t="str">
            <v>PA</v>
          </cell>
          <cell r="M2701">
            <v>17042</v>
          </cell>
          <cell r="N2701" t="str">
            <v>415 Cleona Blvd Cleona, PA 17042</v>
          </cell>
        </row>
        <row r="2702">
          <cell r="G2702">
            <v>345356</v>
          </cell>
          <cell r="H2702" t="str">
            <v>Governor Mifflin Food Services</v>
          </cell>
          <cell r="I2702" t="str">
            <v>Shillington</v>
          </cell>
          <cell r="K2702" t="str">
            <v>10 S Waverly St</v>
          </cell>
          <cell r="L2702" t="str">
            <v>PA</v>
          </cell>
          <cell r="M2702">
            <v>19607</v>
          </cell>
          <cell r="N2702" t="str">
            <v>10 S Waverly St Shillington, PA 19607</v>
          </cell>
        </row>
        <row r="2703">
          <cell r="G2703">
            <v>346104</v>
          </cell>
          <cell r="H2703" t="str">
            <v>CENTINEL SPINE LLC</v>
          </cell>
          <cell r="I2703" t="str">
            <v>West Chester</v>
          </cell>
          <cell r="K2703" t="str">
            <v>900 Airport Rd</v>
          </cell>
          <cell r="L2703" t="str">
            <v>PA</v>
          </cell>
          <cell r="M2703">
            <v>19380</v>
          </cell>
          <cell r="N2703" t="str">
            <v>900 Airport Rd West Chester, PA 19380</v>
          </cell>
        </row>
        <row r="2704">
          <cell r="G2704">
            <v>346288</v>
          </cell>
          <cell r="H2704" t="str">
            <v>NOTTINGHAM VILLAGE</v>
          </cell>
          <cell r="I2704" t="str">
            <v>NORTHUMBERLAND</v>
          </cell>
          <cell r="K2704" t="str">
            <v>58 Neitz Rd</v>
          </cell>
          <cell r="L2704" t="str">
            <v>PA</v>
          </cell>
          <cell r="M2704">
            <v>17857</v>
          </cell>
          <cell r="N2704" t="str">
            <v>58 Neitz Rd NORTHUMBERLAND, PA 17857</v>
          </cell>
        </row>
        <row r="2705">
          <cell r="G2705">
            <v>415423</v>
          </cell>
          <cell r="H2705" t="str">
            <v>CONESTOGA VALLEY SCH DIST</v>
          </cell>
          <cell r="I2705" t="str">
            <v>Leola</v>
          </cell>
          <cell r="K2705" t="str">
            <v>160 Newport Rd</v>
          </cell>
          <cell r="L2705" t="str">
            <v>PA</v>
          </cell>
          <cell r="M2705">
            <v>17540</v>
          </cell>
          <cell r="N2705" t="str">
            <v>160 Newport Rd Leola, PA 17540</v>
          </cell>
        </row>
        <row r="2706">
          <cell r="G2706">
            <v>415632</v>
          </cell>
          <cell r="H2706" t="str">
            <v>NORTHERN ELEMENTARY SCHOOL</v>
          </cell>
          <cell r="I2706" t="str">
            <v>Dillsburg</v>
          </cell>
          <cell r="K2706" t="str">
            <v>657 S Baltimore St</v>
          </cell>
          <cell r="L2706" t="str">
            <v>PA</v>
          </cell>
          <cell r="M2706">
            <v>17019</v>
          </cell>
          <cell r="N2706" t="str">
            <v>657 S Baltimore St Dillsburg, PA 17019</v>
          </cell>
        </row>
        <row r="2707">
          <cell r="G2707">
            <v>416207</v>
          </cell>
          <cell r="H2707" t="str">
            <v>ARCOLA INTERMEDIATE SCHOOL</v>
          </cell>
          <cell r="I2707" t="str">
            <v>Eagleville</v>
          </cell>
          <cell r="K2707" t="str">
            <v>4001 Eagleville Rd</v>
          </cell>
          <cell r="L2707" t="str">
            <v>PA</v>
          </cell>
          <cell r="M2707">
            <v>19403</v>
          </cell>
          <cell r="N2707" t="str">
            <v>4001 Eagleville Rd Eagleville, PA 19403</v>
          </cell>
        </row>
        <row r="2708">
          <cell r="G2708">
            <v>416686</v>
          </cell>
          <cell r="H2708" t="str">
            <v>Maintenance &amp; Transportation</v>
          </cell>
          <cell r="I2708" t="str">
            <v>Mullica Hill</v>
          </cell>
          <cell r="K2708" t="str">
            <v>420 Cedar Rd</v>
          </cell>
          <cell r="L2708" t="str">
            <v>NJ</v>
          </cell>
          <cell r="M2708">
            <v>8062</v>
          </cell>
          <cell r="N2708" t="str">
            <v>420 Cedar Rd Mullica Hill, NJ 08062</v>
          </cell>
        </row>
        <row r="2709">
          <cell r="G2709">
            <v>416891</v>
          </cell>
          <cell r="H2709" t="str">
            <v>South Brunswick High School</v>
          </cell>
          <cell r="I2709" t="str">
            <v>Monmouth Junction</v>
          </cell>
          <cell r="K2709" t="str">
            <v>750 Ridge Rd</v>
          </cell>
          <cell r="L2709" t="str">
            <v>NJ</v>
          </cell>
          <cell r="M2709">
            <v>8852</v>
          </cell>
          <cell r="N2709" t="str">
            <v>750 Ridge Rd Monmouth Junction, NJ 08852</v>
          </cell>
        </row>
        <row r="2710">
          <cell r="G2710">
            <v>417181</v>
          </cell>
          <cell r="H2710" t="str">
            <v>Buildings &amp; Grounds</v>
          </cell>
          <cell r="I2710" t="str">
            <v>Mount Holly</v>
          </cell>
          <cell r="J2710" t="str">
            <v>Cherry Hill</v>
          </cell>
          <cell r="K2710" t="str">
            <v>?</v>
          </cell>
          <cell r="L2710" t="str">
            <v>NJ</v>
          </cell>
          <cell r="M2710">
            <v>8060</v>
          </cell>
          <cell r="N2710" t="str">
            <v>? Mount Holly, NJ 08060</v>
          </cell>
        </row>
        <row r="2711">
          <cell r="G2711">
            <v>417266</v>
          </cell>
          <cell r="H2711" t="str">
            <v>Arthur Rann Elementary School</v>
          </cell>
          <cell r="I2711" t="str">
            <v>Galloway</v>
          </cell>
          <cell r="K2711" t="str">
            <v>515 8th Ave</v>
          </cell>
          <cell r="L2711" t="str">
            <v>NJ</v>
          </cell>
          <cell r="M2711">
            <v>8205</v>
          </cell>
          <cell r="N2711" t="str">
            <v>515 8th Ave Galloway, NJ 08205</v>
          </cell>
        </row>
        <row r="2712">
          <cell r="G2712">
            <v>418492</v>
          </cell>
          <cell r="H2712" t="str">
            <v>Riverside Twp. Public School D</v>
          </cell>
          <cell r="I2712" t="str">
            <v>Riverside</v>
          </cell>
          <cell r="J2712" t="str">
            <v>Cherry Hill</v>
          </cell>
          <cell r="K2712" t="str">
            <v>112 E Washington St</v>
          </cell>
          <cell r="L2712" t="str">
            <v>NJ</v>
          </cell>
          <cell r="M2712">
            <v>8075</v>
          </cell>
          <cell r="N2712" t="str">
            <v>112 E Washington St Riverside, NJ 08075</v>
          </cell>
        </row>
        <row r="2713">
          <cell r="G2713">
            <v>418725</v>
          </cell>
          <cell r="H2713" t="str">
            <v>Stoney Creek Elementary School</v>
          </cell>
          <cell r="I2713" t="str">
            <v>Blue Bell</v>
          </cell>
          <cell r="K2713" t="str">
            <v>1721 Yost Rd</v>
          </cell>
          <cell r="L2713" t="str">
            <v>PA</v>
          </cell>
          <cell r="M2713">
            <v>19422</v>
          </cell>
          <cell r="N2713" t="str">
            <v>1721 Yost Rd Blue Bell, PA 19422</v>
          </cell>
        </row>
        <row r="2714">
          <cell r="G2714">
            <v>419075</v>
          </cell>
          <cell r="H2714" t="str">
            <v>Wissahickon Middle School</v>
          </cell>
          <cell r="I2714" t="str">
            <v>Ambler</v>
          </cell>
          <cell r="J2714" t="str">
            <v>Philly Subrubs - Central</v>
          </cell>
          <cell r="K2714" t="str">
            <v>500 Houston Rd</v>
          </cell>
          <cell r="L2714" t="str">
            <v>PA</v>
          </cell>
          <cell r="M2714">
            <v>19002</v>
          </cell>
          <cell r="N2714" t="str">
            <v>500 Houston Rd Ambler, PA 19002</v>
          </cell>
        </row>
        <row r="2715">
          <cell r="G2715">
            <v>419645</v>
          </cell>
          <cell r="H2715" t="str">
            <v>Conover Road Primary School</v>
          </cell>
          <cell r="I2715" t="str">
            <v>Colts Neck</v>
          </cell>
          <cell r="J2715" t="str">
            <v>Trenton - East Shore</v>
          </cell>
          <cell r="K2715" t="str">
            <v>56 Conover Rd</v>
          </cell>
          <cell r="L2715" t="str">
            <v>NJ</v>
          </cell>
          <cell r="M2715">
            <v>7722</v>
          </cell>
          <cell r="N2715" t="str">
            <v>56 Conover Rd, Colts Neck, NJ 07722</v>
          </cell>
        </row>
        <row r="2716">
          <cell r="G2716">
            <v>429485</v>
          </cell>
          <cell r="H2716" t="str">
            <v>HANNAH PENN MIDDLE SCHOOL</v>
          </cell>
          <cell r="I2716" t="str">
            <v>York</v>
          </cell>
          <cell r="K2716" t="str">
            <v>415 E Boundary Ave</v>
          </cell>
          <cell r="L2716" t="str">
            <v>PA</v>
          </cell>
          <cell r="M2716">
            <v>17403</v>
          </cell>
          <cell r="N2716" t="str">
            <v>415 E Boundary Ave York, PA 17403</v>
          </cell>
        </row>
        <row r="2717">
          <cell r="G2717">
            <v>429515</v>
          </cell>
          <cell r="H2717" t="str">
            <v>PHINEAS DAVIS ELEMENTARY</v>
          </cell>
          <cell r="I2717" t="str">
            <v>York</v>
          </cell>
          <cell r="K2717" t="str">
            <v>300 S Ogontz St</v>
          </cell>
          <cell r="L2717" t="str">
            <v>PA</v>
          </cell>
          <cell r="M2717">
            <v>17403</v>
          </cell>
          <cell r="N2717" t="str">
            <v>300 S Ogontz St York, PA 17403</v>
          </cell>
        </row>
        <row r="2718">
          <cell r="G2718">
            <v>436701</v>
          </cell>
          <cell r="H2718" t="str">
            <v>Maint Fac City of Burlington B</v>
          </cell>
          <cell r="I2718" t="str">
            <v>Burlington City</v>
          </cell>
          <cell r="J2718" t="str">
            <v>Cherry Hill</v>
          </cell>
          <cell r="K2718" t="str">
            <v>552 High St</v>
          </cell>
          <cell r="L2718" t="str">
            <v>NJ</v>
          </cell>
          <cell r="M2718">
            <v>8016</v>
          </cell>
          <cell r="N2718" t="str">
            <v>552 High St Burlington City, NJ 08016</v>
          </cell>
        </row>
        <row r="2719">
          <cell r="G2719">
            <v>449177</v>
          </cell>
          <cell r="H2719" t="str">
            <v>MILTON HERSHEY SCHOOL</v>
          </cell>
          <cell r="I2719" t="str">
            <v>Hershey</v>
          </cell>
          <cell r="K2719" t="str">
            <v>2000 Bachmanville Rd</v>
          </cell>
          <cell r="L2719" t="str">
            <v>PA</v>
          </cell>
          <cell r="M2719">
            <v>17033</v>
          </cell>
          <cell r="N2719" t="str">
            <v>2000 Bachmanville Rd Hershey, PA 17033</v>
          </cell>
        </row>
        <row r="2720">
          <cell r="G2720">
            <v>449394</v>
          </cell>
          <cell r="H2720" t="str">
            <v>Warehouse-Galloway Township BO</v>
          </cell>
          <cell r="I2720" t="str">
            <v>Egg Harbor City</v>
          </cell>
          <cell r="K2720" t="str">
            <v>206 N Mannheim Ave</v>
          </cell>
          <cell r="L2720" t="str">
            <v>NJ</v>
          </cell>
          <cell r="M2720">
            <v>8215</v>
          </cell>
          <cell r="N2720" t="str">
            <v>206 N Mannheim Ave Egg Harbor City, NJ 08215</v>
          </cell>
        </row>
        <row r="2721">
          <cell r="G2721">
            <v>449685</v>
          </cell>
          <cell r="H2721" t="str">
            <v>Pennsylvania Ave School</v>
          </cell>
          <cell r="I2721" t="str">
            <v>Atlantic City</v>
          </cell>
          <cell r="J2721" t="str">
            <v>Atlantic City</v>
          </cell>
          <cell r="K2721" t="str">
            <v>201 N Pennsylvania Ave</v>
          </cell>
          <cell r="L2721" t="str">
            <v>NJ</v>
          </cell>
          <cell r="M2721">
            <v>8401</v>
          </cell>
          <cell r="N2721" t="str">
            <v>201 N Pennsylvania Ave Atlantic City, NJ 08401</v>
          </cell>
        </row>
        <row r="2722">
          <cell r="G2722">
            <v>457161</v>
          </cell>
          <cell r="H2722" t="str">
            <v>WILLOW VALLEY CLUB HOUSE FLR C</v>
          </cell>
          <cell r="I2722" t="str">
            <v>Lancaster</v>
          </cell>
          <cell r="K2722" t="str">
            <v>10 Providence Park Dr</v>
          </cell>
          <cell r="L2722" t="str">
            <v>PA</v>
          </cell>
          <cell r="M2722">
            <v>17602</v>
          </cell>
          <cell r="N2722" t="str">
            <v>10 Providence Park Dr Lancaster, PA 17602</v>
          </cell>
        </row>
        <row r="2723">
          <cell r="G2723">
            <v>458355</v>
          </cell>
          <cell r="H2723" t="str">
            <v>Greater Egg Harbor SD Warehous</v>
          </cell>
          <cell r="I2723" t="str">
            <v>Mays Landing</v>
          </cell>
          <cell r="K2723" t="str">
            <v>1824 Dr Dennis Foreman Dr</v>
          </cell>
          <cell r="L2723" t="str">
            <v>NJ</v>
          </cell>
          <cell r="M2723">
            <v>8330</v>
          </cell>
          <cell r="N2723" t="str">
            <v>1824 Dr Dennis Foreman Dr Mays Landing, NJ 08330</v>
          </cell>
        </row>
        <row r="2724">
          <cell r="G2724">
            <v>462357</v>
          </cell>
          <cell r="H2724" t="str">
            <v>TREEHOUSE PRIVATE BRANDS - HAN</v>
          </cell>
          <cell r="I2724" t="str">
            <v>Hanover</v>
          </cell>
          <cell r="K2724" t="str">
            <v>680 W Chestnut St</v>
          </cell>
          <cell r="L2724" t="str">
            <v>PA</v>
          </cell>
          <cell r="M2724">
            <v>17331</v>
          </cell>
          <cell r="N2724" t="str">
            <v>680 W Chestnut St Hanover, PA 17331</v>
          </cell>
        </row>
        <row r="2725">
          <cell r="G2725">
            <v>467589</v>
          </cell>
          <cell r="H2725" t="str">
            <v>MASONIC VILLAGE RETIREMENT LIV</v>
          </cell>
          <cell r="I2725" t="str">
            <v>ELIZABETHTOWN</v>
          </cell>
          <cell r="K2725" t="str">
            <v>515 James Buchanan Dr</v>
          </cell>
          <cell r="L2725" t="str">
            <v>PA</v>
          </cell>
          <cell r="M2725">
            <v>17022</v>
          </cell>
          <cell r="N2725" t="str">
            <v>515 James Buchanan Dr ELIZABETHTOWN, PA 17022</v>
          </cell>
        </row>
        <row r="2726">
          <cell r="G2726">
            <v>467837</v>
          </cell>
          <cell r="H2726" t="str">
            <v>LARRY J MACALUSO ELEMENTARY</v>
          </cell>
          <cell r="I2726" t="str">
            <v>Red Lion</v>
          </cell>
          <cell r="K2726" t="str">
            <v>1195 Windsor Rd</v>
          </cell>
          <cell r="L2726" t="str">
            <v>PA</v>
          </cell>
          <cell r="M2726">
            <v>17356</v>
          </cell>
          <cell r="N2726" t="str">
            <v>1195 Windsor Rd Red Lion, PA 17356</v>
          </cell>
        </row>
        <row r="2727">
          <cell r="G2727">
            <v>469122</v>
          </cell>
          <cell r="H2727" t="str">
            <v>LANC GENERAL - LGH HEALTH COLU</v>
          </cell>
          <cell r="I2727" t="str">
            <v>Columbia</v>
          </cell>
          <cell r="K2727" t="str">
            <v>306 N 7th St</v>
          </cell>
          <cell r="L2727" t="str">
            <v>PA</v>
          </cell>
          <cell r="M2727">
            <v>17512</v>
          </cell>
          <cell r="N2727" t="str">
            <v>306 N 7th St Columbia, PA 17512</v>
          </cell>
        </row>
        <row r="2728">
          <cell r="G2728">
            <v>470088</v>
          </cell>
          <cell r="H2728" t="str">
            <v>SOUTH EASTERN MIDDLE SCHOOL</v>
          </cell>
          <cell r="I2728" t="str">
            <v>Fawn Grove</v>
          </cell>
          <cell r="K2728" t="str">
            <v>375 Main St</v>
          </cell>
          <cell r="L2728" t="str">
            <v>PA</v>
          </cell>
          <cell r="M2728">
            <v>17321</v>
          </cell>
          <cell r="N2728" t="str">
            <v>375 Main St Fawn Grove, PA 17321</v>
          </cell>
        </row>
        <row r="2729">
          <cell r="G2729">
            <v>471162</v>
          </cell>
          <cell r="H2729" t="str">
            <v>CHAMBERSBURG HOSPITAL</v>
          </cell>
          <cell r="I2729" t="str">
            <v>Chambersburg</v>
          </cell>
          <cell r="K2729" t="str">
            <v>112 N 7th St</v>
          </cell>
          <cell r="L2729" t="str">
            <v>PA</v>
          </cell>
          <cell r="M2729">
            <v>17201</v>
          </cell>
          <cell r="N2729" t="str">
            <v>112 N 7th St Chambersburg, PA 17201</v>
          </cell>
        </row>
        <row r="2730">
          <cell r="G2730">
            <v>471948</v>
          </cell>
          <cell r="H2730" t="str">
            <v>Hatboro 384</v>
          </cell>
          <cell r="I2730" t="str">
            <v>Hatboro</v>
          </cell>
          <cell r="J2730" t="str">
            <v>Philly Suburbs - North</v>
          </cell>
          <cell r="K2730" t="str">
            <v>307 Davisville Rd</v>
          </cell>
          <cell r="L2730" t="str">
            <v>PA</v>
          </cell>
          <cell r="M2730">
            <v>19040</v>
          </cell>
          <cell r="N2730" t="str">
            <v>307 Davisville Rd Hatboro, PA 19040</v>
          </cell>
        </row>
        <row r="2731">
          <cell r="G2731">
            <v>471956</v>
          </cell>
          <cell r="H2731" t="str">
            <v>Bethany Wesleyan Church</v>
          </cell>
          <cell r="I2731" t="str">
            <v>Palmerton</v>
          </cell>
          <cell r="K2731" t="str">
            <v>457 Delaware Ave</v>
          </cell>
          <cell r="L2731" t="str">
            <v>PA</v>
          </cell>
          <cell r="M2731">
            <v>18071</v>
          </cell>
          <cell r="N2731" t="str">
            <v>457 Delaware Ave Palmerton, PA 18071</v>
          </cell>
        </row>
        <row r="2732">
          <cell r="G2732">
            <v>479152</v>
          </cell>
          <cell r="H2732" t="str">
            <v>Ciocca Subaru-janitorial suppl</v>
          </cell>
          <cell r="I2732" t="str">
            <v>Allentown</v>
          </cell>
          <cell r="J2732" t="str">
            <v>Allentown</v>
          </cell>
          <cell r="K2732" t="str">
            <v>4611 Hamilton Blvd</v>
          </cell>
          <cell r="L2732" t="str">
            <v>PA</v>
          </cell>
          <cell r="M2732">
            <v>18103</v>
          </cell>
          <cell r="N2732" t="str">
            <v>4611 Hamilton Blvd Allentown, PA 18103</v>
          </cell>
        </row>
        <row r="2733">
          <cell r="G2733">
            <v>479561</v>
          </cell>
          <cell r="H2733" t="str">
            <v>Constable</v>
          </cell>
          <cell r="I2733" t="str">
            <v>Kendall Park</v>
          </cell>
          <cell r="K2733" t="str">
            <v>29 Constable Rd</v>
          </cell>
          <cell r="L2733" t="str">
            <v>NJ</v>
          </cell>
          <cell r="M2733">
            <v>8824</v>
          </cell>
          <cell r="N2733" t="str">
            <v>29 Constable Rd Kendall Park, NJ 08824</v>
          </cell>
        </row>
        <row r="2734">
          <cell r="G2734">
            <v>480263</v>
          </cell>
          <cell r="H2734" t="str">
            <v>THADDEUS STEVENS Maintenance B</v>
          </cell>
          <cell r="I2734" t="str">
            <v>Lancaster</v>
          </cell>
          <cell r="K2734" t="str">
            <v>S. Broad St &amp; Academic Dr</v>
          </cell>
          <cell r="L2734" t="str">
            <v>PA</v>
          </cell>
          <cell r="M2734">
            <v>17602</v>
          </cell>
          <cell r="N2734" t="str">
            <v>S. Broad St &amp; Academic Dr Lancaster, PA 17602</v>
          </cell>
        </row>
        <row r="2735">
          <cell r="G2735">
            <v>480510</v>
          </cell>
          <cell r="H2735" t="str">
            <v>MASONIC VILLAGE GRAND LODGE HA</v>
          </cell>
          <cell r="I2735" t="str">
            <v>ELIZABETHTOWN</v>
          </cell>
          <cell r="K2735" t="str">
            <v>75 Village Green Dr</v>
          </cell>
          <cell r="L2735" t="str">
            <v>PA</v>
          </cell>
          <cell r="M2735">
            <v>17022</v>
          </cell>
          <cell r="N2735" t="str">
            <v>75 Village Green Dr ELIZABETHTOWN, PA 17022</v>
          </cell>
        </row>
        <row r="2736">
          <cell r="G2736">
            <v>482844</v>
          </cell>
          <cell r="H2736" t="str">
            <v>Jehovah's Witnesses</v>
          </cell>
          <cell r="I2736" t="str">
            <v>York</v>
          </cell>
          <cell r="K2736" t="str">
            <v>4054 Park Ln</v>
          </cell>
          <cell r="L2736" t="str">
            <v>PA</v>
          </cell>
          <cell r="M2736">
            <v>17402</v>
          </cell>
          <cell r="N2736" t="str">
            <v>4054 Park Ln York, PA 17402</v>
          </cell>
        </row>
        <row r="2737">
          <cell r="G2737">
            <v>483830</v>
          </cell>
          <cell r="H2737" t="str">
            <v>F &amp; M Asset Management 401</v>
          </cell>
          <cell r="I2737" t="str">
            <v>West Chester</v>
          </cell>
          <cell r="K2737" t="str">
            <v>?</v>
          </cell>
          <cell r="L2737" t="str">
            <v>PA</v>
          </cell>
          <cell r="M2737">
            <v>19382</v>
          </cell>
          <cell r="N2737" t="str">
            <v>? West Chester, PA 19382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13B6-929F-4752-8B5A-B8D746E8AC30}">
  <sheetPr codeName="Sheet2"/>
  <dimension ref="A1:E49"/>
  <sheetViews>
    <sheetView workbookViewId="0">
      <selection activeCell="A9" sqref="A9"/>
    </sheetView>
  </sheetViews>
  <sheetFormatPr defaultRowHeight="14.4" x14ac:dyDescent="0.3"/>
  <cols>
    <col min="1" max="1" width="8" bestFit="1" customWidth="1"/>
    <col min="4" max="4" width="25.21875" bestFit="1" customWidth="1"/>
  </cols>
  <sheetData>
    <row r="1" spans="1:5" x14ac:dyDescent="0.3">
      <c r="A1" s="1" t="s">
        <v>1406</v>
      </c>
      <c r="D1" t="s">
        <v>1407</v>
      </c>
      <c r="E1">
        <f>COUNT(A2:A49)</f>
        <v>48</v>
      </c>
    </row>
    <row r="2" spans="1:5" x14ac:dyDescent="0.3">
      <c r="A2">
        <v>1430001</v>
      </c>
      <c r="B2">
        <f>COUNTIF(Master!D:D,A2)</f>
        <v>11</v>
      </c>
      <c r="D2" t="s">
        <v>1408</v>
      </c>
      <c r="E2">
        <f>COUNTIF(B:B,"&gt;0")</f>
        <v>34</v>
      </c>
    </row>
    <row r="3" spans="1:5" x14ac:dyDescent="0.3">
      <c r="A3">
        <v>1430002</v>
      </c>
      <c r="B3">
        <f>COUNTIF(Master!D:D,A3)</f>
        <v>0</v>
      </c>
      <c r="D3" t="s">
        <v>1409</v>
      </c>
      <c r="E3">
        <f>COUNTIF(B:B,"&gt;5")</f>
        <v>27</v>
      </c>
    </row>
    <row r="4" spans="1:5" x14ac:dyDescent="0.3">
      <c r="A4">
        <v>1430003</v>
      </c>
      <c r="B4">
        <f>COUNTIF(Master!D:D,A4)</f>
        <v>13</v>
      </c>
      <c r="D4" t="s">
        <v>1410</v>
      </c>
      <c r="E4">
        <f>COUNTIF(B:B,"&gt;10")</f>
        <v>20</v>
      </c>
    </row>
    <row r="5" spans="1:5" x14ac:dyDescent="0.3">
      <c r="A5">
        <v>1430004</v>
      </c>
      <c r="B5">
        <f>COUNTIF(Master!D:D,A5)</f>
        <v>0</v>
      </c>
    </row>
    <row r="6" spans="1:5" x14ac:dyDescent="0.3">
      <c r="A6">
        <v>1430005</v>
      </c>
      <c r="B6">
        <f>COUNTIF(Master!D:D,A6)</f>
        <v>50</v>
      </c>
    </row>
    <row r="7" spans="1:5" x14ac:dyDescent="0.3">
      <c r="A7">
        <v>1430006</v>
      </c>
      <c r="B7">
        <f>COUNTIF(Master!D:D,A7)</f>
        <v>12</v>
      </c>
    </row>
    <row r="8" spans="1:5" x14ac:dyDescent="0.3">
      <c r="A8">
        <v>1430007</v>
      </c>
      <c r="B8">
        <f>COUNTIF(Master!D:D,A8)</f>
        <v>17</v>
      </c>
    </row>
    <row r="9" spans="1:5" x14ac:dyDescent="0.3">
      <c r="A9">
        <v>1430008</v>
      </c>
      <c r="B9">
        <f>COUNTIF(Master!D:D,A9)</f>
        <v>4</v>
      </c>
    </row>
    <row r="10" spans="1:5" x14ac:dyDescent="0.3">
      <c r="A10">
        <v>1430009</v>
      </c>
      <c r="B10">
        <f>COUNTIF(Master!D:D,A10)</f>
        <v>2</v>
      </c>
    </row>
    <row r="11" spans="1:5" x14ac:dyDescent="0.3">
      <c r="A11">
        <v>1430010</v>
      </c>
      <c r="B11">
        <f>COUNTIF(Master!D:D,A11)</f>
        <v>37</v>
      </c>
    </row>
    <row r="12" spans="1:5" x14ac:dyDescent="0.3">
      <c r="A12">
        <v>1430011</v>
      </c>
      <c r="B12">
        <f>COUNTIF(Master!D:D,A12)</f>
        <v>0</v>
      </c>
    </row>
    <row r="13" spans="1:5" x14ac:dyDescent="0.3">
      <c r="A13">
        <v>1430012</v>
      </c>
      <c r="B13">
        <f>COUNTIF(Master!D:D,A13)</f>
        <v>14</v>
      </c>
    </row>
    <row r="14" spans="1:5" x14ac:dyDescent="0.3">
      <c r="A14">
        <v>1430013</v>
      </c>
      <c r="B14">
        <f>COUNTIF(Master!D:D,A14)</f>
        <v>2</v>
      </c>
    </row>
    <row r="15" spans="1:5" x14ac:dyDescent="0.3">
      <c r="A15">
        <v>1430014</v>
      </c>
      <c r="B15">
        <f>COUNTIF(Master!D:D,A15)</f>
        <v>4</v>
      </c>
    </row>
    <row r="16" spans="1:5" x14ac:dyDescent="0.3">
      <c r="A16">
        <v>1430015</v>
      </c>
      <c r="B16">
        <f>COUNTIF(Master!D:D,A16)</f>
        <v>8</v>
      </c>
    </row>
    <row r="17" spans="1:2" x14ac:dyDescent="0.3">
      <c r="A17">
        <v>1430016</v>
      </c>
      <c r="B17">
        <f>COUNTIF(Master!D:D,A17)</f>
        <v>249</v>
      </c>
    </row>
    <row r="18" spans="1:2" x14ac:dyDescent="0.3">
      <c r="A18">
        <v>1430017</v>
      </c>
      <c r="B18">
        <f>COUNTIF(Master!D:D,A18)</f>
        <v>38</v>
      </c>
    </row>
    <row r="19" spans="1:2" x14ac:dyDescent="0.3">
      <c r="A19">
        <v>1430018</v>
      </c>
      <c r="B19">
        <f>COUNTIF(Master!D:D,A19)</f>
        <v>17</v>
      </c>
    </row>
    <row r="20" spans="1:2" x14ac:dyDescent="0.3">
      <c r="A20">
        <v>1430019</v>
      </c>
      <c r="B20">
        <f>COUNTIF(Master!D:D,A20)</f>
        <v>0</v>
      </c>
    </row>
    <row r="21" spans="1:2" x14ac:dyDescent="0.3">
      <c r="A21">
        <v>1430020</v>
      </c>
      <c r="B21">
        <f>COUNTIF(Master!D:D,A21)</f>
        <v>0</v>
      </c>
    </row>
    <row r="22" spans="1:2" x14ac:dyDescent="0.3">
      <c r="A22">
        <v>1430021</v>
      </c>
      <c r="B22">
        <f>COUNTIF(Master!D:D,A22)</f>
        <v>34</v>
      </c>
    </row>
    <row r="23" spans="1:2" x14ac:dyDescent="0.3">
      <c r="A23">
        <v>1430022</v>
      </c>
      <c r="B23">
        <f>COUNTIF(Master!D:D,A23)</f>
        <v>87</v>
      </c>
    </row>
    <row r="24" spans="1:2" x14ac:dyDescent="0.3">
      <c r="A24">
        <v>1430023</v>
      </c>
      <c r="B24">
        <f>COUNTIF(Master!D:D,A24)</f>
        <v>8</v>
      </c>
    </row>
    <row r="25" spans="1:2" x14ac:dyDescent="0.3">
      <c r="A25">
        <v>1430024</v>
      </c>
      <c r="B25">
        <f>COUNTIF(Master!D:D,A25)</f>
        <v>13</v>
      </c>
    </row>
    <row r="26" spans="1:2" x14ac:dyDescent="0.3">
      <c r="A26">
        <v>1430025</v>
      </c>
      <c r="B26">
        <f>COUNTIF(Master!D:D,A26)</f>
        <v>2</v>
      </c>
    </row>
    <row r="27" spans="1:2" x14ac:dyDescent="0.3">
      <c r="A27">
        <v>1430026</v>
      </c>
      <c r="B27">
        <f>COUNTIF(Master!D:D,A27)</f>
        <v>29</v>
      </c>
    </row>
    <row r="28" spans="1:2" x14ac:dyDescent="0.3">
      <c r="A28">
        <v>1430027</v>
      </c>
      <c r="B28">
        <f>COUNTIF(Master!D:D,A28)</f>
        <v>6</v>
      </c>
    </row>
    <row r="29" spans="1:2" x14ac:dyDescent="0.3">
      <c r="A29">
        <v>1430028</v>
      </c>
      <c r="B29">
        <f>COUNTIF(Master!D:D,A29)</f>
        <v>0</v>
      </c>
    </row>
    <row r="30" spans="1:2" x14ac:dyDescent="0.3">
      <c r="A30">
        <v>1430029</v>
      </c>
      <c r="B30">
        <f>COUNTIF(Master!D:D,A30)</f>
        <v>2</v>
      </c>
    </row>
    <row r="31" spans="1:2" x14ac:dyDescent="0.3">
      <c r="A31">
        <v>1430030</v>
      </c>
      <c r="B31">
        <f>COUNTIF(Master!D:D,A31)</f>
        <v>0</v>
      </c>
    </row>
    <row r="32" spans="1:2" x14ac:dyDescent="0.3">
      <c r="A32">
        <v>1430031</v>
      </c>
      <c r="B32">
        <f>COUNTIF(Master!D:D,A32)</f>
        <v>0</v>
      </c>
    </row>
    <row r="33" spans="1:2" x14ac:dyDescent="0.3">
      <c r="A33">
        <v>1430032</v>
      </c>
      <c r="B33">
        <f>COUNTIF(Master!D:D,A33)</f>
        <v>2</v>
      </c>
    </row>
    <row r="34" spans="1:2" x14ac:dyDescent="0.3">
      <c r="A34">
        <v>1430033</v>
      </c>
      <c r="B34">
        <f>COUNTIF(Master!D:D,A34)</f>
        <v>33</v>
      </c>
    </row>
    <row r="35" spans="1:2" x14ac:dyDescent="0.3">
      <c r="A35">
        <v>1430034</v>
      </c>
      <c r="B35">
        <f>COUNTIF(Master!D:D,A35)</f>
        <v>0</v>
      </c>
    </row>
    <row r="36" spans="1:2" x14ac:dyDescent="0.3">
      <c r="A36">
        <v>1430035</v>
      </c>
      <c r="B36">
        <f>COUNTIF(Master!D:D,A36)</f>
        <v>38</v>
      </c>
    </row>
    <row r="37" spans="1:2" x14ac:dyDescent="0.3">
      <c r="A37">
        <v>1430036</v>
      </c>
      <c r="B37">
        <f>COUNTIF(Master!D:D,A37)</f>
        <v>0</v>
      </c>
    </row>
    <row r="38" spans="1:2" x14ac:dyDescent="0.3">
      <c r="A38">
        <v>1430037</v>
      </c>
      <c r="B38">
        <f>COUNTIF(Master!D:D,A38)</f>
        <v>0</v>
      </c>
    </row>
    <row r="39" spans="1:2" x14ac:dyDescent="0.3">
      <c r="A39">
        <v>1430038</v>
      </c>
      <c r="B39">
        <f>COUNTIF(Master!D:D,A39)</f>
        <v>9</v>
      </c>
    </row>
    <row r="40" spans="1:2" x14ac:dyDescent="0.3">
      <c r="A40">
        <v>1430039</v>
      </c>
      <c r="B40">
        <f>COUNTIF(Master!D:D,A40)</f>
        <v>10</v>
      </c>
    </row>
    <row r="41" spans="1:2" x14ac:dyDescent="0.3">
      <c r="A41">
        <v>1430040</v>
      </c>
      <c r="B41">
        <f>COUNTIF(Master!D:D,A41)</f>
        <v>7</v>
      </c>
    </row>
    <row r="42" spans="1:2" x14ac:dyDescent="0.3">
      <c r="A42">
        <v>1430041</v>
      </c>
      <c r="B42">
        <f>COUNTIF(Master!D:D,A42)</f>
        <v>0</v>
      </c>
    </row>
    <row r="43" spans="1:2" x14ac:dyDescent="0.3">
      <c r="A43">
        <v>1430044</v>
      </c>
      <c r="B43">
        <f>COUNTIF(Master!D:D,A43)</f>
        <v>27</v>
      </c>
    </row>
    <row r="44" spans="1:2" x14ac:dyDescent="0.3">
      <c r="A44">
        <v>1430045</v>
      </c>
      <c r="B44">
        <f>COUNTIF(Master!D:D,A44)</f>
        <v>51</v>
      </c>
    </row>
    <row r="45" spans="1:2" x14ac:dyDescent="0.3">
      <c r="A45">
        <v>1430046</v>
      </c>
      <c r="B45">
        <f>COUNTIF(Master!D:D,A45)</f>
        <v>23</v>
      </c>
    </row>
    <row r="46" spans="1:2" x14ac:dyDescent="0.3">
      <c r="A46">
        <v>1430047</v>
      </c>
      <c r="B46">
        <f>COUNTIF(Master!D:D,A46)</f>
        <v>8</v>
      </c>
    </row>
    <row r="47" spans="1:2" x14ac:dyDescent="0.3">
      <c r="A47">
        <v>1430048</v>
      </c>
      <c r="B47">
        <f>COUNTIF(Master!D:D,A47)</f>
        <v>30</v>
      </c>
    </row>
    <row r="48" spans="1:2" x14ac:dyDescent="0.3">
      <c r="A48">
        <v>1430999</v>
      </c>
      <c r="B48">
        <f>COUNTIF(Master!D:D,A48)</f>
        <v>0</v>
      </c>
    </row>
    <row r="49" spans="1:2" x14ac:dyDescent="0.3">
      <c r="A49">
        <v>1431999</v>
      </c>
      <c r="B49">
        <f>COUNTIF(Master!D:D,A49)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4C4E-00BB-4B6E-AED7-E3C856ED8AA8}">
  <sheetPr codeName="Sheet1"/>
  <dimension ref="A5:F902"/>
  <sheetViews>
    <sheetView workbookViewId="0">
      <pane ySplit="5" topLeftCell="A6" activePane="bottomLeft" state="frozen"/>
      <selection pane="bottomLeft" activeCell="J15" sqref="J15"/>
    </sheetView>
  </sheetViews>
  <sheetFormatPr defaultRowHeight="14.4" x14ac:dyDescent="0.3"/>
  <cols>
    <col min="1" max="1" width="9.5546875" bestFit="1" customWidth="1"/>
    <col min="2" max="2" width="35.6640625" bestFit="1" customWidth="1"/>
    <col min="3" max="3" width="50" bestFit="1" customWidth="1"/>
    <col min="4" max="4" width="18" bestFit="1" customWidth="1"/>
    <col min="5" max="5" width="10" bestFit="1" customWidth="1"/>
    <col min="6" max="6" width="10.6640625" bestFit="1" customWidth="1"/>
  </cols>
  <sheetData>
    <row r="5" spans="1:6" ht="15" thickBot="1" x14ac:dyDescent="0.35">
      <c r="A5" s="2" t="s">
        <v>1411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3">
      <c r="A6">
        <v>243918</v>
      </c>
      <c r="B6" t="str">
        <f>VLOOKUP($A6,[1]Export!$G$2:$N$2737,COLUMN(),FALSE)</f>
        <v>McGlinchey's Bar &amp; Grill</v>
      </c>
      <c r="C6" t="s">
        <v>367</v>
      </c>
      <c r="D6">
        <v>1430017</v>
      </c>
      <c r="E6">
        <v>39.947749999999999</v>
      </c>
      <c r="F6">
        <v>-75.166150999999999</v>
      </c>
    </row>
    <row r="7" spans="1:6" x14ac:dyDescent="0.3">
      <c r="A7">
        <v>245918</v>
      </c>
      <c r="B7" t="str">
        <f>VLOOKUP($A7,[1]Export!$G$2:$N$2737,COLUMN(),FALSE)</f>
        <v>Covenant Fellowship Church</v>
      </c>
      <c r="C7" t="s">
        <v>421</v>
      </c>
      <c r="D7">
        <v>1430016</v>
      </c>
      <c r="E7">
        <v>39.879427</v>
      </c>
      <c r="F7">
        <v>-75.519986000000003</v>
      </c>
    </row>
    <row r="8" spans="1:6" x14ac:dyDescent="0.3">
      <c r="A8">
        <v>270093</v>
      </c>
      <c r="B8" t="str">
        <f>VLOOKUP($A8,[1]Export!$G$2:$N$2737,COLUMN(),FALSE)</f>
        <v>St Dorothy Parish</v>
      </c>
      <c r="C8" t="s">
        <v>494</v>
      </c>
      <c r="D8">
        <v>1430001</v>
      </c>
      <c r="E8">
        <v>39.956449999999997</v>
      </c>
      <c r="F8">
        <v>-75.319986</v>
      </c>
    </row>
    <row r="9" spans="1:6" x14ac:dyDescent="0.3">
      <c r="A9">
        <v>272447</v>
      </c>
      <c r="B9" t="str">
        <f>VLOOKUP($A9,[1]Export!$G$2:$N$2737,COLUMN(),FALSE)</f>
        <v>Hill Top Preparatory School</v>
      </c>
      <c r="C9" t="s">
        <v>502</v>
      </c>
      <c r="D9">
        <v>1430016</v>
      </c>
      <c r="E9">
        <v>40.015650999999998</v>
      </c>
      <c r="F9">
        <v>-75.354084</v>
      </c>
    </row>
    <row r="10" spans="1:6" x14ac:dyDescent="0.3">
      <c r="A10">
        <v>296933</v>
      </c>
      <c r="B10" t="str">
        <f>VLOOKUP($A10,[1]Export!$G$2:$N$2737,COLUMN(),FALSE)</f>
        <v>Delaware County Intermediate U</v>
      </c>
      <c r="C10" t="s">
        <v>586</v>
      </c>
      <c r="D10">
        <v>1430001</v>
      </c>
      <c r="E10">
        <v>39.906191999999997</v>
      </c>
      <c r="F10">
        <v>-75.332462000000007</v>
      </c>
    </row>
    <row r="11" spans="1:6" x14ac:dyDescent="0.3">
      <c r="A11">
        <v>299777</v>
      </c>
      <c r="B11" t="str">
        <f>VLOOKUP($A11,[1]Export!$G$2:$N$2737,COLUMN(),FALSE)</f>
        <v>Haverford College</v>
      </c>
      <c r="C11" t="s">
        <v>606</v>
      </c>
      <c r="D11">
        <v>1430016</v>
      </c>
      <c r="E11">
        <v>40.011754000000003</v>
      </c>
      <c r="F11">
        <v>-75.299429000000003</v>
      </c>
    </row>
    <row r="12" spans="1:6" x14ac:dyDescent="0.3">
      <c r="A12">
        <v>305473</v>
      </c>
      <c r="B12" t="str">
        <f>VLOOKUP($A12,[1]Export!$G$2:$N$2737,COLUMN(),FALSE)</f>
        <v>Penn Oaks Golf Club</v>
      </c>
      <c r="C12" t="s">
        <v>1681</v>
      </c>
      <c r="D12">
        <v>1430016</v>
      </c>
      <c r="E12">
        <v>39.908520000000003</v>
      </c>
      <c r="F12">
        <v>-75.560590000000005</v>
      </c>
    </row>
    <row r="13" spans="1:6" x14ac:dyDescent="0.3">
      <c r="A13">
        <v>322083</v>
      </c>
      <c r="B13" t="str">
        <f>VLOOKUP($A13,[1]Export!$G$2:$N$2737,COLUMN(),FALSE)</f>
        <v>Calvary Chapel of Delaware Cou</v>
      </c>
      <c r="C13" t="s">
        <v>700</v>
      </c>
      <c r="D13">
        <v>1430016</v>
      </c>
      <c r="E13">
        <v>39.882412000000002</v>
      </c>
      <c r="F13">
        <v>-75.555278000000001</v>
      </c>
    </row>
    <row r="14" spans="1:6" x14ac:dyDescent="0.3">
      <c r="A14">
        <v>322474</v>
      </c>
      <c r="B14" t="str">
        <f>VLOOKUP($A14,[1]Export!$G$2:$N$2737,COLUMN(),FALSE)</f>
        <v>Fox &amp; Roach</v>
      </c>
      <c r="C14" t="s">
        <v>702</v>
      </c>
      <c r="D14">
        <v>1430016</v>
      </c>
      <c r="E14">
        <v>40.011389999999999</v>
      </c>
      <c r="F14">
        <v>-75.298180000000002</v>
      </c>
    </row>
    <row r="15" spans="1:6" x14ac:dyDescent="0.3">
      <c r="A15">
        <v>332037</v>
      </c>
      <c r="B15" t="str">
        <f>VLOOKUP($A15,[1]Export!$G$2:$N$2737,COLUMN(),FALSE)</f>
        <v>Kingsway Regional School Distr</v>
      </c>
      <c r="C15" t="s">
        <v>734</v>
      </c>
      <c r="D15">
        <v>1430010</v>
      </c>
      <c r="E15">
        <v>39.761493000000002</v>
      </c>
      <c r="F15">
        <v>-75.292474999999996</v>
      </c>
    </row>
    <row r="16" spans="1:6" x14ac:dyDescent="0.3">
      <c r="A16">
        <v>345060</v>
      </c>
      <c r="B16" t="str">
        <f>VLOOKUP($A16,[1]Export!$G$2:$N$2737,COLUMN(),FALSE)</f>
        <v>Chester Charter Scholars Acade</v>
      </c>
      <c r="C16" t="s">
        <v>775</v>
      </c>
      <c r="D16">
        <v>1430001</v>
      </c>
      <c r="E16">
        <v>39.838726999999999</v>
      </c>
      <c r="F16">
        <v>-75.399327</v>
      </c>
    </row>
    <row r="17" spans="1:6" x14ac:dyDescent="0.3">
      <c r="A17">
        <v>416930</v>
      </c>
      <c r="B17" t="str">
        <f>VLOOKUP($A17,[1]Export!$G$2:$N$2737,COLUMN(),FALSE)</f>
        <v>RTMSD Maintenance &amp; Operations</v>
      </c>
      <c r="C17" t="s">
        <v>861</v>
      </c>
      <c r="D17">
        <v>1430001</v>
      </c>
      <c r="E17">
        <v>39.923110999999999</v>
      </c>
      <c r="F17">
        <v>-75.430684999999997</v>
      </c>
    </row>
    <row r="18" spans="1:6" x14ac:dyDescent="0.3">
      <c r="A18">
        <v>417692</v>
      </c>
      <c r="B18" t="str">
        <f>VLOOKUP($A18,[1]Export!$G$2:$N$2737,COLUMN(),FALSE)</f>
        <v>Kimberly - Clark Chester Mill</v>
      </c>
      <c r="C18" t="s">
        <v>1708</v>
      </c>
      <c r="D18">
        <v>1430001</v>
      </c>
      <c r="E18">
        <v>39.845356000000002</v>
      </c>
      <c r="F18">
        <v>-75.356891000000005</v>
      </c>
    </row>
    <row r="19" spans="1:6" x14ac:dyDescent="0.3">
      <c r="A19">
        <v>419196</v>
      </c>
      <c r="B19" t="str">
        <f>VLOOKUP($A19,[1]Export!$G$2:$N$2737,COLUMN(),FALSE)</f>
        <v>Indian Lane Elementary School</v>
      </c>
      <c r="C19" t="s">
        <v>986</v>
      </c>
      <c r="D19">
        <v>1430001</v>
      </c>
      <c r="E19">
        <v>39.904148999999997</v>
      </c>
      <c r="F19">
        <v>-75.406475999999998</v>
      </c>
    </row>
    <row r="20" spans="1:6" x14ac:dyDescent="0.3">
      <c r="A20">
        <v>419197</v>
      </c>
      <c r="B20" t="str">
        <f>VLOOKUP($A20,[1]Export!$G$2:$N$2737,COLUMN(),FALSE)</f>
        <v>Media Elementary School</v>
      </c>
      <c r="C20" t="s">
        <v>988</v>
      </c>
      <c r="D20">
        <v>1430001</v>
      </c>
      <c r="E20">
        <v>39.918349999999997</v>
      </c>
      <c r="F20">
        <v>-75.386420000000001</v>
      </c>
    </row>
    <row r="21" spans="1:6" x14ac:dyDescent="0.3">
      <c r="A21">
        <v>419199</v>
      </c>
      <c r="B21" t="str">
        <f>VLOOKUP($A21,[1]Export!$G$2:$N$2737,COLUMN(),FALSE)</f>
        <v>Springton Lake Middle School</v>
      </c>
      <c r="C21" t="s">
        <v>990</v>
      </c>
      <c r="D21">
        <v>1430001</v>
      </c>
      <c r="E21">
        <v>39.944051999999999</v>
      </c>
      <c r="F21">
        <v>-75.399518</v>
      </c>
    </row>
    <row r="22" spans="1:6" x14ac:dyDescent="0.3">
      <c r="A22">
        <v>419200</v>
      </c>
      <c r="B22" t="str">
        <f>VLOOKUP($A22,[1]Export!$G$2:$N$2737,COLUMN(),FALSE)</f>
        <v>Penncrest High School</v>
      </c>
      <c r="C22" t="s">
        <v>861</v>
      </c>
      <c r="D22">
        <v>1430001</v>
      </c>
      <c r="E22">
        <v>39.923110999999999</v>
      </c>
      <c r="F22">
        <v>-75.430684999999997</v>
      </c>
    </row>
    <row r="23" spans="1:6" x14ac:dyDescent="0.3">
      <c r="A23">
        <v>450163</v>
      </c>
      <c r="B23" t="str">
        <f>VLOOKUP($A23,[1]Export!$G$2:$N$2737,COLUMN(),FALSE)</f>
        <v>Knowledge A to Z Charter Schoo</v>
      </c>
      <c r="C23" t="s">
        <v>1157</v>
      </c>
      <c r="D23">
        <v>1430017</v>
      </c>
      <c r="E23">
        <v>39.933714999999999</v>
      </c>
      <c r="F23">
        <v>-75.097601999999995</v>
      </c>
    </row>
    <row r="24" spans="1:6" x14ac:dyDescent="0.3">
      <c r="A24">
        <v>471995</v>
      </c>
      <c r="B24" t="str">
        <f>VLOOKUP($A24,[1]Export!$G$2:$N$2737,COLUMN(),FALSE)</f>
        <v>BMW of the Main Line</v>
      </c>
      <c r="C24" t="s">
        <v>1325</v>
      </c>
      <c r="D24">
        <v>1430016</v>
      </c>
      <c r="E24">
        <v>40.005721999999999</v>
      </c>
      <c r="F24">
        <v>-75.231791000000001</v>
      </c>
    </row>
    <row r="25" spans="1:6" x14ac:dyDescent="0.3">
      <c r="A25">
        <v>479144</v>
      </c>
      <c r="B25" t="str">
        <f>VLOOKUP($A25,[1]Export!$G$2:$N$2737,COLUMN(),FALSE)</f>
        <v>Aston</v>
      </c>
      <c r="C25" t="s">
        <v>1345</v>
      </c>
      <c r="D25">
        <v>1430001</v>
      </c>
      <c r="E25">
        <v>39.882227</v>
      </c>
      <c r="F25">
        <v>-75.453924999999998</v>
      </c>
    </row>
    <row r="26" spans="1:6" x14ac:dyDescent="0.3">
      <c r="A26">
        <v>479155</v>
      </c>
      <c r="B26" t="str">
        <f>VLOOKUP($A26,[1]Export!$G$2:$N$2737,COLUMN(),FALSE)</f>
        <v>Marple</v>
      </c>
      <c r="C26" t="s">
        <v>1347</v>
      </c>
      <c r="D26">
        <v>1430016</v>
      </c>
      <c r="E26">
        <v>39.988563999999997</v>
      </c>
      <c r="F26">
        <v>-75.367115999999996</v>
      </c>
    </row>
    <row r="27" spans="1:6" x14ac:dyDescent="0.3">
      <c r="A27">
        <v>479156</v>
      </c>
      <c r="B27" t="str">
        <f>VLOOKUP($A27,[1]Export!$G$2:$N$2737,COLUMN(),FALSE)</f>
        <v>Folcroft</v>
      </c>
      <c r="C27" t="s">
        <v>1349</v>
      </c>
      <c r="D27">
        <v>1430001</v>
      </c>
      <c r="E27">
        <v>39.892327999999999</v>
      </c>
      <c r="F27">
        <v>-75.279820999999998</v>
      </c>
    </row>
    <row r="28" spans="1:6" x14ac:dyDescent="0.3">
      <c r="A28">
        <v>243402</v>
      </c>
      <c r="B28" t="str">
        <f>VLOOKUP($A28,[1]Export!$G$2:$N$2737,COLUMN(),FALSE)</f>
        <v>Episcopal Academy</v>
      </c>
      <c r="C28" t="s">
        <v>349</v>
      </c>
      <c r="D28">
        <v>1430016</v>
      </c>
      <c r="E28">
        <v>40.004919999999998</v>
      </c>
      <c r="F28">
        <v>-75.428945999999996</v>
      </c>
    </row>
    <row r="29" spans="1:6" x14ac:dyDescent="0.3">
      <c r="A29">
        <v>246241</v>
      </c>
      <c r="B29" t="str">
        <f>VLOOKUP($A29,[1]Export!$G$2:$N$2737,COLUMN(),FALSE)</f>
        <v>Scott Honda of West Chester</v>
      </c>
      <c r="C29" t="s">
        <v>428</v>
      </c>
      <c r="D29">
        <v>1430016</v>
      </c>
      <c r="E29">
        <v>39.954438000000003</v>
      </c>
      <c r="F29">
        <v>-75.586223000000004</v>
      </c>
    </row>
    <row r="30" spans="1:6" x14ac:dyDescent="0.3">
      <c r="A30">
        <v>297728</v>
      </c>
      <c r="B30" t="str">
        <f>VLOOKUP($A30,[1]Export!$G$2:$N$2737,COLUMN(),FALSE)</f>
        <v>Bible Baptist Church</v>
      </c>
      <c r="C30" t="s">
        <v>594</v>
      </c>
      <c r="D30">
        <v>1430016</v>
      </c>
      <c r="E30">
        <v>39.981588000000002</v>
      </c>
      <c r="F30">
        <v>-75.569514999999996</v>
      </c>
    </row>
    <row r="31" spans="1:6" x14ac:dyDescent="0.3">
      <c r="A31">
        <v>323329</v>
      </c>
      <c r="B31" t="str">
        <f>VLOOKUP($A31,[1]Export!$G$2:$N$2737,COLUMN(),FALSE)</f>
        <v>CHRIST COMMUNITY CHURCH</v>
      </c>
      <c r="C31" t="s">
        <v>706</v>
      </c>
      <c r="D31">
        <v>1430016</v>
      </c>
      <c r="E31">
        <v>39.993592999999997</v>
      </c>
      <c r="F31">
        <v>-75.595584000000002</v>
      </c>
    </row>
    <row r="32" spans="1:6" x14ac:dyDescent="0.3">
      <c r="A32">
        <v>325399</v>
      </c>
      <c r="B32" t="str">
        <f>VLOOKUP($A32,[1]Export!$G$2:$N$2737,COLUMN(),FALSE)</f>
        <v>ADVENT LUTHERAN CHURCH</v>
      </c>
      <c r="C32" t="s">
        <v>716</v>
      </c>
      <c r="D32">
        <v>1430016</v>
      </c>
      <c r="E32">
        <v>39.962823</v>
      </c>
      <c r="F32">
        <v>-75.519326000000007</v>
      </c>
    </row>
    <row r="33" spans="1:6" x14ac:dyDescent="0.3">
      <c r="A33">
        <v>424135</v>
      </c>
      <c r="B33" t="str">
        <f>VLOOKUP($A33,[1]Export!$G$2:$N$2737,COLUMN(),FALSE)</f>
        <v>DISTRICT WAREHOUSE</v>
      </c>
      <c r="C33" t="s">
        <v>1009</v>
      </c>
      <c r="D33">
        <v>1430016</v>
      </c>
      <c r="E33">
        <v>39.999476999999999</v>
      </c>
      <c r="F33">
        <v>-75.586648999999994</v>
      </c>
    </row>
    <row r="34" spans="1:6" x14ac:dyDescent="0.3">
      <c r="A34">
        <v>480736</v>
      </c>
      <c r="B34" t="str">
        <f>VLOOKUP($A34,[1]Export!$G$2:$N$2737,COLUMN(),FALSE)</f>
        <v>Extra Space Storage</v>
      </c>
      <c r="C34" t="s">
        <v>1750</v>
      </c>
      <c r="D34">
        <v>1430016</v>
      </c>
      <c r="E34">
        <v>39.997607000000002</v>
      </c>
      <c r="F34">
        <v>-75.592209999999994</v>
      </c>
    </row>
    <row r="35" spans="1:6" x14ac:dyDescent="0.3">
      <c r="A35">
        <v>243049</v>
      </c>
      <c r="B35" t="str">
        <f>VLOOKUP($A35,[1]Export!$G$2:$N$2737,COLUMN(),FALSE)</f>
        <v>Bucks County Technical High Sc</v>
      </c>
      <c r="C35" t="s">
        <v>1646</v>
      </c>
      <c r="D35">
        <v>1430003</v>
      </c>
      <c r="E35">
        <v>40.159889999999997</v>
      </c>
      <c r="F35">
        <v>-74.853210000000004</v>
      </c>
    </row>
    <row r="36" spans="1:6" x14ac:dyDescent="0.3">
      <c r="A36">
        <v>243426</v>
      </c>
      <c r="B36" t="str">
        <f>VLOOKUP($A36,[1]Export!$G$2:$N$2737,COLUMN(),FALSE)</f>
        <v>Faith Baptist Church-Fairless</v>
      </c>
      <c r="C36" t="s">
        <v>351</v>
      </c>
      <c r="D36">
        <v>1430016</v>
      </c>
      <c r="E36">
        <v>40.166206000000003</v>
      </c>
      <c r="F36">
        <v>-74.868207999999996</v>
      </c>
    </row>
    <row r="37" spans="1:6" x14ac:dyDescent="0.3">
      <c r="A37">
        <v>244062</v>
      </c>
      <c r="B37" t="str">
        <f>VLOOKUP($A37,[1]Export!$G$2:$N$2737,COLUMN(),FALSE)</f>
        <v>Newtown Athletic &amp; Aquatic Clu</v>
      </c>
      <c r="C37" t="s">
        <v>373</v>
      </c>
      <c r="D37">
        <v>1430005</v>
      </c>
      <c r="E37">
        <v>40.222909999999999</v>
      </c>
      <c r="F37">
        <v>-74.911809000000005</v>
      </c>
    </row>
    <row r="38" spans="1:6" x14ac:dyDescent="0.3">
      <c r="A38">
        <v>245170</v>
      </c>
      <c r="B38" t="str">
        <f>VLOOKUP($A38,[1]Export!$G$2:$N$2737,COLUMN(),FALSE)</f>
        <v>Christian Life Church</v>
      </c>
      <c r="C38" t="s">
        <v>403</v>
      </c>
      <c r="D38">
        <v>1430016</v>
      </c>
      <c r="E38">
        <v>40.129916999999999</v>
      </c>
      <c r="F38">
        <v>-74.943909000000005</v>
      </c>
    </row>
    <row r="39" spans="1:6" x14ac:dyDescent="0.3">
      <c r="A39">
        <v>246000</v>
      </c>
      <c r="B39" t="str">
        <f>VLOOKUP($A39,[1]Export!$G$2:$N$2737,COLUMN(),FALSE)</f>
        <v>Pennswood Village</v>
      </c>
      <c r="C39" t="s">
        <v>1640</v>
      </c>
      <c r="D39">
        <v>1430005</v>
      </c>
      <c r="E39">
        <v>40.228518999999999</v>
      </c>
      <c r="F39">
        <v>-74.932417000000001</v>
      </c>
    </row>
    <row r="40" spans="1:6" x14ac:dyDescent="0.3">
      <c r="A40">
        <v>246234</v>
      </c>
      <c r="B40" t="str">
        <f>VLOOKUP($A40,[1]Export!$G$2:$N$2737,COLUMN(),FALSE)</f>
        <v>Morrisville School District</v>
      </c>
      <c r="C40" t="s">
        <v>426</v>
      </c>
      <c r="D40">
        <v>1430005</v>
      </c>
      <c r="E40">
        <v>40.208801999999999</v>
      </c>
      <c r="F40">
        <v>-74.789079000000001</v>
      </c>
    </row>
    <row r="41" spans="1:6" x14ac:dyDescent="0.3">
      <c r="A41">
        <v>265138</v>
      </c>
      <c r="B41" t="str">
        <f>VLOOKUP($A41,[1]Export!$G$2:$N$2737,COLUMN(),FALSE)</f>
        <v>Congregation Kol Emet</v>
      </c>
      <c r="C41" t="s">
        <v>474</v>
      </c>
      <c r="D41">
        <v>1430003</v>
      </c>
      <c r="E41">
        <v>40.216276999999998</v>
      </c>
      <c r="F41">
        <v>-74.854664999999997</v>
      </c>
    </row>
    <row r="42" spans="1:6" x14ac:dyDescent="0.3">
      <c r="A42">
        <v>272530</v>
      </c>
      <c r="B42" t="str">
        <f>VLOOKUP($A42,[1]Export!$G$2:$N$2737,COLUMN(),FALSE)</f>
        <v>St Ephrem Church and School</v>
      </c>
      <c r="C42" t="s">
        <v>504</v>
      </c>
      <c r="D42">
        <v>1430016</v>
      </c>
      <c r="E42">
        <v>40.125867</v>
      </c>
      <c r="F42">
        <v>-74.927803999999995</v>
      </c>
    </row>
    <row r="43" spans="1:6" x14ac:dyDescent="0.3">
      <c r="A43">
        <v>284678</v>
      </c>
      <c r="B43" t="str">
        <f>VLOOKUP($A43,[1]Export!$G$2:$N$2737,COLUMN(),FALSE)</f>
        <v>Holy Family Regional Catholic</v>
      </c>
      <c r="C43" t="s">
        <v>544</v>
      </c>
      <c r="D43">
        <v>1430016</v>
      </c>
      <c r="E43">
        <v>40.164416000000003</v>
      </c>
      <c r="F43">
        <v>-74.879621999999998</v>
      </c>
    </row>
    <row r="44" spans="1:6" x14ac:dyDescent="0.3">
      <c r="A44">
        <v>313002</v>
      </c>
      <c r="B44" t="str">
        <f>VLOOKUP($A44,[1]Export!$G$2:$N$2737,COLUMN(),FALSE)</f>
        <v>Solebury School</v>
      </c>
      <c r="C44" t="s">
        <v>666</v>
      </c>
      <c r="D44">
        <v>1430005</v>
      </c>
      <c r="E44">
        <v>40.380088999999998</v>
      </c>
      <c r="F44">
        <v>-74.989948999999996</v>
      </c>
    </row>
    <row r="45" spans="1:6" x14ac:dyDescent="0.3">
      <c r="A45">
        <v>313176</v>
      </c>
      <c r="B45" t="str">
        <f>VLOOKUP($A45,[1]Export!$G$2:$N$2737,COLUMN(),FALSE)</f>
        <v>St Mary Rehabilitation Hospita</v>
      </c>
      <c r="C45" t="s">
        <v>670</v>
      </c>
      <c r="D45">
        <v>1430016</v>
      </c>
      <c r="E45">
        <v>40.200589000000001</v>
      </c>
      <c r="F45">
        <v>-74.932328999999996</v>
      </c>
    </row>
    <row r="46" spans="1:6" x14ac:dyDescent="0.3">
      <c r="A46">
        <v>318760</v>
      </c>
      <c r="B46" t="str">
        <f>VLOOKUP($A46,[1]Export!$G$2:$N$2737,COLUMN(),FALSE)</f>
        <v>Chandler Hall</v>
      </c>
      <c r="C46" t="s">
        <v>684</v>
      </c>
      <c r="D46">
        <v>1430016</v>
      </c>
      <c r="E46">
        <v>40.221387</v>
      </c>
      <c r="F46">
        <v>-74.939626000000004</v>
      </c>
    </row>
    <row r="47" spans="1:6" x14ac:dyDescent="0.3">
      <c r="A47">
        <v>329340</v>
      </c>
      <c r="B47" t="str">
        <f>VLOOKUP($A47,[1]Export!$G$2:$N$2737,COLUMN(),FALSE)</f>
        <v>George School</v>
      </c>
      <c r="C47" t="s">
        <v>720</v>
      </c>
      <c r="D47">
        <v>1430016</v>
      </c>
      <c r="E47">
        <v>40.212989999999998</v>
      </c>
      <c r="F47">
        <v>-74.940820000000002</v>
      </c>
    </row>
    <row r="48" spans="1:6" x14ac:dyDescent="0.3">
      <c r="A48">
        <v>416141</v>
      </c>
      <c r="B48" t="str">
        <f>VLOOKUP($A48,[1]Export!$G$2:$N$2737,COLUMN(),FALSE)</f>
        <v>Afton Elementary School</v>
      </c>
      <c r="C48" t="s">
        <v>833</v>
      </c>
      <c r="D48">
        <v>1430005</v>
      </c>
      <c r="E48">
        <v>40.244570000000003</v>
      </c>
      <c r="F48">
        <v>-74.876542000000001</v>
      </c>
    </row>
    <row r="49" spans="1:6" x14ac:dyDescent="0.3">
      <c r="A49">
        <v>416587</v>
      </c>
      <c r="B49" t="str">
        <f>VLOOKUP($A49,[1]Export!$G$2:$N$2737,COLUMN(),FALSE)</f>
        <v>Charles Boehm Middle School</v>
      </c>
      <c r="C49" t="s">
        <v>847</v>
      </c>
      <c r="D49">
        <v>1430003</v>
      </c>
      <c r="E49">
        <v>40.209035999999998</v>
      </c>
      <c r="F49">
        <v>-74.827101999999996</v>
      </c>
    </row>
    <row r="50" spans="1:6" x14ac:dyDescent="0.3">
      <c r="A50">
        <v>417133</v>
      </c>
      <c r="B50" t="str">
        <f>VLOOKUP($A50,[1]Export!$G$2:$N$2737,COLUMN(),FALSE)</f>
        <v>Edgewood Elementary School</v>
      </c>
      <c r="C50" t="s">
        <v>869</v>
      </c>
      <c r="D50">
        <v>1430005</v>
      </c>
      <c r="E50">
        <v>40.225588999999999</v>
      </c>
      <c r="F50">
        <v>-74.837260999999998</v>
      </c>
    </row>
    <row r="51" spans="1:6" x14ac:dyDescent="0.3">
      <c r="A51">
        <v>417335</v>
      </c>
      <c r="B51" t="str">
        <f>VLOOKUP($A51,[1]Export!$G$2:$N$2737,COLUMN(),FALSE)</f>
        <v>Hibbert Group</v>
      </c>
      <c r="C51" t="s">
        <v>1705</v>
      </c>
      <c r="D51">
        <v>1430005</v>
      </c>
      <c r="E51">
        <v>40.234338999999999</v>
      </c>
      <c r="F51">
        <v>-74.769479000000004</v>
      </c>
    </row>
    <row r="52" spans="1:6" x14ac:dyDescent="0.3">
      <c r="A52">
        <v>417957</v>
      </c>
      <c r="B52" t="str">
        <f>VLOOKUP($A52,[1]Export!$G$2:$N$2737,COLUMN(),FALSE)</f>
        <v>Makefield Elementary School</v>
      </c>
      <c r="C52" t="s">
        <v>896</v>
      </c>
      <c r="D52">
        <v>1430005</v>
      </c>
      <c r="E52">
        <v>40.223053999999998</v>
      </c>
      <c r="F52">
        <v>-74.820443999999995</v>
      </c>
    </row>
    <row r="53" spans="1:6" x14ac:dyDescent="0.3">
      <c r="A53">
        <v>417963</v>
      </c>
      <c r="B53" t="str">
        <f>VLOOKUP($A53,[1]Export!$G$2:$N$2737,COLUMN(),FALSE)</f>
        <v>Manor Elementary School</v>
      </c>
      <c r="C53" t="s">
        <v>898</v>
      </c>
      <c r="D53">
        <v>1430016</v>
      </c>
      <c r="E53">
        <v>40.171660000000003</v>
      </c>
      <c r="F53">
        <v>-74.820898999999997</v>
      </c>
    </row>
    <row r="54" spans="1:6" x14ac:dyDescent="0.3">
      <c r="A54">
        <v>418156</v>
      </c>
      <c r="B54" t="str">
        <f>VLOOKUP($A54,[1]Export!$G$2:$N$2737,COLUMN(),FALSE)</f>
        <v>Central Receiving Department</v>
      </c>
      <c r="C54" t="s">
        <v>1641</v>
      </c>
      <c r="D54">
        <v>1430016</v>
      </c>
      <c r="E54">
        <v>40.157806999999998</v>
      </c>
      <c r="F54">
        <v>-74.948453000000001</v>
      </c>
    </row>
    <row r="55" spans="1:6" x14ac:dyDescent="0.3">
      <c r="A55">
        <v>418301</v>
      </c>
      <c r="B55" t="str">
        <f>VLOOKUP($A55,[1]Export!$G$2:$N$2737,COLUMN(),FALSE)</f>
        <v>Penn Valley Elementary School</v>
      </c>
      <c r="C55" t="s">
        <v>1647</v>
      </c>
      <c r="D55">
        <v>1430016</v>
      </c>
      <c r="E55">
        <v>40.162672999999998</v>
      </c>
      <c r="F55">
        <v>-74.817812000000004</v>
      </c>
    </row>
    <row r="56" spans="1:6" x14ac:dyDescent="0.3">
      <c r="A56">
        <v>418321</v>
      </c>
      <c r="B56" t="str">
        <f>VLOOKUP($A56,[1]Export!$G$2:$N$2737,COLUMN(),FALSE)</f>
        <v>West Campus - Pennsbury High S</v>
      </c>
      <c r="C56" t="s">
        <v>918</v>
      </c>
      <c r="D56">
        <v>1430003</v>
      </c>
      <c r="E56">
        <v>40.177030000000002</v>
      </c>
      <c r="F56">
        <v>-74.842389999999995</v>
      </c>
    </row>
    <row r="57" spans="1:6" x14ac:dyDescent="0.3">
      <c r="A57">
        <v>418322</v>
      </c>
      <c r="B57" t="str">
        <f>VLOOKUP($A57,[1]Export!$G$2:$N$2737,COLUMN(),FALSE)</f>
        <v>East Campus - Pennsbury High S</v>
      </c>
      <c r="C57" t="s">
        <v>920</v>
      </c>
      <c r="D57">
        <v>1430003</v>
      </c>
      <c r="E57">
        <v>40.173589999999997</v>
      </c>
      <c r="F57">
        <v>-74.836342000000002</v>
      </c>
    </row>
    <row r="58" spans="1:6" x14ac:dyDescent="0.3">
      <c r="A58">
        <v>418323</v>
      </c>
      <c r="B58" t="str">
        <f>VLOOKUP($A58,[1]Export!$G$2:$N$2737,COLUMN(),FALSE)</f>
        <v>Fallsington Elementary School</v>
      </c>
      <c r="C58" t="s">
        <v>922</v>
      </c>
      <c r="D58">
        <v>1430003</v>
      </c>
      <c r="E58">
        <v>40.189326000000001</v>
      </c>
      <c r="F58">
        <v>-74.818043000000003</v>
      </c>
    </row>
    <row r="59" spans="1:6" x14ac:dyDescent="0.3">
      <c r="A59">
        <v>418324</v>
      </c>
      <c r="B59" t="str">
        <f>VLOOKUP($A59,[1]Export!$G$2:$N$2737,COLUMN(),FALSE)</f>
        <v>Village Park Elementary School</v>
      </c>
      <c r="C59" t="s">
        <v>924</v>
      </c>
      <c r="D59">
        <v>1430003</v>
      </c>
      <c r="E59">
        <v>40.176265000000001</v>
      </c>
      <c r="F59">
        <v>-74.834731000000005</v>
      </c>
    </row>
    <row r="60" spans="1:6" x14ac:dyDescent="0.3">
      <c r="A60">
        <v>418325</v>
      </c>
      <c r="B60" t="str">
        <f>VLOOKUP($A60,[1]Export!$G$2:$N$2737,COLUMN(),FALSE)</f>
        <v>Oxford Valley Elementary Schoo</v>
      </c>
      <c r="C60" t="s">
        <v>926</v>
      </c>
      <c r="D60">
        <v>1430003</v>
      </c>
      <c r="E60">
        <v>40.178257000000002</v>
      </c>
      <c r="F60">
        <v>-74.851068999999995</v>
      </c>
    </row>
    <row r="61" spans="1:6" x14ac:dyDescent="0.3">
      <c r="A61">
        <v>418327</v>
      </c>
      <c r="B61" t="str">
        <f>VLOOKUP($A61,[1]Export!$G$2:$N$2737,COLUMN(),FALSE)</f>
        <v>Central Warehouse</v>
      </c>
      <c r="C61" t="s">
        <v>928</v>
      </c>
      <c r="D61">
        <v>1430003</v>
      </c>
      <c r="E61">
        <v>40.191460999999997</v>
      </c>
      <c r="F61">
        <v>-74.849881999999994</v>
      </c>
    </row>
    <row r="62" spans="1:6" x14ac:dyDescent="0.3">
      <c r="A62">
        <v>418331</v>
      </c>
      <c r="B62" t="str">
        <f>VLOOKUP($A62,[1]Export!$G$2:$N$2737,COLUMN(),FALSE)</f>
        <v>Pennwood Middle School</v>
      </c>
      <c r="C62" t="s">
        <v>930</v>
      </c>
      <c r="D62">
        <v>1430003</v>
      </c>
      <c r="E62">
        <v>40.211736999999999</v>
      </c>
      <c r="F62">
        <v>-74.823443999999995</v>
      </c>
    </row>
    <row r="63" spans="1:6" x14ac:dyDescent="0.3">
      <c r="A63">
        <v>418438</v>
      </c>
      <c r="B63" t="str">
        <f>VLOOKUP($A63,[1]Export!$G$2:$N$2737,COLUMN(),FALSE)</f>
        <v>Quarry Hill Elementary School</v>
      </c>
      <c r="C63" t="s">
        <v>952</v>
      </c>
      <c r="D63">
        <v>1430005</v>
      </c>
      <c r="E63">
        <v>40.244843000000003</v>
      </c>
      <c r="F63">
        <v>-74.873107000000005</v>
      </c>
    </row>
    <row r="64" spans="1:6" x14ac:dyDescent="0.3">
      <c r="A64">
        <v>418512</v>
      </c>
      <c r="B64" t="str">
        <f>VLOOKUP($A64,[1]Export!$G$2:$N$2737,COLUMN(),FALSE)</f>
        <v>Eleanor Roosevelt Elementary S</v>
      </c>
      <c r="C64" t="s">
        <v>960</v>
      </c>
      <c r="D64">
        <v>1430003</v>
      </c>
      <c r="E64">
        <v>40.200786000000001</v>
      </c>
      <c r="F64">
        <v>-74.826369</v>
      </c>
    </row>
    <row r="65" spans="1:6" x14ac:dyDescent="0.3">
      <c r="A65">
        <v>418544</v>
      </c>
      <c r="B65" t="str">
        <f>VLOOKUP($A65,[1]Export!$G$2:$N$2737,COLUMN(),FALSE)</f>
        <v>St Michael the Archangel Schoo</v>
      </c>
      <c r="C65" t="s">
        <v>962</v>
      </c>
      <c r="D65">
        <v>1430017</v>
      </c>
      <c r="E65">
        <v>40.143149000000001</v>
      </c>
      <c r="F65">
        <v>-74.818524999999994</v>
      </c>
    </row>
    <row r="66" spans="1:6" x14ac:dyDescent="0.3">
      <c r="A66">
        <v>418705</v>
      </c>
      <c r="B66" t="str">
        <f>VLOOKUP($A66,[1]Export!$G$2:$N$2737,COLUMN(),FALSE)</f>
        <v>St Andrew School CEC</v>
      </c>
      <c r="C66" t="s">
        <v>972</v>
      </c>
      <c r="D66">
        <v>1430005</v>
      </c>
      <c r="E66">
        <v>40.252260999999997</v>
      </c>
      <c r="F66">
        <v>-74.948491000000004</v>
      </c>
    </row>
    <row r="67" spans="1:6" x14ac:dyDescent="0.3">
      <c r="A67">
        <v>418972</v>
      </c>
      <c r="B67" t="str">
        <f>VLOOKUP($A67,[1]Export!$G$2:$N$2737,COLUMN(),FALSE)</f>
        <v>WALT DISNEY ELEMENTARY SCHOOL</v>
      </c>
      <c r="C67" t="s">
        <v>982</v>
      </c>
      <c r="D67">
        <v>1430017</v>
      </c>
      <c r="E67">
        <v>40.153736000000002</v>
      </c>
      <c r="F67">
        <v>-74.818672000000007</v>
      </c>
    </row>
    <row r="68" spans="1:6" x14ac:dyDescent="0.3">
      <c r="A68">
        <v>419026</v>
      </c>
      <c r="B68" t="str">
        <f>VLOOKUP($A68,[1]Export!$G$2:$N$2737,COLUMN(),FALSE)</f>
        <v>William Penn Middle School</v>
      </c>
      <c r="C68" t="s">
        <v>984</v>
      </c>
      <c r="D68">
        <v>1430003</v>
      </c>
      <c r="E68">
        <v>40.211275000000001</v>
      </c>
      <c r="F68">
        <v>-74.830340000000007</v>
      </c>
    </row>
    <row r="69" spans="1:6" x14ac:dyDescent="0.3">
      <c r="A69">
        <v>425206</v>
      </c>
      <c r="B69" t="str">
        <f>VLOOKUP($A69,[1]Export!$G$2:$N$2737,COLUMN(),FALSE)</f>
        <v>New Hope-Solebury Lower Elem.</v>
      </c>
      <c r="C69" t="s">
        <v>1027</v>
      </c>
      <c r="D69">
        <v>1430005</v>
      </c>
      <c r="E69">
        <v>40.363892999999997</v>
      </c>
      <c r="F69">
        <v>-74.967715999999996</v>
      </c>
    </row>
    <row r="70" spans="1:6" x14ac:dyDescent="0.3">
      <c r="A70">
        <v>434258</v>
      </c>
      <c r="B70" t="str">
        <f>VLOOKUP($A70,[1]Export!$G$2:$N$2737,COLUMN(),FALSE)</f>
        <v>New Hope-Solebury High School</v>
      </c>
      <c r="C70" t="s">
        <v>1085</v>
      </c>
      <c r="D70">
        <v>1430005</v>
      </c>
      <c r="E70">
        <v>40.365929999999999</v>
      </c>
      <c r="F70">
        <v>-74.959190000000007</v>
      </c>
    </row>
    <row r="71" spans="1:6" x14ac:dyDescent="0.3">
      <c r="A71">
        <v>434259</v>
      </c>
      <c r="B71" t="str">
        <f>VLOOKUP($A71,[1]Export!$G$2:$N$2737,COLUMN(),FALSE)</f>
        <v>New Hope-Solebury Middle Schoo</v>
      </c>
      <c r="C71" t="s">
        <v>1085</v>
      </c>
      <c r="D71">
        <v>1430005</v>
      </c>
      <c r="E71">
        <v>40.365929999999999</v>
      </c>
      <c r="F71">
        <v>-74.959190000000007</v>
      </c>
    </row>
    <row r="72" spans="1:6" x14ac:dyDescent="0.3">
      <c r="A72">
        <v>434260</v>
      </c>
      <c r="B72" t="str">
        <f>VLOOKUP($A72,[1]Export!$G$2:$N$2737,COLUMN(),FALSE)</f>
        <v>New Hope-Solebury Upper Elem S</v>
      </c>
      <c r="C72" t="s">
        <v>1088</v>
      </c>
      <c r="D72">
        <v>1430005</v>
      </c>
      <c r="E72">
        <v>40.367623999999999</v>
      </c>
      <c r="F72">
        <v>-74.959007999999997</v>
      </c>
    </row>
    <row r="73" spans="1:6" x14ac:dyDescent="0.3">
      <c r="A73">
        <v>442560</v>
      </c>
      <c r="B73" t="str">
        <f>VLOOKUP($A73,[1]Export!$G$2:$N$2737,COLUMN(),FALSE)</f>
        <v>Newtown Commons West Complex</v>
      </c>
      <c r="C73" t="s">
        <v>1120</v>
      </c>
      <c r="D73">
        <v>1430005</v>
      </c>
      <c r="E73">
        <v>40.227809000000001</v>
      </c>
      <c r="F73">
        <v>-74.920968000000002</v>
      </c>
    </row>
    <row r="74" spans="1:6" x14ac:dyDescent="0.3">
      <c r="A74">
        <v>456996</v>
      </c>
      <c r="B74" t="str">
        <f>VLOOKUP($A74,[1]Export!$G$2:$N$2737,COLUMN(),FALSE)</f>
        <v>BluePearl Veterinary Partners</v>
      </c>
      <c r="C74" t="s">
        <v>1190</v>
      </c>
      <c r="D74">
        <v>1430016</v>
      </c>
      <c r="E74">
        <v>40.163958999999998</v>
      </c>
      <c r="F74">
        <v>-74.898771999999994</v>
      </c>
    </row>
    <row r="75" spans="1:6" x14ac:dyDescent="0.3">
      <c r="A75">
        <v>464362</v>
      </c>
      <c r="B75" t="str">
        <f>VLOOKUP($A75,[1]Export!$G$2:$N$2737,COLUMN(),FALSE)</f>
        <v>Cornerstone Health &amp; Fitness</v>
      </c>
      <c r="C75" t="s">
        <v>1639</v>
      </c>
      <c r="D75">
        <v>1430005</v>
      </c>
      <c r="E75">
        <v>40.364212999999999</v>
      </c>
      <c r="F75">
        <v>-74.965804000000006</v>
      </c>
    </row>
    <row r="76" spans="1:6" x14ac:dyDescent="0.3">
      <c r="A76">
        <v>469362</v>
      </c>
      <c r="B76" t="str">
        <f>VLOOKUP($A76,[1]Export!$G$2:$N$2737,COLUMN(),FALSE)</f>
        <v>YMCA of Bucks Fairless Hills</v>
      </c>
      <c r="C76" t="s">
        <v>1292</v>
      </c>
      <c r="D76">
        <v>1430003</v>
      </c>
      <c r="E76">
        <v>40.16704</v>
      </c>
      <c r="F76">
        <v>-74.84451</v>
      </c>
    </row>
    <row r="77" spans="1:6" x14ac:dyDescent="0.3">
      <c r="A77">
        <v>472262</v>
      </c>
      <c r="B77" t="str">
        <f>VLOOKUP($A77,[1]Export!$G$2:$N$2737,COLUMN(),FALSE)</f>
        <v>Ewing Building &amp; Grounds Dept</v>
      </c>
      <c r="C77" t="s">
        <v>1327</v>
      </c>
      <c r="D77">
        <v>1430005</v>
      </c>
      <c r="E77">
        <v>40.265920000000001</v>
      </c>
      <c r="F77">
        <v>-74.759276</v>
      </c>
    </row>
    <row r="78" spans="1:6" x14ac:dyDescent="0.3">
      <c r="A78">
        <v>243116</v>
      </c>
      <c r="B78" t="str">
        <f>VLOOKUP($A78,[1]Export!$G$2:$N$2737,COLUMN(),FALSE)</f>
        <v>Centennial School District</v>
      </c>
      <c r="C78" t="s">
        <v>345</v>
      </c>
      <c r="D78">
        <v>1430016</v>
      </c>
      <c r="E78">
        <v>40.201532</v>
      </c>
      <c r="F78">
        <v>-75.078660999999997</v>
      </c>
    </row>
    <row r="79" spans="1:6" x14ac:dyDescent="0.3">
      <c r="A79">
        <v>244074</v>
      </c>
      <c r="B79" t="str">
        <f>VLOOKUP($A79,[1]Export!$G$2:$N$2737,COLUMN(),FALSE)</f>
        <v>North &amp; Southampton Reformed C</v>
      </c>
      <c r="C79" t="s">
        <v>377</v>
      </c>
      <c r="D79">
        <v>1430016</v>
      </c>
      <c r="E79">
        <v>40.181170000000002</v>
      </c>
      <c r="F79">
        <v>-75.015600000000006</v>
      </c>
    </row>
    <row r="80" spans="1:6" x14ac:dyDescent="0.3">
      <c r="A80">
        <v>245422</v>
      </c>
      <c r="B80" t="str">
        <f>VLOOKUP($A80,[1]Export!$G$2:$N$2737,COLUMN(),FALSE)</f>
        <v>Ron Reid Janitorial Services</v>
      </c>
      <c r="C80" t="s">
        <v>409</v>
      </c>
      <c r="D80">
        <v>1430016</v>
      </c>
      <c r="E80">
        <v>40.181998999999998</v>
      </c>
      <c r="F80">
        <v>-75.098838999999998</v>
      </c>
    </row>
    <row r="81" spans="1:6" x14ac:dyDescent="0.3">
      <c r="A81">
        <v>246418</v>
      </c>
      <c r="B81" t="str">
        <f>VLOOKUP($A81,[1]Export!$G$2:$N$2737,COLUMN(),FALSE)</f>
        <v>Tri-Century Eye Care, P.C.</v>
      </c>
      <c r="C81" t="s">
        <v>434</v>
      </c>
      <c r="D81">
        <v>1430016</v>
      </c>
      <c r="E81">
        <v>40.165638000000001</v>
      </c>
      <c r="F81">
        <v>-75.045529999999999</v>
      </c>
    </row>
    <row r="82" spans="1:6" x14ac:dyDescent="0.3">
      <c r="A82">
        <v>246473</v>
      </c>
      <c r="B82" t="str">
        <f>VLOOKUP($A82,[1]Export!$G$2:$N$2737,COLUMN(),FALSE)</f>
        <v>Upper Moreland School District</v>
      </c>
      <c r="C82" t="s">
        <v>438</v>
      </c>
      <c r="D82">
        <v>1430016</v>
      </c>
      <c r="E82">
        <v>40.157426000000001</v>
      </c>
      <c r="F82">
        <v>-75.108328999999998</v>
      </c>
    </row>
    <row r="83" spans="1:6" x14ac:dyDescent="0.3">
      <c r="A83">
        <v>246514</v>
      </c>
      <c r="B83" t="str">
        <f>VLOOKUP($A83,[1]Export!$G$2:$N$2737,COLUMN(),FALSE)</f>
        <v>Warminster Township Parks &amp; Re</v>
      </c>
      <c r="C83" t="s">
        <v>442</v>
      </c>
      <c r="D83">
        <v>1430016</v>
      </c>
      <c r="E83">
        <v>40.199826000000002</v>
      </c>
      <c r="F83">
        <v>-75.065479999999994</v>
      </c>
    </row>
    <row r="84" spans="1:6" x14ac:dyDescent="0.3">
      <c r="A84">
        <v>266748</v>
      </c>
      <c r="B84" t="str">
        <f>VLOOKUP($A84,[1]Export!$G$2:$N$2737,COLUMN(),FALSE)</f>
        <v>Elite Air Systems</v>
      </c>
      <c r="C84" t="s">
        <v>478</v>
      </c>
      <c r="D84">
        <v>1430016</v>
      </c>
      <c r="E84">
        <v>40.188827000000003</v>
      </c>
      <c r="F84">
        <v>-75.092367999999993</v>
      </c>
    </row>
    <row r="85" spans="1:6" x14ac:dyDescent="0.3">
      <c r="A85">
        <v>284104</v>
      </c>
      <c r="B85" t="str">
        <f>VLOOKUP($A85,[1]Export!$G$2:$N$2737,COLUMN(),FALSE)</f>
        <v>Multi Flow Industries L.P.</v>
      </c>
      <c r="C85" t="s">
        <v>540</v>
      </c>
      <c r="D85">
        <v>1430016</v>
      </c>
      <c r="E85">
        <v>40.161365000000004</v>
      </c>
      <c r="F85">
        <v>-75.055143000000001</v>
      </c>
    </row>
    <row r="86" spans="1:6" x14ac:dyDescent="0.3">
      <c r="A86">
        <v>295270</v>
      </c>
      <c r="B86" t="str">
        <f>VLOOKUP($A86,[1]Export!$G$2:$N$2737,COLUMN(),FALSE)</f>
        <v>Dreamline</v>
      </c>
      <c r="C86" t="s">
        <v>570</v>
      </c>
      <c r="D86">
        <v>1430016</v>
      </c>
      <c r="E86">
        <v>40.199520999999997</v>
      </c>
      <c r="F86">
        <v>-75.082561999999996</v>
      </c>
    </row>
    <row r="87" spans="1:6" x14ac:dyDescent="0.3">
      <c r="A87">
        <v>304821</v>
      </c>
      <c r="B87" t="str">
        <f>VLOOKUP($A87,[1]Export!$G$2:$N$2737,COLUMN(),FALSE)</f>
        <v>Horsham Athletic Club LLC</v>
      </c>
      <c r="C87" t="s">
        <v>624</v>
      </c>
      <c r="D87">
        <v>1430016</v>
      </c>
      <c r="E87">
        <v>40.183830999999998</v>
      </c>
      <c r="F87">
        <v>-75.136796000000004</v>
      </c>
    </row>
    <row r="88" spans="1:6" x14ac:dyDescent="0.3">
      <c r="A88">
        <v>340988</v>
      </c>
      <c r="B88" t="str">
        <f>VLOOKUP($A88,[1]Export!$G$2:$N$2737,COLUMN(),FALSE)</f>
        <v>GLANZMANN SUBARU INC</v>
      </c>
      <c r="C88" t="s">
        <v>1699</v>
      </c>
      <c r="D88">
        <v>1430016</v>
      </c>
      <c r="E88">
        <v>40.161425999999999</v>
      </c>
      <c r="F88">
        <v>-75.109516999999997</v>
      </c>
    </row>
    <row r="89" spans="1:6" x14ac:dyDescent="0.3">
      <c r="A89">
        <v>345521</v>
      </c>
      <c r="B89" t="str">
        <f>VLOOKUP($A89,[1]Export!$G$2:$N$2737,COLUMN(),FALSE)</f>
        <v>Ron Hopp</v>
      </c>
      <c r="C89" t="s">
        <v>785</v>
      </c>
      <c r="D89">
        <v>1430016</v>
      </c>
      <c r="E89">
        <v>40.169879999999999</v>
      </c>
      <c r="F89">
        <v>-75.09948</v>
      </c>
    </row>
    <row r="90" spans="1:6" x14ac:dyDescent="0.3">
      <c r="A90">
        <v>457721</v>
      </c>
      <c r="B90" t="str">
        <f>VLOOKUP($A90,[1]Export!$G$2:$N$2737,COLUMN(),FALSE)</f>
        <v>ELMA Electronic Inc.</v>
      </c>
      <c r="C90" t="s">
        <v>1194</v>
      </c>
      <c r="D90">
        <v>1430016</v>
      </c>
      <c r="E90">
        <v>40.172339999999998</v>
      </c>
      <c r="F90">
        <v>-75.133920000000003</v>
      </c>
    </row>
    <row r="91" spans="1:6" x14ac:dyDescent="0.3">
      <c r="A91">
        <v>459965</v>
      </c>
      <c r="B91" t="str">
        <f>VLOOKUP($A91,[1]Export!$G$2:$N$2737,COLUMN(),FALSE)</f>
        <v>Work Space Property Trust L.P</v>
      </c>
      <c r="C91" t="s">
        <v>1202</v>
      </c>
      <c r="D91">
        <v>1430016</v>
      </c>
      <c r="E91">
        <v>40.171370000000003</v>
      </c>
      <c r="F91">
        <v>-75.130989</v>
      </c>
    </row>
    <row r="92" spans="1:6" x14ac:dyDescent="0.3">
      <c r="A92">
        <v>459971</v>
      </c>
      <c r="B92" t="str">
        <f>VLOOKUP($A92,[1]Export!$G$2:$N$2737,COLUMN(),FALSE)</f>
        <v>Work Space Property Trust L.P</v>
      </c>
      <c r="C92" t="s">
        <v>1732</v>
      </c>
      <c r="D92">
        <v>1430016</v>
      </c>
      <c r="E92">
        <v>40.173324000000001</v>
      </c>
      <c r="F92">
        <v>-75.134210999999993</v>
      </c>
    </row>
    <row r="93" spans="1:6" x14ac:dyDescent="0.3">
      <c r="A93">
        <v>459978</v>
      </c>
      <c r="B93" t="str">
        <f>VLOOKUP($A93,[1]Export!$G$2:$N$2737,COLUMN(),FALSE)</f>
        <v>Work Space Property Trust L.P</v>
      </c>
      <c r="C93" t="s">
        <v>1203</v>
      </c>
      <c r="D93">
        <v>1430016</v>
      </c>
      <c r="E93">
        <v>40.166902999999998</v>
      </c>
      <c r="F93">
        <v>-75.140625</v>
      </c>
    </row>
    <row r="94" spans="1:6" x14ac:dyDescent="0.3">
      <c r="A94">
        <v>459982</v>
      </c>
      <c r="B94" t="str">
        <f>VLOOKUP($A94,[1]Export!$G$2:$N$2737,COLUMN(),FALSE)</f>
        <v>Work Space Property Trust L.P</v>
      </c>
      <c r="C94" t="s">
        <v>1204</v>
      </c>
      <c r="D94">
        <v>1430016</v>
      </c>
      <c r="E94">
        <v>40.164538999999998</v>
      </c>
      <c r="F94">
        <v>-75.136464000000004</v>
      </c>
    </row>
    <row r="95" spans="1:6" x14ac:dyDescent="0.3">
      <c r="A95">
        <v>470672</v>
      </c>
      <c r="B95" t="str">
        <f>VLOOKUP($A95,[1]Export!$G$2:$N$2737,COLUMN(),FALSE)</f>
        <v>Delaware Valley Residential Ca</v>
      </c>
      <c r="C95" t="s">
        <v>1742</v>
      </c>
      <c r="D95">
        <v>1430016</v>
      </c>
      <c r="E95">
        <v>40.191040000000001</v>
      </c>
      <c r="F95">
        <v>-75.090869999999995</v>
      </c>
    </row>
    <row r="96" spans="1:6" x14ac:dyDescent="0.3">
      <c r="A96">
        <v>243650</v>
      </c>
      <c r="B96" t="str">
        <f>VLOOKUP($A96,[1]Export!$G$2:$N$2737,COLUMN(),FALSE)</f>
        <v>The Hun School of Princeton</v>
      </c>
      <c r="C96" t="s">
        <v>361</v>
      </c>
      <c r="D96">
        <v>1430005</v>
      </c>
      <c r="E96">
        <v>40.336599</v>
      </c>
      <c r="F96">
        <v>-74.684808000000004</v>
      </c>
    </row>
    <row r="97" spans="1:6" x14ac:dyDescent="0.3">
      <c r="A97">
        <v>245430</v>
      </c>
      <c r="B97" t="str">
        <f>VLOOKUP($A97,[1]Export!$G$2:$N$2737,COLUMN(),FALSE)</f>
        <v>Manville School District</v>
      </c>
      <c r="C97" t="s">
        <v>411</v>
      </c>
      <c r="D97">
        <v>1430005</v>
      </c>
      <c r="E97">
        <v>40.544477000000001</v>
      </c>
      <c r="F97">
        <v>-74.598236</v>
      </c>
    </row>
    <row r="98" spans="1:6" x14ac:dyDescent="0.3">
      <c r="A98">
        <v>266867</v>
      </c>
      <c r="B98" t="str">
        <f>VLOOKUP($A98,[1]Export!$G$2:$N$2737,COLUMN(),FALSE)</f>
        <v>All Jersey Janitorial Service</v>
      </c>
      <c r="C98" t="s">
        <v>480</v>
      </c>
      <c r="D98">
        <v>1430005</v>
      </c>
      <c r="E98">
        <v>40.257550000000002</v>
      </c>
      <c r="F98">
        <v>-74.260170000000002</v>
      </c>
    </row>
    <row r="99" spans="1:6" x14ac:dyDescent="0.3">
      <c r="A99">
        <v>267491</v>
      </c>
      <c r="B99" t="str">
        <f>VLOOKUP($A99,[1]Export!$G$2:$N$2737,COLUMN(),FALSE)</f>
        <v>Gill St Bernards School</v>
      </c>
      <c r="C99" t="s">
        <v>1658</v>
      </c>
      <c r="D99">
        <v>1430005</v>
      </c>
      <c r="E99">
        <v>40.733319999999999</v>
      </c>
      <c r="F99">
        <v>-74.67089</v>
      </c>
    </row>
    <row r="100" spans="1:6" x14ac:dyDescent="0.3">
      <c r="A100">
        <v>284279</v>
      </c>
      <c r="B100" t="str">
        <f>VLOOKUP($A100,[1]Export!$G$2:$N$2737,COLUMN(),FALSE)</f>
        <v>Stuart Country Day School of</v>
      </c>
      <c r="C100" t="s">
        <v>542</v>
      </c>
      <c r="D100">
        <v>1430005</v>
      </c>
      <c r="E100">
        <v>40.367341000000003</v>
      </c>
      <c r="F100">
        <v>-74.686345000000003</v>
      </c>
    </row>
    <row r="101" spans="1:6" x14ac:dyDescent="0.3">
      <c r="A101">
        <v>293699</v>
      </c>
      <c r="B101" t="str">
        <f>VLOOKUP($A101,[1]Export!$G$2:$N$2737,COLUMN(),FALSE)</f>
        <v>Precision Acura of Princeton</v>
      </c>
      <c r="C101" t="s">
        <v>560</v>
      </c>
      <c r="D101">
        <v>1430005</v>
      </c>
      <c r="E101">
        <v>40.276806999999998</v>
      </c>
      <c r="F101">
        <v>-74.705136999999993</v>
      </c>
    </row>
    <row r="102" spans="1:6" x14ac:dyDescent="0.3">
      <c r="A102">
        <v>300554</v>
      </c>
      <c r="B102" t="str">
        <f>VLOOKUP($A102,[1]Export!$G$2:$N$2737,COLUMN(),FALSE)</f>
        <v>Stone Hill Church of Princeton</v>
      </c>
      <c r="C102" t="s">
        <v>612</v>
      </c>
      <c r="D102">
        <v>1430005</v>
      </c>
      <c r="E102">
        <v>40.383235999999997</v>
      </c>
      <c r="F102">
        <v>-74.647844000000006</v>
      </c>
    </row>
    <row r="103" spans="1:6" x14ac:dyDescent="0.3">
      <c r="A103">
        <v>307799</v>
      </c>
      <c r="B103" t="str">
        <f>VLOOKUP($A103,[1]Export!$G$2:$N$2737,COLUMN(),FALSE)</f>
        <v>South Brunswick School Distric</v>
      </c>
      <c r="C103" t="s">
        <v>650</v>
      </c>
      <c r="D103">
        <v>1430005</v>
      </c>
      <c r="E103">
        <v>40.414785000000002</v>
      </c>
      <c r="F103">
        <v>-74.533818999999994</v>
      </c>
    </row>
    <row r="104" spans="1:6" x14ac:dyDescent="0.3">
      <c r="A104">
        <v>323792</v>
      </c>
      <c r="B104" t="str">
        <f>VLOOKUP($A104,[1]Export!$G$2:$N$2737,COLUMN(),FALSE)</f>
        <v>Golden Paws Pet Resort &amp; Spa</v>
      </c>
      <c r="C104" t="s">
        <v>708</v>
      </c>
      <c r="D104">
        <v>1430005</v>
      </c>
      <c r="E104">
        <v>40.216275000000003</v>
      </c>
      <c r="F104">
        <v>-74.617227</v>
      </c>
    </row>
    <row r="105" spans="1:6" x14ac:dyDescent="0.3">
      <c r="A105">
        <v>337510</v>
      </c>
      <c r="B105" t="str">
        <f>VLOOKUP($A105,[1]Export!$G$2:$N$2737,COLUMN(),FALSE)</f>
        <v>Watchung Regional High School</v>
      </c>
      <c r="C105" t="s">
        <v>742</v>
      </c>
      <c r="D105">
        <v>1430005</v>
      </c>
      <c r="E105">
        <v>40.651922999999996</v>
      </c>
      <c r="F105">
        <v>-74.475785000000002</v>
      </c>
    </row>
    <row r="106" spans="1:6" x14ac:dyDescent="0.3">
      <c r="A106">
        <v>342615</v>
      </c>
      <c r="B106" t="str">
        <f>VLOOKUP($A106,[1]Export!$G$2:$N$2737,COLUMN(),FALSE)</f>
        <v>Flemington-Raritan Regional BO</v>
      </c>
      <c r="C106" t="s">
        <v>756</v>
      </c>
      <c r="D106">
        <v>1430005</v>
      </c>
      <c r="E106">
        <v>40.509661000000001</v>
      </c>
      <c r="F106">
        <v>-74.863328999999993</v>
      </c>
    </row>
    <row r="107" spans="1:6" x14ac:dyDescent="0.3">
      <c r="A107">
        <v>342767</v>
      </c>
      <c r="B107" t="str">
        <f>VLOOKUP($A107,[1]Export!$G$2:$N$2737,COLUMN(),FALSE)</f>
        <v>IMMACULATE CONCEPTION SCHOOL</v>
      </c>
      <c r="C107" t="s">
        <v>760</v>
      </c>
      <c r="D107">
        <v>1430005</v>
      </c>
      <c r="E107">
        <v>40.638339999999999</v>
      </c>
      <c r="F107">
        <v>-74.882390000000001</v>
      </c>
    </row>
    <row r="108" spans="1:6" x14ac:dyDescent="0.3">
      <c r="A108">
        <v>416963</v>
      </c>
      <c r="B108" t="str">
        <f>VLOOKUP($A108,[1]Export!$G$2:$N$2737,COLUMN(),FALSE)</f>
        <v>Fred Beans Toyota of Flemingto</v>
      </c>
      <c r="C108" t="s">
        <v>865</v>
      </c>
      <c r="D108">
        <v>1430005</v>
      </c>
      <c r="E108">
        <v>40.529670000000003</v>
      </c>
      <c r="F108">
        <v>-74.856840000000005</v>
      </c>
    </row>
    <row r="109" spans="1:6" x14ac:dyDescent="0.3">
      <c r="A109">
        <v>430805</v>
      </c>
      <c r="B109" t="str">
        <f>VLOOKUP($A109,[1]Export!$G$2:$N$2737,COLUMN(),FALSE)</f>
        <v>Hopewell Valley Regional Schoo</v>
      </c>
      <c r="C109" t="s">
        <v>1062</v>
      </c>
      <c r="D109">
        <v>1430005</v>
      </c>
      <c r="E109">
        <v>40.317490999999997</v>
      </c>
      <c r="F109">
        <v>-74.789244999999994</v>
      </c>
    </row>
    <row r="110" spans="1:6" x14ac:dyDescent="0.3">
      <c r="A110">
        <v>451388</v>
      </c>
      <c r="B110" t="str">
        <f>VLOOKUP($A110,[1]Export!$G$2:$N$2737,COLUMN(),FALSE)</f>
        <v>Princeton Day School Ice Rink</v>
      </c>
      <c r="C110" t="s">
        <v>1161</v>
      </c>
      <c r="D110">
        <v>1430005</v>
      </c>
      <c r="E110">
        <v>40.357711999999999</v>
      </c>
      <c r="F110">
        <v>-74.683361000000005</v>
      </c>
    </row>
    <row r="111" spans="1:6" x14ac:dyDescent="0.3">
      <c r="A111">
        <v>464105</v>
      </c>
      <c r="B111" t="str">
        <f>VLOOKUP($A111,[1]Export!$G$2:$N$2737,COLUMN(),FALSE)</f>
        <v>R B Myers Co LLC</v>
      </c>
      <c r="C111" t="s">
        <v>1228</v>
      </c>
      <c r="D111">
        <v>1430005</v>
      </c>
      <c r="E111">
        <v>40.265819999999998</v>
      </c>
      <c r="F111">
        <v>-74.737799999999993</v>
      </c>
    </row>
    <row r="112" spans="1:6" x14ac:dyDescent="0.3">
      <c r="A112">
        <v>469954</v>
      </c>
      <c r="B112" t="str">
        <f>VLOOKUP($A112,[1]Export!$G$2:$N$2737,COLUMN(),FALSE)</f>
        <v>DISTRICT WAREHOUSE</v>
      </c>
      <c r="C112" t="s">
        <v>1295</v>
      </c>
      <c r="D112">
        <v>1430005</v>
      </c>
      <c r="E112">
        <v>40.23122</v>
      </c>
      <c r="F112">
        <v>-74.708100000000002</v>
      </c>
    </row>
    <row r="113" spans="1:6" x14ac:dyDescent="0.3">
      <c r="A113">
        <v>480570</v>
      </c>
      <c r="B113" t="str">
        <f>VLOOKUP($A113,[1]Export!$G$2:$N$2737,COLUMN(),FALSE)</f>
        <v>Holmdel High School</v>
      </c>
      <c r="C113" t="s">
        <v>1365</v>
      </c>
      <c r="D113">
        <v>1430005</v>
      </c>
      <c r="E113">
        <v>40.382798999999999</v>
      </c>
      <c r="F113">
        <v>-74.179051000000001</v>
      </c>
    </row>
    <row r="114" spans="1:6" x14ac:dyDescent="0.3">
      <c r="A114">
        <v>480572</v>
      </c>
      <c r="B114" t="str">
        <f>VLOOKUP($A114,[1]Export!$G$2:$N$2737,COLUMN(),FALSE)</f>
        <v>William R Satz Middle School</v>
      </c>
      <c r="C114" t="s">
        <v>1367</v>
      </c>
      <c r="D114">
        <v>1430005</v>
      </c>
      <c r="E114">
        <v>40.357050000000001</v>
      </c>
      <c r="F114">
        <v>-74.153949999999995</v>
      </c>
    </row>
    <row r="115" spans="1:6" x14ac:dyDescent="0.3">
      <c r="A115">
        <v>480580</v>
      </c>
      <c r="B115" t="str">
        <f>VLOOKUP($A115,[1]Export!$G$2:$N$2737,COLUMN(),FALSE)</f>
        <v>Indian Hill School</v>
      </c>
      <c r="C115" t="s">
        <v>1369</v>
      </c>
      <c r="D115">
        <v>1430005</v>
      </c>
      <c r="E115">
        <v>40.405389999999997</v>
      </c>
      <c r="F115">
        <v>-74.188010000000006</v>
      </c>
    </row>
    <row r="116" spans="1:6" x14ac:dyDescent="0.3">
      <c r="A116">
        <v>480581</v>
      </c>
      <c r="B116" t="str">
        <f>VLOOKUP($A116,[1]Export!$G$2:$N$2737,COLUMN(),FALSE)</f>
        <v>Village Elementary School</v>
      </c>
      <c r="C116" t="s">
        <v>1371</v>
      </c>
      <c r="D116">
        <v>1430005</v>
      </c>
      <c r="E116">
        <v>40.344999999999999</v>
      </c>
      <c r="F116">
        <v>-74.170289999999994</v>
      </c>
    </row>
    <row r="117" spans="1:6" x14ac:dyDescent="0.3">
      <c r="A117">
        <v>481104</v>
      </c>
      <c r="B117" t="str">
        <f>VLOOKUP($A117,[1]Export!$G$2:$N$2737,COLUMN(),FALSE)</f>
        <v>Reading-Fleming Intermediate S</v>
      </c>
      <c r="C117" t="s">
        <v>756</v>
      </c>
      <c r="D117">
        <v>1430005</v>
      </c>
      <c r="E117">
        <v>40.509661000000001</v>
      </c>
      <c r="F117">
        <v>-74.863328999999993</v>
      </c>
    </row>
    <row r="118" spans="1:6" x14ac:dyDescent="0.3">
      <c r="A118">
        <v>482653</v>
      </c>
      <c r="B118" t="str">
        <f>VLOOKUP($A118,[1]Export!$G$2:$N$2737,COLUMN(),FALSE)</f>
        <v>Hibbert Group</v>
      </c>
      <c r="C118" t="s">
        <v>1391</v>
      </c>
      <c r="D118">
        <v>1430005</v>
      </c>
      <c r="E118">
        <v>40.212789999999998</v>
      </c>
      <c r="F118">
        <v>-74.624219999999994</v>
      </c>
    </row>
    <row r="119" spans="1:6" x14ac:dyDescent="0.3">
      <c r="A119">
        <v>482919</v>
      </c>
      <c r="B119" t="str">
        <f>VLOOKUP($A119,[1]Export!$G$2:$N$2737,COLUMN(),FALSE)</f>
        <v>YMCA - Deer Path</v>
      </c>
      <c r="C119" t="s">
        <v>1395</v>
      </c>
      <c r="D119">
        <v>1430005</v>
      </c>
      <c r="E119">
        <v>40.555965</v>
      </c>
      <c r="F119">
        <v>-74.844500999999994</v>
      </c>
    </row>
    <row r="120" spans="1:6" x14ac:dyDescent="0.3">
      <c r="A120">
        <v>243243</v>
      </c>
      <c r="B120" t="str">
        <f>VLOOKUP($A120,[1]Export!$G$2:$N$2737,COLUMN(),FALSE)</f>
        <v>Cowtown Bawl Inc.</v>
      </c>
      <c r="C120" t="s">
        <v>1644</v>
      </c>
      <c r="D120">
        <v>1430006</v>
      </c>
      <c r="E120">
        <v>39.660511</v>
      </c>
      <c r="F120">
        <v>-75.375923</v>
      </c>
    </row>
    <row r="121" spans="1:6" x14ac:dyDescent="0.3">
      <c r="A121">
        <v>246567</v>
      </c>
      <c r="B121" t="str">
        <f>VLOOKUP($A121,[1]Export!$G$2:$N$2737,COLUMN(),FALSE)</f>
        <v>Windcrest Animal Hospital</v>
      </c>
      <c r="C121" t="s">
        <v>446</v>
      </c>
      <c r="D121">
        <v>1430006</v>
      </c>
      <c r="E121">
        <v>39.755454</v>
      </c>
      <c r="F121">
        <v>-75.594252999999995</v>
      </c>
    </row>
    <row r="122" spans="1:6" x14ac:dyDescent="0.3">
      <c r="A122">
        <v>260316</v>
      </c>
      <c r="B122" t="str">
        <f>VLOOKUP($A122,[1]Export!$G$2:$N$2737,COLUMN(),FALSE)</f>
        <v>McLane New Jersey Inc</v>
      </c>
      <c r="C122" t="s">
        <v>466</v>
      </c>
      <c r="D122">
        <v>1430006</v>
      </c>
      <c r="E122">
        <v>39.684975999999999</v>
      </c>
      <c r="F122">
        <v>-75.436820999999995</v>
      </c>
    </row>
    <row r="123" spans="1:6" x14ac:dyDescent="0.3">
      <c r="A123">
        <v>281483</v>
      </c>
      <c r="B123" t="str">
        <f>VLOOKUP($A123,[1]Export!$G$2:$N$2737,COLUMN(),FALSE)</f>
        <v>Bermuda Janitorial Supply</v>
      </c>
      <c r="C123" t="s">
        <v>530</v>
      </c>
      <c r="D123">
        <v>1430006</v>
      </c>
      <c r="E123">
        <v>39.573889999999999</v>
      </c>
      <c r="F123">
        <v>-75.480549999999994</v>
      </c>
    </row>
    <row r="124" spans="1:6" x14ac:dyDescent="0.3">
      <c r="A124">
        <v>342744</v>
      </c>
      <c r="B124" t="str">
        <f>VLOOKUP($A124,[1]Export!$G$2:$N$2737,COLUMN(),FALSE)</f>
        <v>FLOORGUY SUPPLY LLC</v>
      </c>
      <c r="C124" t="s">
        <v>758</v>
      </c>
      <c r="D124">
        <v>1430006</v>
      </c>
      <c r="E124">
        <v>39.690531</v>
      </c>
      <c r="F124">
        <v>-75.571653999999995</v>
      </c>
    </row>
    <row r="125" spans="1:6" x14ac:dyDescent="0.3">
      <c r="A125">
        <v>417333</v>
      </c>
      <c r="B125" t="str">
        <f>VLOOKUP($A125,[1]Export!$G$2:$N$2737,COLUMN(),FALSE)</f>
        <v>Hibbert Group</v>
      </c>
      <c r="C125" t="s">
        <v>878</v>
      </c>
      <c r="D125">
        <v>1430006</v>
      </c>
      <c r="E125">
        <v>39.673302</v>
      </c>
      <c r="F125">
        <v>-75.555147000000005</v>
      </c>
    </row>
    <row r="126" spans="1:6" x14ac:dyDescent="0.3">
      <c r="A126">
        <v>418423</v>
      </c>
      <c r="B126" t="str">
        <f>VLOOKUP($A126,[1]Export!$G$2:$N$2737,COLUMN(),FALSE)</f>
        <v>PSEG - "Hope Creek Plant"</v>
      </c>
      <c r="C126" t="s">
        <v>948</v>
      </c>
      <c r="D126">
        <v>1430006</v>
      </c>
      <c r="E126">
        <v>39.489899999999999</v>
      </c>
      <c r="F126">
        <v>-75.468630000000005</v>
      </c>
    </row>
    <row r="127" spans="1:6" x14ac:dyDescent="0.3">
      <c r="A127">
        <v>418427</v>
      </c>
      <c r="B127" t="str">
        <f>VLOOKUP($A127,[1]Export!$G$2:$N$2737,COLUMN(),FALSE)</f>
        <v>PSEG - "Salem Plant"</v>
      </c>
      <c r="C127" t="s">
        <v>950</v>
      </c>
      <c r="D127">
        <v>1430006</v>
      </c>
      <c r="E127">
        <v>39.505389999999998</v>
      </c>
      <c r="F127">
        <v>-75.461865000000003</v>
      </c>
    </row>
    <row r="128" spans="1:6" x14ac:dyDescent="0.3">
      <c r="A128">
        <v>424854</v>
      </c>
      <c r="B128" t="str">
        <f>VLOOKUP($A128,[1]Export!$G$2:$N$2737,COLUMN(),FALSE)</f>
        <v>One River Place AAA Bldg</v>
      </c>
      <c r="C128" t="s">
        <v>1013</v>
      </c>
      <c r="D128">
        <v>1430006</v>
      </c>
      <c r="E128">
        <v>39.736981</v>
      </c>
      <c r="F128">
        <v>-75.558473000000006</v>
      </c>
    </row>
    <row r="129" spans="1:6" x14ac:dyDescent="0.3">
      <c r="A129">
        <v>430839</v>
      </c>
      <c r="B129" t="str">
        <f>VLOOKUP($A129,[1]Export!$G$2:$N$2737,COLUMN(),FALSE)</f>
        <v>PSEG - "Materials Center"</v>
      </c>
      <c r="C129" t="s">
        <v>1066</v>
      </c>
      <c r="D129">
        <v>1430006</v>
      </c>
      <c r="E129">
        <v>39.489899999999999</v>
      </c>
      <c r="F129">
        <v>-75.468630000000005</v>
      </c>
    </row>
    <row r="130" spans="1:6" x14ac:dyDescent="0.3">
      <c r="A130">
        <v>452323</v>
      </c>
      <c r="B130" t="str">
        <f>VLOOKUP($A130,[1]Export!$G$2:$N$2737,COLUMN(),FALSE)</f>
        <v>100 S. West Associates LLC</v>
      </c>
      <c r="C130" t="s">
        <v>1166</v>
      </c>
      <c r="D130">
        <v>1430006</v>
      </c>
      <c r="E130">
        <v>39.738430000000001</v>
      </c>
      <c r="F130">
        <v>-75.555976000000001</v>
      </c>
    </row>
    <row r="131" spans="1:6" x14ac:dyDescent="0.3">
      <c r="A131">
        <v>482476</v>
      </c>
      <c r="B131" t="str">
        <f>VLOOKUP($A131,[1]Export!$G$2:$N$2737,COLUMN(),FALSE)</f>
        <v>Churchman's Medical Assoc. Con</v>
      </c>
      <c r="C131" t="s">
        <v>1390</v>
      </c>
      <c r="D131">
        <v>1430006</v>
      </c>
      <c r="E131">
        <v>39.68638</v>
      </c>
      <c r="F131">
        <v>-75.634322999999995</v>
      </c>
    </row>
    <row r="132" spans="1:6" x14ac:dyDescent="0.3">
      <c r="A132">
        <v>243627</v>
      </c>
      <c r="B132" t="str">
        <f>VLOOKUP($A132,[1]Export!$G$2:$N$2737,COLUMN(),FALSE)</f>
        <v>HOLY FAMILY CHURCH</v>
      </c>
      <c r="C132" t="s">
        <v>359</v>
      </c>
      <c r="D132">
        <v>1430007</v>
      </c>
      <c r="E132">
        <v>39.664636999999999</v>
      </c>
      <c r="F132">
        <v>-75.718739999999997</v>
      </c>
    </row>
    <row r="133" spans="1:6" x14ac:dyDescent="0.3">
      <c r="A133">
        <v>244121</v>
      </c>
      <c r="B133" t="str">
        <f>VLOOKUP($A133,[1]Export!$G$2:$N$2737,COLUMN(),FALSE)</f>
        <v>Longwood Gardens</v>
      </c>
      <c r="C133" t="s">
        <v>379</v>
      </c>
      <c r="D133">
        <v>1430016</v>
      </c>
      <c r="E133">
        <v>39.873291999999999</v>
      </c>
      <c r="F133">
        <v>-75.676561000000007</v>
      </c>
    </row>
    <row r="134" spans="1:6" x14ac:dyDescent="0.3">
      <c r="A134">
        <v>305531</v>
      </c>
      <c r="B134" t="str">
        <f>VLOOKUP($A134,[1]Export!$G$2:$N$2737,COLUMN(),FALSE)</f>
        <v>Newark Charter Meece Campus</v>
      </c>
      <c r="C134" t="s">
        <v>1682</v>
      </c>
      <c r="D134">
        <v>1430007</v>
      </c>
      <c r="E134">
        <v>39.662109000000001</v>
      </c>
      <c r="F134">
        <v>-75.776375000000002</v>
      </c>
    </row>
    <row r="135" spans="1:6" x14ac:dyDescent="0.3">
      <c r="A135">
        <v>305532</v>
      </c>
      <c r="B135" t="str">
        <f>VLOOKUP($A135,[1]Export!$G$2:$N$2737,COLUMN(),FALSE)</f>
        <v>Newark Charter Jr High Campus</v>
      </c>
      <c r="C135" t="s">
        <v>628</v>
      </c>
      <c r="D135">
        <v>1430007</v>
      </c>
      <c r="E135">
        <v>39.659779999999998</v>
      </c>
      <c r="F135">
        <v>-75.778379999999999</v>
      </c>
    </row>
    <row r="136" spans="1:6" x14ac:dyDescent="0.3">
      <c r="A136">
        <v>305533</v>
      </c>
      <c r="B136" t="str">
        <f>VLOOKUP($A136,[1]Export!$G$2:$N$2737,COLUMN(),FALSE)</f>
        <v>Newark Charter High Campus</v>
      </c>
      <c r="C136" t="s">
        <v>630</v>
      </c>
      <c r="D136">
        <v>1430007</v>
      </c>
      <c r="E136">
        <v>39.653149999999997</v>
      </c>
      <c r="F136">
        <v>-75.787724999999995</v>
      </c>
    </row>
    <row r="137" spans="1:6" x14ac:dyDescent="0.3">
      <c r="A137">
        <v>306315</v>
      </c>
      <c r="B137" t="str">
        <f>VLOOKUP($A137,[1]Export!$G$2:$N$2737,COLUMN(),FALSE)</f>
        <v>Bright New Scholars Academy</v>
      </c>
      <c r="C137" t="s">
        <v>632</v>
      </c>
      <c r="D137">
        <v>1430007</v>
      </c>
      <c r="E137">
        <v>39.615960000000001</v>
      </c>
      <c r="F137">
        <v>-75.755594000000002</v>
      </c>
    </row>
    <row r="138" spans="1:6" x14ac:dyDescent="0.3">
      <c r="A138">
        <v>318590</v>
      </c>
      <c r="B138" t="str">
        <f>VLOOKUP($A138,[1]Export!$G$2:$N$2737,COLUMN(),FALSE)</f>
        <v>ABC FACILITY SERVICES INC#</v>
      </c>
      <c r="C138" t="s">
        <v>682</v>
      </c>
      <c r="D138">
        <v>1430007</v>
      </c>
      <c r="E138">
        <v>39.813675000000003</v>
      </c>
      <c r="F138">
        <v>-75.734499999999997</v>
      </c>
    </row>
    <row r="139" spans="1:6" x14ac:dyDescent="0.3">
      <c r="A139">
        <v>331652</v>
      </c>
      <c r="B139" t="str">
        <f>VLOOKUP($A139,[1]Export!$G$2:$N$2737,COLUMN(),FALSE)</f>
        <v>Assumption BVM School</v>
      </c>
      <c r="C139" t="s">
        <v>730</v>
      </c>
      <c r="D139">
        <v>1430007</v>
      </c>
      <c r="E139">
        <v>39.817157999999999</v>
      </c>
      <c r="F139">
        <v>-75.817751000000001</v>
      </c>
    </row>
    <row r="140" spans="1:6" x14ac:dyDescent="0.3">
      <c r="A140">
        <v>417685</v>
      </c>
      <c r="B140" t="str">
        <f>VLOOKUP($A140,[1]Export!$G$2:$N$2737,COLUMN(),FALSE)</f>
        <v>New Garden Elementary School</v>
      </c>
      <c r="C140" t="s">
        <v>887</v>
      </c>
      <c r="D140">
        <v>1430007</v>
      </c>
      <c r="E140">
        <v>39.810381</v>
      </c>
      <c r="F140">
        <v>-75.746198000000007</v>
      </c>
    </row>
    <row r="141" spans="1:6" x14ac:dyDescent="0.3">
      <c r="A141">
        <v>417686</v>
      </c>
      <c r="B141" t="str">
        <f>VLOOKUP($A141,[1]Export!$G$2:$N$2737,COLUMN(),FALSE)</f>
        <v>Kennett Middle School</v>
      </c>
      <c r="C141" t="s">
        <v>1707</v>
      </c>
      <c r="D141">
        <v>1430007</v>
      </c>
      <c r="E141">
        <v>39.795565000000003</v>
      </c>
      <c r="F141">
        <v>-75.746244000000004</v>
      </c>
    </row>
    <row r="142" spans="1:6" x14ac:dyDescent="0.3">
      <c r="A142">
        <v>417688</v>
      </c>
      <c r="B142" t="str">
        <f>VLOOKUP($A142,[1]Export!$G$2:$N$2737,COLUMN(),FALSE)</f>
        <v>Kennett High School</v>
      </c>
      <c r="C142" t="s">
        <v>889</v>
      </c>
      <c r="D142">
        <v>1430007</v>
      </c>
      <c r="E142">
        <v>39.838766999999997</v>
      </c>
      <c r="F142">
        <v>-75.708466000000001</v>
      </c>
    </row>
    <row r="143" spans="1:6" x14ac:dyDescent="0.3">
      <c r="A143">
        <v>417813</v>
      </c>
      <c r="B143" t="str">
        <f>VLOOKUP($A143,[1]Export!$G$2:$N$2737,COLUMN(),FALSE)</f>
        <v>Longwood Gardens</v>
      </c>
      <c r="C143" t="s">
        <v>892</v>
      </c>
      <c r="D143">
        <v>1430016</v>
      </c>
      <c r="E143">
        <v>39.874470000000002</v>
      </c>
      <c r="F143">
        <v>-75.68141</v>
      </c>
    </row>
    <row r="144" spans="1:6" x14ac:dyDescent="0.3">
      <c r="A144">
        <v>417995</v>
      </c>
      <c r="B144" t="str">
        <f>VLOOKUP($A144,[1]Export!$G$2:$N$2737,COLUMN(),FALSE)</f>
        <v>Mary D. Lang Elementary School</v>
      </c>
      <c r="C144" t="s">
        <v>900</v>
      </c>
      <c r="D144">
        <v>1430016</v>
      </c>
      <c r="E144">
        <v>39.861654000000001</v>
      </c>
      <c r="F144">
        <v>-75.685704999999999</v>
      </c>
    </row>
    <row r="145" spans="1:6" x14ac:dyDescent="0.3">
      <c r="A145">
        <v>418879</v>
      </c>
      <c r="B145" t="str">
        <f>VLOOKUP($A145,[1]Export!$G$2:$N$2737,COLUMN(),FALSE)</f>
        <v>Charles F. Patton Middle Schoo</v>
      </c>
      <c r="C145" t="s">
        <v>978</v>
      </c>
      <c r="D145">
        <v>1430007</v>
      </c>
      <c r="E145">
        <v>39.885787999999998</v>
      </c>
      <c r="F145">
        <v>-75.720330000000004</v>
      </c>
    </row>
    <row r="146" spans="1:6" x14ac:dyDescent="0.3">
      <c r="A146">
        <v>424852</v>
      </c>
      <c r="B146" t="str">
        <f>VLOOKUP($A146,[1]Export!$G$2:$N$2737,COLUMN(),FALSE)</f>
        <v>Robscott Associates LLC</v>
      </c>
      <c r="C146" t="s">
        <v>1718</v>
      </c>
      <c r="D146">
        <v>1430007</v>
      </c>
      <c r="E146">
        <v>39.657854</v>
      </c>
      <c r="F146">
        <v>-75.745937999999995</v>
      </c>
    </row>
    <row r="147" spans="1:6" x14ac:dyDescent="0.3">
      <c r="A147">
        <v>425120</v>
      </c>
      <c r="B147" t="str">
        <f>VLOOKUP($A147,[1]Export!$G$2:$N$2737,COLUMN(),FALSE)</f>
        <v>Marrows Road Associates</v>
      </c>
      <c r="C147" t="s">
        <v>1025</v>
      </c>
      <c r="D147">
        <v>1430007</v>
      </c>
      <c r="E147">
        <v>39.683154999999999</v>
      </c>
      <c r="F147">
        <v>-75.730940000000004</v>
      </c>
    </row>
    <row r="148" spans="1:6" x14ac:dyDescent="0.3">
      <c r="A148">
        <v>428080</v>
      </c>
      <c r="B148" t="str">
        <f>VLOOKUP($A148,[1]Export!$G$2:$N$2737,COLUMN(),FALSE)</f>
        <v>Unionville Elementary</v>
      </c>
      <c r="C148" t="s">
        <v>1031</v>
      </c>
      <c r="D148">
        <v>1430007</v>
      </c>
      <c r="E148">
        <v>39.893909000000001</v>
      </c>
      <c r="F148">
        <v>-75.726094000000003</v>
      </c>
    </row>
    <row r="149" spans="1:6" x14ac:dyDescent="0.3">
      <c r="A149">
        <v>436260</v>
      </c>
      <c r="B149" t="str">
        <f>VLOOKUP($A149,[1]Export!$G$2:$N$2737,COLUMN(),FALSE)</f>
        <v>Kenneth G. Lilly Fasteners</v>
      </c>
      <c r="C149" t="s">
        <v>1096</v>
      </c>
      <c r="D149">
        <v>1430007</v>
      </c>
      <c r="E149">
        <v>39.652189</v>
      </c>
      <c r="F149">
        <v>-75.724391999999995</v>
      </c>
    </row>
    <row r="150" spans="1:6" x14ac:dyDescent="0.3">
      <c r="A150">
        <v>446362</v>
      </c>
      <c r="B150" t="str">
        <f>VLOOKUP($A150,[1]Export!$G$2:$N$2737,COLUMN(),FALSE)</f>
        <v>Bancroft Elementary School</v>
      </c>
      <c r="C150" t="s">
        <v>1136</v>
      </c>
      <c r="D150">
        <v>1430007</v>
      </c>
      <c r="E150">
        <v>39.846820000000001</v>
      </c>
      <c r="F150">
        <v>-75.752448999999999</v>
      </c>
    </row>
    <row r="151" spans="1:6" x14ac:dyDescent="0.3">
      <c r="A151">
        <v>452079</v>
      </c>
      <c r="B151" t="str">
        <f>VLOOKUP($A151,[1]Export!$G$2:$N$2737,COLUMN(),FALSE)</f>
        <v>Newark Charter High School</v>
      </c>
      <c r="C151" t="s">
        <v>630</v>
      </c>
      <c r="D151">
        <v>1430007</v>
      </c>
      <c r="E151">
        <v>39.653149999999997</v>
      </c>
      <c r="F151">
        <v>-75.787724999999995</v>
      </c>
    </row>
    <row r="152" spans="1:6" x14ac:dyDescent="0.3">
      <c r="A152">
        <v>246043</v>
      </c>
      <c r="B152" t="str">
        <f>VLOOKUP($A152,[1]Export!$G$2:$N$2737,COLUMN(),FALSE)</f>
        <v>Polytech High School</v>
      </c>
      <c r="C152" t="s">
        <v>1650</v>
      </c>
      <c r="D152">
        <v>1430008</v>
      </c>
      <c r="E152">
        <v>39.073140000000002</v>
      </c>
      <c r="F152">
        <v>-75.54777</v>
      </c>
    </row>
    <row r="153" spans="1:6" x14ac:dyDescent="0.3">
      <c r="A153">
        <v>266314</v>
      </c>
      <c r="B153" t="str">
        <f>VLOOKUP($A153,[1]Export!$G$2:$N$2737,COLUMN(),FALSE)</f>
        <v>Academy of Dover Charter Schoo</v>
      </c>
      <c r="C153" t="s">
        <v>476</v>
      </c>
      <c r="D153">
        <v>1430008</v>
      </c>
      <c r="E153">
        <v>39.161808999999998</v>
      </c>
      <c r="F153">
        <v>-75.544465000000002</v>
      </c>
    </row>
    <row r="154" spans="1:6" x14ac:dyDescent="0.3">
      <c r="A154">
        <v>271622</v>
      </c>
      <c r="B154" t="str">
        <f>VLOOKUP($A154,[1]Export!$G$2:$N$2737,COLUMN(),FALSE)</f>
        <v>Holy Cross Catholic School</v>
      </c>
      <c r="C154" t="s">
        <v>498</v>
      </c>
      <c r="D154">
        <v>1430008</v>
      </c>
      <c r="E154">
        <v>39.150754999999997</v>
      </c>
      <c r="F154">
        <v>-75.520730999999998</v>
      </c>
    </row>
    <row r="155" spans="1:6" x14ac:dyDescent="0.3">
      <c r="A155">
        <v>470560</v>
      </c>
      <c r="B155" t="str">
        <f>VLOOKUP($A155,[1]Export!$G$2:$N$2737,COLUMN(),FALSE)</f>
        <v>Dover Air Force Base Hospital</v>
      </c>
      <c r="C155" t="s">
        <v>1740</v>
      </c>
      <c r="D155">
        <v>1430008</v>
      </c>
      <c r="E155">
        <v>39.122261000000002</v>
      </c>
      <c r="F155">
        <v>-75.475494999999995</v>
      </c>
    </row>
    <row r="156" spans="1:6" x14ac:dyDescent="0.3">
      <c r="A156">
        <v>243823</v>
      </c>
      <c r="B156" t="str">
        <f>VLOOKUP($A156,[1]Export!$G$2:$N$2737,COLUMN(),FALSE)</f>
        <v>Le Papillon Hair Salon</v>
      </c>
      <c r="C156" t="s">
        <v>365</v>
      </c>
      <c r="D156">
        <v>1430016</v>
      </c>
      <c r="E156">
        <v>40.105960000000003</v>
      </c>
      <c r="F156">
        <v>-75.121750000000006</v>
      </c>
    </row>
    <row r="157" spans="1:6" x14ac:dyDescent="0.3">
      <c r="A157">
        <v>244718</v>
      </c>
      <c r="B157" t="str">
        <f>VLOOKUP($A157,[1]Export!$G$2:$N$2737,COLUMN(),FALSE)</f>
        <v>Selective Interior Maintenance</v>
      </c>
      <c r="C157" t="s">
        <v>397</v>
      </c>
      <c r="D157">
        <v>1430016</v>
      </c>
      <c r="E157">
        <v>40.136024999999997</v>
      </c>
      <c r="F157">
        <v>-75.136004</v>
      </c>
    </row>
    <row r="158" spans="1:6" x14ac:dyDescent="0.3">
      <c r="A158">
        <v>245302</v>
      </c>
      <c r="B158" t="str">
        <f>VLOOKUP($A158,[1]Export!$G$2:$N$2737,COLUMN(),FALSE)</f>
        <v>Boathouse Sports Inc.</v>
      </c>
      <c r="C158" t="s">
        <v>407</v>
      </c>
      <c r="D158">
        <v>1430017</v>
      </c>
      <c r="E158">
        <v>40.013978000000002</v>
      </c>
      <c r="F158">
        <v>-75.117611999999994</v>
      </c>
    </row>
    <row r="159" spans="1:6" x14ac:dyDescent="0.3">
      <c r="A159">
        <v>246141</v>
      </c>
      <c r="B159" t="str">
        <f>VLOOKUP($A159,[1]Export!$G$2:$N$2737,COLUMN(),FALSE)</f>
        <v>Roman Catholic High School</v>
      </c>
      <c r="C159" t="s">
        <v>424</v>
      </c>
      <c r="D159">
        <v>1430017</v>
      </c>
      <c r="E159">
        <v>39.95814</v>
      </c>
      <c r="F159">
        <v>-75.161949000000007</v>
      </c>
    </row>
    <row r="160" spans="1:6" x14ac:dyDescent="0.3">
      <c r="A160">
        <v>286760</v>
      </c>
      <c r="B160" t="str">
        <f>VLOOKUP($A160,[1]Export!$G$2:$N$2737,COLUMN(),FALSE)</f>
        <v>Premier CSI</v>
      </c>
      <c r="C160" t="s">
        <v>1670</v>
      </c>
      <c r="D160">
        <v>1430016</v>
      </c>
      <c r="E160">
        <v>40.092311000000002</v>
      </c>
      <c r="F160">
        <v>-75.126168000000007</v>
      </c>
    </row>
    <row r="161" spans="1:6" x14ac:dyDescent="0.3">
      <c r="A161">
        <v>294138</v>
      </c>
      <c r="B161" t="str">
        <f>VLOOKUP($A161,[1]Export!$G$2:$N$2737,COLUMN(),FALSE)</f>
        <v>New Life Thrift Inc</v>
      </c>
      <c r="C161" t="s">
        <v>564</v>
      </c>
      <c r="D161">
        <v>1430016</v>
      </c>
      <c r="E161">
        <v>40.114803999999999</v>
      </c>
      <c r="F161">
        <v>-75.139945999999995</v>
      </c>
    </row>
    <row r="162" spans="1:6" x14ac:dyDescent="0.3">
      <c r="A162">
        <v>313100</v>
      </c>
      <c r="B162" t="str">
        <f>VLOOKUP($A162,[1]Export!$G$2:$N$2737,COLUMN(),FALSE)</f>
        <v>First Church of Our Lord Jesus</v>
      </c>
      <c r="C162" t="s">
        <v>668</v>
      </c>
      <c r="D162">
        <v>1430017</v>
      </c>
      <c r="E162">
        <v>40.028990999999998</v>
      </c>
      <c r="F162">
        <v>-75.131842000000006</v>
      </c>
    </row>
    <row r="163" spans="1:6" x14ac:dyDescent="0.3">
      <c r="A163">
        <v>315018</v>
      </c>
      <c r="B163" t="str">
        <f>VLOOKUP($A163,[1]Export!$G$2:$N$2737,COLUMN(),FALSE)</f>
        <v>Maddie Colon</v>
      </c>
      <c r="C163" t="s">
        <v>674</v>
      </c>
      <c r="D163">
        <v>1430017</v>
      </c>
      <c r="E163">
        <v>40.043213000000002</v>
      </c>
      <c r="F163">
        <v>-75.077809999999999</v>
      </c>
    </row>
    <row r="164" spans="1:6" x14ac:dyDescent="0.3">
      <c r="A164">
        <v>331730</v>
      </c>
      <c r="B164" t="str">
        <f>VLOOKUP($A164,[1]Export!$G$2:$N$2737,COLUMN(),FALSE)</f>
        <v>The Cliffs at Callowhill</v>
      </c>
      <c r="C164" t="s">
        <v>732</v>
      </c>
      <c r="D164">
        <v>1430017</v>
      </c>
      <c r="E164">
        <v>39.958590000000001</v>
      </c>
      <c r="F164">
        <v>-75.155816000000002</v>
      </c>
    </row>
    <row r="165" spans="1:6" x14ac:dyDescent="0.3">
      <c r="A165">
        <v>345959</v>
      </c>
      <c r="B165" t="str">
        <f>VLOOKUP($A165,[1]Export!$G$2:$N$2737,COLUMN(),FALSE)</f>
        <v>SCIENCE HISTORY INSTITUTE</v>
      </c>
      <c r="C165" t="s">
        <v>789</v>
      </c>
      <c r="D165">
        <v>1430017</v>
      </c>
      <c r="E165">
        <v>39.948898</v>
      </c>
      <c r="F165">
        <v>-75.146544000000006</v>
      </c>
    </row>
    <row r="166" spans="1:6" x14ac:dyDescent="0.3">
      <c r="A166">
        <v>416113</v>
      </c>
      <c r="B166" t="str">
        <f>VLOOKUP($A166,[1]Export!$G$2:$N$2737,COLUMN(),FALSE)</f>
        <v>ASD - Receiving Department</v>
      </c>
      <c r="C166" t="s">
        <v>1287</v>
      </c>
      <c r="D166">
        <v>1430009</v>
      </c>
      <c r="E166">
        <v>40.112270000000002</v>
      </c>
      <c r="F166">
        <v>-75.131820000000005</v>
      </c>
    </row>
    <row r="167" spans="1:6" x14ac:dyDescent="0.3">
      <c r="A167">
        <v>419096</v>
      </c>
      <c r="B167" t="str">
        <f>VLOOKUP($A167,[1]Export!$G$2:$N$2737,COLUMN(),FALSE)</f>
        <v>Women Against Abuse CP</v>
      </c>
      <c r="C167" t="s">
        <v>1717</v>
      </c>
      <c r="D167">
        <v>1430016</v>
      </c>
      <c r="E167">
        <v>40.032544000000001</v>
      </c>
      <c r="F167">
        <v>-75.169179999999997</v>
      </c>
    </row>
    <row r="168" spans="1:6" x14ac:dyDescent="0.3">
      <c r="A168">
        <v>468567</v>
      </c>
      <c r="B168" t="str">
        <f>VLOOKUP($A168,[1]Export!$G$2:$N$2737,COLUMN(),FALSE)</f>
        <v>Abington Junior High School</v>
      </c>
      <c r="C168" t="s">
        <v>1287</v>
      </c>
      <c r="D168">
        <v>1430009</v>
      </c>
      <c r="E168">
        <v>40.112270000000002</v>
      </c>
      <c r="F168">
        <v>-75.131820000000005</v>
      </c>
    </row>
    <row r="169" spans="1:6" x14ac:dyDescent="0.3">
      <c r="A169">
        <v>472664</v>
      </c>
      <c r="B169" t="str">
        <f>VLOOKUP($A169,[1]Export!$G$2:$N$2737,COLUMN(),FALSE)</f>
        <v>Women Against Abuse AP</v>
      </c>
      <c r="C169" t="s">
        <v>1743</v>
      </c>
      <c r="D169">
        <v>1430017</v>
      </c>
      <c r="E169">
        <v>40.033859999999997</v>
      </c>
      <c r="F169">
        <v>-75.143730000000005</v>
      </c>
    </row>
    <row r="170" spans="1:6" x14ac:dyDescent="0.3">
      <c r="A170">
        <v>482682</v>
      </c>
      <c r="B170" t="str">
        <f>VLOOKUP($A170,[1]Export!$G$2:$N$2737,COLUMN(),FALSE)</f>
        <v>Black Doctors Consortium</v>
      </c>
      <c r="C170" t="s">
        <v>1393</v>
      </c>
      <c r="D170">
        <v>1430017</v>
      </c>
      <c r="E170">
        <v>39.996006999999999</v>
      </c>
      <c r="F170">
        <v>-75.164839000000001</v>
      </c>
    </row>
    <row r="171" spans="1:6" x14ac:dyDescent="0.3">
      <c r="A171">
        <v>244164</v>
      </c>
      <c r="B171" t="str">
        <f>VLOOKUP($A171,[1]Export!$G$2:$N$2737,COLUMN(),FALSE)</f>
        <v>Harrison Township School Distr</v>
      </c>
      <c r="C171" t="s">
        <v>381</v>
      </c>
      <c r="D171">
        <v>1430010</v>
      </c>
      <c r="E171">
        <v>39.746042000000003</v>
      </c>
      <c r="F171">
        <v>-75.223511000000002</v>
      </c>
    </row>
    <row r="172" spans="1:6" x14ac:dyDescent="0.3">
      <c r="A172">
        <v>244423</v>
      </c>
      <c r="B172" t="str">
        <f>VLOOKUP($A172,[1]Export!$G$2:$N$2737,COLUMN(),FALSE)</f>
        <v>Estell Manor School District</v>
      </c>
      <c r="C172" t="s">
        <v>389</v>
      </c>
      <c r="D172">
        <v>1430010</v>
      </c>
      <c r="E172">
        <v>39.378898999999997</v>
      </c>
      <c r="F172">
        <v>-74.825930999999997</v>
      </c>
    </row>
    <row r="173" spans="1:6" x14ac:dyDescent="0.3">
      <c r="A173">
        <v>244685</v>
      </c>
      <c r="B173" t="str">
        <f>VLOOKUP($A173,[1]Export!$G$2:$N$2737,COLUMN(),FALSE)</f>
        <v>Middle Township Board of Educa</v>
      </c>
      <c r="C173" t="s">
        <v>393</v>
      </c>
      <c r="D173">
        <v>1430010</v>
      </c>
      <c r="E173">
        <v>39.078719</v>
      </c>
      <c r="F173">
        <v>-74.825266999999997</v>
      </c>
    </row>
    <row r="174" spans="1:6" x14ac:dyDescent="0.3">
      <c r="A174">
        <v>254506</v>
      </c>
      <c r="B174" t="str">
        <f>VLOOKUP($A174,[1]Export!$G$2:$N$2737,COLUMN(),FALSE)</f>
        <v>Maurice River Township BOE</v>
      </c>
      <c r="C174" t="s">
        <v>1654</v>
      </c>
      <c r="D174">
        <v>1430010</v>
      </c>
      <c r="E174">
        <v>39.308160000000001</v>
      </c>
      <c r="F174">
        <v>-74.980099999999993</v>
      </c>
    </row>
    <row r="175" spans="1:6" x14ac:dyDescent="0.3">
      <c r="A175">
        <v>272878</v>
      </c>
      <c r="B175" t="str">
        <f>VLOOKUP($A175,[1]Export!$G$2:$N$2737,COLUMN(),FALSE)</f>
        <v>UMC The Shores</v>
      </c>
      <c r="C175" t="s">
        <v>512</v>
      </c>
      <c r="D175">
        <v>1430010</v>
      </c>
      <c r="E175">
        <v>39.266444</v>
      </c>
      <c r="F175">
        <v>-74.597999000000002</v>
      </c>
    </row>
    <row r="176" spans="1:6" x14ac:dyDescent="0.3">
      <c r="A176">
        <v>299941</v>
      </c>
      <c r="B176" t="str">
        <f>VLOOKUP($A176,[1]Export!$G$2:$N$2737,COLUMN(),FALSE)</f>
        <v>Wildwood Convention Center</v>
      </c>
      <c r="C176" t="s">
        <v>1676</v>
      </c>
      <c r="D176">
        <v>1430010</v>
      </c>
      <c r="E176">
        <v>38.981617</v>
      </c>
      <c r="F176">
        <v>-74.817412000000004</v>
      </c>
    </row>
    <row r="177" spans="1:6" x14ac:dyDescent="0.3">
      <c r="A177">
        <v>302687</v>
      </c>
      <c r="B177" t="str">
        <f>VLOOKUP($A177,[1]Export!$G$2:$N$2737,COLUMN(),FALSE)</f>
        <v>Bishop McHugh Regional Catholi</v>
      </c>
      <c r="C177" t="s">
        <v>616</v>
      </c>
      <c r="D177">
        <v>1430010</v>
      </c>
      <c r="E177">
        <v>39.163859000000002</v>
      </c>
      <c r="F177">
        <v>-74.753380000000007</v>
      </c>
    </row>
    <row r="178" spans="1:6" x14ac:dyDescent="0.3">
      <c r="A178">
        <v>305603</v>
      </c>
      <c r="B178" t="str">
        <f>VLOOKUP($A178,[1]Export!$G$2:$N$2737,COLUMN(),FALSE)</f>
        <v>The Gardens Operator LLC</v>
      </c>
      <c r="C178" t="s">
        <v>1683</v>
      </c>
      <c r="D178">
        <v>1430010</v>
      </c>
      <c r="E178">
        <v>39.486331</v>
      </c>
      <c r="F178">
        <v>-75.122056999999998</v>
      </c>
    </row>
    <row r="179" spans="1:6" x14ac:dyDescent="0.3">
      <c r="A179">
        <v>322072</v>
      </c>
      <c r="B179" t="str">
        <f>VLOOKUP($A179,[1]Export!$G$2:$N$2737,COLUMN(),FALSE)</f>
        <v>Matteras Liquors Canals</v>
      </c>
      <c r="C179" t="s">
        <v>698</v>
      </c>
      <c r="D179">
        <v>1430010</v>
      </c>
      <c r="E179">
        <v>39.010973999999997</v>
      </c>
      <c r="F179">
        <v>-74.871165000000005</v>
      </c>
    </row>
    <row r="180" spans="1:6" x14ac:dyDescent="0.3">
      <c r="A180">
        <v>325343</v>
      </c>
      <c r="B180" t="str">
        <f>VLOOKUP($A180,[1]Export!$G$2:$N$2737,COLUMN(),FALSE)</f>
        <v>NJ Veterans Home at Vineland</v>
      </c>
      <c r="C180" t="s">
        <v>714</v>
      </c>
      <c r="D180">
        <v>1430010</v>
      </c>
      <c r="E180">
        <v>39.495069000000001</v>
      </c>
      <c r="F180">
        <v>-75.027648999999997</v>
      </c>
    </row>
    <row r="181" spans="1:6" x14ac:dyDescent="0.3">
      <c r="A181">
        <v>343882</v>
      </c>
      <c r="B181" t="str">
        <f>VLOOKUP($A181,[1]Export!$G$2:$N$2737,COLUMN(),FALSE)</f>
        <v>Lower Township School District</v>
      </c>
      <c r="C181" t="s">
        <v>770</v>
      </c>
      <c r="D181">
        <v>1430010</v>
      </c>
      <c r="E181">
        <v>38.966633999999999</v>
      </c>
      <c r="F181">
        <v>-74.920736000000005</v>
      </c>
    </row>
    <row r="182" spans="1:6" x14ac:dyDescent="0.3">
      <c r="A182">
        <v>416687</v>
      </c>
      <c r="B182" t="str">
        <f>VLOOKUP($A182,[1]Export!$G$2:$N$2737,COLUMN(),FALSE)</f>
        <v>Clearview Regional High School</v>
      </c>
      <c r="C182" t="s">
        <v>851</v>
      </c>
      <c r="D182">
        <v>1430010</v>
      </c>
      <c r="E182">
        <v>39.750509999999998</v>
      </c>
      <c r="F182">
        <v>-75.208145000000002</v>
      </c>
    </row>
    <row r="183" spans="1:6" x14ac:dyDescent="0.3">
      <c r="A183">
        <v>417066</v>
      </c>
      <c r="B183" t="str">
        <f>VLOOKUP($A183,[1]Export!$G$2:$N$2737,COLUMN(),FALSE)</f>
        <v>Dennis Township Primary School</v>
      </c>
      <c r="C183" t="s">
        <v>867</v>
      </c>
      <c r="D183">
        <v>1430010</v>
      </c>
      <c r="E183">
        <v>39.168635000000002</v>
      </c>
      <c r="F183">
        <v>-74.794230999999996</v>
      </c>
    </row>
    <row r="184" spans="1:6" x14ac:dyDescent="0.3">
      <c r="A184">
        <v>417340</v>
      </c>
      <c r="B184" t="str">
        <f>VLOOKUP($A184,[1]Export!$G$2:$N$2737,COLUMN(),FALSE)</f>
        <v>Highland Regional High School</v>
      </c>
      <c r="C184" t="s">
        <v>880</v>
      </c>
      <c r="D184">
        <v>1430010</v>
      </c>
      <c r="E184">
        <v>39.802152</v>
      </c>
      <c r="F184">
        <v>-75.049764999999994</v>
      </c>
    </row>
    <row r="185" spans="1:6" x14ac:dyDescent="0.3">
      <c r="A185">
        <v>418087</v>
      </c>
      <c r="B185" t="str">
        <f>VLOOKUP($A185,[1]Export!$G$2:$N$2737,COLUMN(),FALSE)</f>
        <v>Middle Township High School</v>
      </c>
      <c r="C185" t="s">
        <v>904</v>
      </c>
      <c r="D185">
        <v>1430010</v>
      </c>
      <c r="E185">
        <v>39.075175000000002</v>
      </c>
      <c r="F185">
        <v>-74.819485</v>
      </c>
    </row>
    <row r="186" spans="1:6" x14ac:dyDescent="0.3">
      <c r="A186">
        <v>418234</v>
      </c>
      <c r="B186" t="str">
        <f>VLOOKUP($A186,[1]Export!$G$2:$N$2737,COLUMN(),FALSE)</f>
        <v>OPERATIONS</v>
      </c>
      <c r="C186" t="s">
        <v>908</v>
      </c>
      <c r="D186">
        <v>1430010</v>
      </c>
      <c r="E186">
        <v>39.717495</v>
      </c>
      <c r="F186">
        <v>-75.131460000000004</v>
      </c>
    </row>
    <row r="187" spans="1:6" x14ac:dyDescent="0.3">
      <c r="A187">
        <v>418377</v>
      </c>
      <c r="B187" t="str">
        <f>VLOOKUP($A187,[1]Export!$G$2:$N$2737,COLUMN(),FALSE)</f>
        <v>Pitman High School</v>
      </c>
      <c r="C187" t="s">
        <v>939</v>
      </c>
      <c r="D187">
        <v>1430010</v>
      </c>
      <c r="E187">
        <v>39.740546999999999</v>
      </c>
      <c r="F187">
        <v>-75.127241999999995</v>
      </c>
    </row>
    <row r="188" spans="1:6" x14ac:dyDescent="0.3">
      <c r="A188">
        <v>418818</v>
      </c>
      <c r="B188" t="str">
        <f>VLOOKUP($A188,[1]Export!$G$2:$N$2737,COLUMN(),FALSE)</f>
        <v>Timber Creek Regional High Sch</v>
      </c>
      <c r="C188" t="s">
        <v>1714</v>
      </c>
      <c r="D188">
        <v>1430010</v>
      </c>
      <c r="E188">
        <v>39.761650000000003</v>
      </c>
      <c r="F188">
        <v>-75.017837999999998</v>
      </c>
    </row>
    <row r="189" spans="1:6" x14ac:dyDescent="0.3">
      <c r="A189">
        <v>423575</v>
      </c>
      <c r="B189" t="str">
        <f>VLOOKUP($A189,[1]Export!$G$2:$N$2737,COLUMN(),FALSE)</f>
        <v>Cumberland Regional High Schoo</v>
      </c>
      <c r="C189" t="s">
        <v>1003</v>
      </c>
      <c r="D189">
        <v>1430010</v>
      </c>
      <c r="E189">
        <v>39.475067000000003</v>
      </c>
      <c r="F189">
        <v>-75.220706000000007</v>
      </c>
    </row>
    <row r="190" spans="1:6" x14ac:dyDescent="0.3">
      <c r="A190">
        <v>429989</v>
      </c>
      <c r="B190" t="str">
        <f>VLOOKUP($A190,[1]Export!$G$2:$N$2737,COLUMN(),FALSE)</f>
        <v>CMCSSSD -Maintenance Dept</v>
      </c>
      <c r="C190" t="s">
        <v>1048</v>
      </c>
      <c r="D190">
        <v>1430010</v>
      </c>
      <c r="E190">
        <v>39.101301999999997</v>
      </c>
      <c r="F190">
        <v>-74.799026999999995</v>
      </c>
    </row>
    <row r="191" spans="1:6" x14ac:dyDescent="0.3">
      <c r="A191">
        <v>430488</v>
      </c>
      <c r="B191" t="str">
        <f>VLOOKUP($A191,[1]Export!$G$2:$N$2737,COLUMN(),FALSE)</f>
        <v>Buena Regional High School</v>
      </c>
      <c r="C191" t="s">
        <v>1052</v>
      </c>
      <c r="D191">
        <v>1430010</v>
      </c>
      <c r="E191">
        <v>39.535269999999997</v>
      </c>
      <c r="F191">
        <v>-74.917640000000006</v>
      </c>
    </row>
    <row r="192" spans="1:6" x14ac:dyDescent="0.3">
      <c r="A192">
        <v>430489</v>
      </c>
      <c r="B192" t="str">
        <f>VLOOKUP($A192,[1]Export!$G$2:$N$2737,COLUMN(),FALSE)</f>
        <v>J. P. Cleary Elementary School</v>
      </c>
      <c r="C192" t="s">
        <v>1054</v>
      </c>
      <c r="D192">
        <v>1430010</v>
      </c>
      <c r="E192">
        <v>39.513572000000003</v>
      </c>
      <c r="F192">
        <v>-74.947914999999995</v>
      </c>
    </row>
    <row r="193" spans="1:6" x14ac:dyDescent="0.3">
      <c r="A193">
        <v>430495</v>
      </c>
      <c r="B193" t="str">
        <f>VLOOKUP($A193,[1]Export!$G$2:$N$2737,COLUMN(),FALSE)</f>
        <v>Collins Lake Elementary School</v>
      </c>
      <c r="C193" t="s">
        <v>1056</v>
      </c>
      <c r="D193">
        <v>1430010</v>
      </c>
      <c r="E193">
        <v>39.587601999999997</v>
      </c>
      <c r="F193">
        <v>-74.881377999999998</v>
      </c>
    </row>
    <row r="194" spans="1:6" x14ac:dyDescent="0.3">
      <c r="A194">
        <v>430497</v>
      </c>
      <c r="B194" t="str">
        <f>VLOOKUP($A194,[1]Export!$G$2:$N$2737,COLUMN(),FALSE)</f>
        <v>Milanesi Elementary School</v>
      </c>
      <c r="C194" t="s">
        <v>1058</v>
      </c>
      <c r="D194">
        <v>1430010</v>
      </c>
      <c r="E194">
        <v>39.506590000000003</v>
      </c>
      <c r="F194">
        <v>-74.911022000000003</v>
      </c>
    </row>
    <row r="195" spans="1:6" x14ac:dyDescent="0.3">
      <c r="A195">
        <v>430532</v>
      </c>
      <c r="B195" t="str">
        <f>VLOOKUP($A195,[1]Export!$G$2:$N$2737,COLUMN(),FALSE)</f>
        <v>Upper Township Elementary Scho</v>
      </c>
      <c r="C195" t="s">
        <v>1060</v>
      </c>
      <c r="D195">
        <v>1430010</v>
      </c>
      <c r="E195">
        <v>39.269669999999998</v>
      </c>
      <c r="F195">
        <v>-74.648240000000001</v>
      </c>
    </row>
    <row r="196" spans="1:6" x14ac:dyDescent="0.3">
      <c r="A196">
        <v>438780</v>
      </c>
      <c r="B196" t="str">
        <f>VLOOKUP($A196,[1]Export!$G$2:$N$2737,COLUMN(),FALSE)</f>
        <v>Buena Regional Middle School</v>
      </c>
      <c r="C196" t="s">
        <v>1105</v>
      </c>
      <c r="D196">
        <v>1430010</v>
      </c>
      <c r="E196">
        <v>39.535269999999997</v>
      </c>
      <c r="F196">
        <v>-74.917640000000006</v>
      </c>
    </row>
    <row r="197" spans="1:6" x14ac:dyDescent="0.3">
      <c r="A197">
        <v>472748</v>
      </c>
      <c r="B197" t="str">
        <f>VLOOKUP($A197,[1]Export!$G$2:$N$2737,COLUMN(),FALSE)</f>
        <v>Peachtree Health Group LLC</v>
      </c>
      <c r="C197" t="s">
        <v>1332</v>
      </c>
      <c r="D197">
        <v>1430010</v>
      </c>
      <c r="E197">
        <v>38.726697000000001</v>
      </c>
      <c r="F197">
        <v>-75.269324999999995</v>
      </c>
    </row>
    <row r="198" spans="1:6" x14ac:dyDescent="0.3">
      <c r="A198">
        <v>243143</v>
      </c>
      <c r="B198" t="str">
        <f>VLOOKUP($A198,[1]Export!$G$2:$N$2737,COLUMN(),FALSE)</f>
        <v>Cherry Hill Fire Department</v>
      </c>
      <c r="C198" t="s">
        <v>347</v>
      </c>
      <c r="D198">
        <v>1430017</v>
      </c>
      <c r="E198">
        <v>39.904859000000002</v>
      </c>
      <c r="F198">
        <v>-74.976892000000007</v>
      </c>
    </row>
    <row r="199" spans="1:6" x14ac:dyDescent="0.3">
      <c r="A199">
        <v>244072</v>
      </c>
      <c r="B199" t="str">
        <f>VLOOKUP($A199,[1]Export!$G$2:$N$2737,COLUMN(),FALSE)</f>
        <v>North Eastern Hardwood Floors</v>
      </c>
      <c r="C199" t="s">
        <v>375</v>
      </c>
      <c r="D199">
        <v>1430010</v>
      </c>
      <c r="E199">
        <v>39.810554000000003</v>
      </c>
      <c r="F199">
        <v>-74.923126999999994</v>
      </c>
    </row>
    <row r="200" spans="1:6" x14ac:dyDescent="0.3">
      <c r="A200">
        <v>244674</v>
      </c>
      <c r="B200" t="str">
        <f>VLOOKUP($A200,[1]Export!$G$2:$N$2737,COLUMN(),FALSE)</f>
        <v>Medford Township Public School</v>
      </c>
      <c r="C200" t="s">
        <v>391</v>
      </c>
      <c r="D200">
        <v>1430017</v>
      </c>
      <c r="E200">
        <v>39.905171000000003</v>
      </c>
      <c r="F200">
        <v>-74.84742</v>
      </c>
    </row>
    <row r="201" spans="1:6" x14ac:dyDescent="0.3">
      <c r="A201">
        <v>418857</v>
      </c>
      <c r="B201" t="str">
        <f>VLOOKUP($A201,[1]Export!$G$2:$N$2737,COLUMN(),FALSE)</f>
        <v>Triton Regional High School</v>
      </c>
      <c r="C201" t="s">
        <v>1715</v>
      </c>
      <c r="D201">
        <v>1430017</v>
      </c>
      <c r="E201">
        <v>39.850026</v>
      </c>
      <c r="F201">
        <v>-75.062726999999995</v>
      </c>
    </row>
    <row r="202" spans="1:6" x14ac:dyDescent="0.3">
      <c r="A202">
        <v>434909</v>
      </c>
      <c r="B202" t="str">
        <f>VLOOKUP($A202,[1]Export!$G$2:$N$2737,COLUMN(),FALSE)</f>
        <v>Sterling Regional High School</v>
      </c>
      <c r="C202" t="s">
        <v>1092</v>
      </c>
      <c r="D202">
        <v>1430017</v>
      </c>
      <c r="E202">
        <v>39.849905999999997</v>
      </c>
      <c r="F202">
        <v>-75.032673000000003</v>
      </c>
    </row>
    <row r="203" spans="1:6" x14ac:dyDescent="0.3">
      <c r="A203">
        <v>452750</v>
      </c>
      <c r="B203" t="str">
        <f>VLOOKUP($A203,[1]Export!$G$2:$N$2737,COLUMN(),FALSE)</f>
        <v>Alice Costello School</v>
      </c>
      <c r="C203" t="s">
        <v>1168</v>
      </c>
      <c r="D203">
        <v>1430017</v>
      </c>
      <c r="E203">
        <v>39.878014999999998</v>
      </c>
      <c r="F203">
        <v>-75.118482</v>
      </c>
    </row>
    <row r="204" spans="1:6" x14ac:dyDescent="0.3">
      <c r="A204">
        <v>455119</v>
      </c>
      <c r="B204" t="str">
        <f>VLOOKUP($A204,[1]Export!$G$2:$N$2737,COLUMN(),FALSE)</f>
        <v>Eastern High School</v>
      </c>
      <c r="C204" t="s">
        <v>1182</v>
      </c>
      <c r="D204">
        <v>1430017</v>
      </c>
      <c r="E204">
        <v>39.849522999999998</v>
      </c>
      <c r="F204">
        <v>-74.966870999999998</v>
      </c>
    </row>
    <row r="205" spans="1:6" x14ac:dyDescent="0.3">
      <c r="A205">
        <v>458204</v>
      </c>
      <c r="B205" t="str">
        <f>VLOOKUP($A205,[1]Export!$G$2:$N$2737,COLUMN(),FALSE)</f>
        <v>Medford Township Public School</v>
      </c>
      <c r="C205" t="s">
        <v>1731</v>
      </c>
      <c r="D205">
        <v>1430017</v>
      </c>
      <c r="E205">
        <v>39.895589999999999</v>
      </c>
      <c r="F205">
        <v>-74.812399999999997</v>
      </c>
    </row>
    <row r="206" spans="1:6" x14ac:dyDescent="0.3">
      <c r="A206">
        <v>463491</v>
      </c>
      <c r="B206" t="str">
        <f>VLOOKUP($A206,[1]Export!$G$2:$N$2737,COLUMN(),FALSE)</f>
        <v>Milton H Allen School</v>
      </c>
      <c r="C206" t="s">
        <v>1220</v>
      </c>
      <c r="D206">
        <v>1430017</v>
      </c>
      <c r="E206">
        <v>39.897832999999999</v>
      </c>
      <c r="F206">
        <v>-74.827473999999995</v>
      </c>
    </row>
    <row r="207" spans="1:6" x14ac:dyDescent="0.3">
      <c r="A207">
        <v>463492</v>
      </c>
      <c r="B207" t="str">
        <f>VLOOKUP($A207,[1]Export!$G$2:$N$2737,COLUMN(),FALSE)</f>
        <v>Medford Memorial Middle School</v>
      </c>
      <c r="C207" t="s">
        <v>1734</v>
      </c>
      <c r="D207">
        <v>1430017</v>
      </c>
      <c r="E207">
        <v>39.888604999999998</v>
      </c>
      <c r="F207">
        <v>-74.825111000000007</v>
      </c>
    </row>
    <row r="208" spans="1:6" x14ac:dyDescent="0.3">
      <c r="A208">
        <v>463493</v>
      </c>
      <c r="B208" t="str">
        <f>VLOOKUP($A208,[1]Export!$G$2:$N$2737,COLUMN(),FALSE)</f>
        <v>Maurice Everett Haines School</v>
      </c>
      <c r="C208" t="s">
        <v>1735</v>
      </c>
      <c r="D208">
        <v>1430017</v>
      </c>
      <c r="E208">
        <v>39.890925000000003</v>
      </c>
      <c r="F208">
        <v>-74.823757000000001</v>
      </c>
    </row>
    <row r="209" spans="1:6" x14ac:dyDescent="0.3">
      <c r="A209">
        <v>465027</v>
      </c>
      <c r="B209" t="str">
        <f>VLOOKUP($A209,[1]Export!$G$2:$N$2737,COLUMN(),FALSE)</f>
        <v>Kirby's Mill Elementary School</v>
      </c>
      <c r="C209" t="s">
        <v>1244</v>
      </c>
      <c r="D209">
        <v>1430017</v>
      </c>
      <c r="E209">
        <v>39.904857999999997</v>
      </c>
      <c r="F209">
        <v>-74.849068000000003</v>
      </c>
    </row>
    <row r="210" spans="1:6" x14ac:dyDescent="0.3">
      <c r="A210">
        <v>465028</v>
      </c>
      <c r="B210" t="str">
        <f>VLOOKUP($A210,[1]Export!$G$2:$N$2737,COLUMN(),FALSE)</f>
        <v>Chairville Elementary School</v>
      </c>
      <c r="C210" t="s">
        <v>1736</v>
      </c>
      <c r="D210">
        <v>1430017</v>
      </c>
      <c r="E210">
        <v>39.896239000000001</v>
      </c>
      <c r="F210">
        <v>-74.806410999999997</v>
      </c>
    </row>
    <row r="211" spans="1:6" x14ac:dyDescent="0.3">
      <c r="A211">
        <v>465066</v>
      </c>
      <c r="B211" t="str">
        <f>VLOOKUP($A211,[1]Export!$G$2:$N$2737,COLUMN(),FALSE)</f>
        <v>Cranberry Pine Elementary</v>
      </c>
      <c r="C211" t="s">
        <v>1246</v>
      </c>
      <c r="D211">
        <v>1430017</v>
      </c>
      <c r="E211">
        <v>39.854188000000001</v>
      </c>
      <c r="F211">
        <v>-74.844970000000004</v>
      </c>
    </row>
    <row r="212" spans="1:6" x14ac:dyDescent="0.3">
      <c r="A212">
        <v>465067</v>
      </c>
      <c r="B212" t="str">
        <f>VLOOKUP($A212,[1]Export!$G$2:$N$2737,COLUMN(),FALSE)</f>
        <v>Taunton Forge</v>
      </c>
      <c r="C212" t="s">
        <v>1248</v>
      </c>
      <c r="D212">
        <v>1430017</v>
      </c>
      <c r="E212">
        <v>39.880583999999999</v>
      </c>
      <c r="F212">
        <v>-74.844004999999996</v>
      </c>
    </row>
    <row r="213" spans="1:6" x14ac:dyDescent="0.3">
      <c r="A213">
        <v>479890</v>
      </c>
      <c r="B213" t="str">
        <f>VLOOKUP($A213,[1]Export!$G$2:$N$2737,COLUMN(),FALSE)</f>
        <v>AUDUBON JR-SR HIGH SCHOOL</v>
      </c>
      <c r="C213" t="s">
        <v>1355</v>
      </c>
      <c r="D213">
        <v>1430017</v>
      </c>
      <c r="E213">
        <v>39.884742000000003</v>
      </c>
      <c r="F213">
        <v>-75.076086000000004</v>
      </c>
    </row>
    <row r="214" spans="1:6" x14ac:dyDescent="0.3">
      <c r="A214">
        <v>244210</v>
      </c>
      <c r="B214" t="str">
        <f>VLOOKUP($A214,[1]Export!$G$2:$N$2737,COLUMN(),FALSE)</f>
        <v>Atlantic Cape Community Colleg</v>
      </c>
      <c r="C214" t="s">
        <v>385</v>
      </c>
      <c r="D214">
        <v>1430010</v>
      </c>
      <c r="E214">
        <v>39.462097999999997</v>
      </c>
      <c r="F214">
        <v>-74.681916000000001</v>
      </c>
    </row>
    <row r="215" spans="1:6" x14ac:dyDescent="0.3">
      <c r="A215">
        <v>244387</v>
      </c>
      <c r="B215" t="str">
        <f>VLOOKUP($A215,[1]Export!$G$2:$N$2737,COLUMN(),FALSE)</f>
        <v>Greater Egg Harbor Dist Oakcre</v>
      </c>
      <c r="C215" t="s">
        <v>1648</v>
      </c>
      <c r="D215">
        <v>1430010</v>
      </c>
      <c r="E215">
        <v>39.45552</v>
      </c>
      <c r="F215">
        <v>-74.67559</v>
      </c>
    </row>
    <row r="216" spans="1:6" x14ac:dyDescent="0.3">
      <c r="A216">
        <v>317447</v>
      </c>
      <c r="B216" t="str">
        <f>VLOOKUP($A216,[1]Export!$G$2:$N$2737,COLUMN(),FALSE)</f>
        <v>Galloway Township Municipal</v>
      </c>
      <c r="C216" t="s">
        <v>678</v>
      </c>
      <c r="D216">
        <v>1430012</v>
      </c>
      <c r="E216">
        <v>39.464633999999997</v>
      </c>
      <c r="F216">
        <v>-74.499216000000004</v>
      </c>
    </row>
    <row r="217" spans="1:6" x14ac:dyDescent="0.3">
      <c r="A217">
        <v>343689</v>
      </c>
      <c r="B217" t="str">
        <f>VLOOKUP($A217,[1]Export!$G$2:$N$2737,COLUMN(),FALSE)</f>
        <v>Holy Spirit High School</v>
      </c>
      <c r="C217" t="s">
        <v>768</v>
      </c>
      <c r="D217">
        <v>1430012</v>
      </c>
      <c r="E217">
        <v>39.416679000000002</v>
      </c>
      <c r="F217">
        <v>-74.509568000000002</v>
      </c>
    </row>
    <row r="218" spans="1:6" x14ac:dyDescent="0.3">
      <c r="A218">
        <v>416125</v>
      </c>
      <c r="B218" t="str">
        <f>VLOOKUP($A218,[1]Export!$G$2:$N$2737,COLUMN(),FALSE)</f>
        <v>Absegami High School</v>
      </c>
      <c r="C218" t="s">
        <v>831</v>
      </c>
      <c r="D218">
        <v>1430012</v>
      </c>
      <c r="E218">
        <v>39.480457000000001</v>
      </c>
      <c r="F218">
        <v>-74.516105999999994</v>
      </c>
    </row>
    <row r="219" spans="1:6" x14ac:dyDescent="0.3">
      <c r="A219">
        <v>416222</v>
      </c>
      <c r="B219" t="str">
        <f>VLOOKUP($A219,[1]Export!$G$2:$N$2737,COLUMN(),FALSE)</f>
        <v>Atlantic City High School</v>
      </c>
      <c r="C219" t="s">
        <v>835</v>
      </c>
      <c r="D219">
        <v>1430012</v>
      </c>
      <c r="E219">
        <v>39.367274000000002</v>
      </c>
      <c r="F219">
        <v>-74.477407999999997</v>
      </c>
    </row>
    <row r="220" spans="1:6" x14ac:dyDescent="0.3">
      <c r="A220">
        <v>416847</v>
      </c>
      <c r="B220" t="str">
        <f>VLOOKUP($A220,[1]Export!$G$2:$N$2737,COLUMN(),FALSE)</f>
        <v>William Davies Middle School</v>
      </c>
      <c r="C220" t="s">
        <v>1704</v>
      </c>
      <c r="D220">
        <v>1430010</v>
      </c>
      <c r="E220">
        <v>39.448799999999999</v>
      </c>
      <c r="F220">
        <v>-74.678309999999996</v>
      </c>
    </row>
    <row r="221" spans="1:6" x14ac:dyDescent="0.3">
      <c r="A221">
        <v>417331</v>
      </c>
      <c r="B221" t="str">
        <f>VLOOKUP($A221,[1]Export!$G$2:$N$2737,COLUMN(),FALSE)</f>
        <v>George L. Hess Educational Com</v>
      </c>
      <c r="C221" t="s">
        <v>876</v>
      </c>
      <c r="D221">
        <v>1430010</v>
      </c>
      <c r="E221">
        <v>39.431888999999998</v>
      </c>
      <c r="F221">
        <v>-74.694198999999998</v>
      </c>
    </row>
    <row r="222" spans="1:6" x14ac:dyDescent="0.3">
      <c r="A222">
        <v>417664</v>
      </c>
      <c r="B222" t="str">
        <f>VLOOKUP($A222,[1]Export!$G$2:$N$2737,COLUMN(),FALSE)</f>
        <v>Joseph C. Shaner Memorial Scho</v>
      </c>
      <c r="C222" t="s">
        <v>885</v>
      </c>
      <c r="D222">
        <v>1430010</v>
      </c>
      <c r="E222">
        <v>39.453698000000003</v>
      </c>
      <c r="F222">
        <v>-74.723607999999999</v>
      </c>
    </row>
    <row r="223" spans="1:6" x14ac:dyDescent="0.3">
      <c r="A223">
        <v>417899</v>
      </c>
      <c r="B223" t="str">
        <f>VLOOKUP($A223,[1]Export!$G$2:$N$2737,COLUMN(),FALSE)</f>
        <v>Cedar Creek High School</v>
      </c>
      <c r="C223" t="s">
        <v>894</v>
      </c>
      <c r="D223">
        <v>1430010</v>
      </c>
      <c r="E223">
        <v>39.551631</v>
      </c>
      <c r="F223">
        <v>-74.627809999999997</v>
      </c>
    </row>
    <row r="224" spans="1:6" x14ac:dyDescent="0.3">
      <c r="A224">
        <v>418384</v>
      </c>
      <c r="B224" t="str">
        <f>VLOOKUP($A224,[1]Export!$G$2:$N$2737,COLUMN(),FALSE)</f>
        <v>Pleasantville High School</v>
      </c>
      <c r="C224" t="s">
        <v>942</v>
      </c>
      <c r="D224">
        <v>1430012</v>
      </c>
      <c r="E224">
        <v>39.406109000000001</v>
      </c>
      <c r="F224">
        <v>-74.527463999999995</v>
      </c>
    </row>
    <row r="225" spans="1:6" x14ac:dyDescent="0.3">
      <c r="A225">
        <v>432455</v>
      </c>
      <c r="B225" t="str">
        <f>VLOOKUP($A225,[1]Export!$G$2:$N$2737,COLUMN(),FALSE)</f>
        <v>Tropicana Receiving Dept.</v>
      </c>
      <c r="C225" t="s">
        <v>1077</v>
      </c>
      <c r="D225">
        <v>1430012</v>
      </c>
      <c r="E225">
        <v>39.354581000000003</v>
      </c>
      <c r="F225">
        <v>-74.448654000000005</v>
      </c>
    </row>
    <row r="226" spans="1:6" x14ac:dyDescent="0.3">
      <c r="A226">
        <v>439786</v>
      </c>
      <c r="B226" t="str">
        <f>VLOOKUP($A226,[1]Export!$G$2:$N$2737,COLUMN(),FALSE)</f>
        <v>Div. of Support Services</v>
      </c>
      <c r="C226" t="s">
        <v>1725</v>
      </c>
      <c r="D226">
        <v>1430012</v>
      </c>
      <c r="E226">
        <v>39.376882999999999</v>
      </c>
      <c r="F226">
        <v>-74.538041000000007</v>
      </c>
    </row>
    <row r="227" spans="1:6" x14ac:dyDescent="0.3">
      <c r="A227">
        <v>448558</v>
      </c>
      <c r="B227" t="str">
        <f>VLOOKUP($A227,[1]Export!$G$2:$N$2737,COLUMN(),FALSE)</f>
        <v>Pleasantville Public Schools</v>
      </c>
      <c r="C227" t="s">
        <v>1143</v>
      </c>
      <c r="D227">
        <v>1430012</v>
      </c>
      <c r="E227">
        <v>39.407508999999997</v>
      </c>
      <c r="F227">
        <v>-74.526931000000005</v>
      </c>
    </row>
    <row r="228" spans="1:6" x14ac:dyDescent="0.3">
      <c r="A228">
        <v>449174</v>
      </c>
      <c r="B228" t="str">
        <f>VLOOKUP($A228,[1]Export!$G$2:$N$2737,COLUMN(),FALSE)</f>
        <v>Brigantine Board Of Education</v>
      </c>
      <c r="C228" t="s">
        <v>1147</v>
      </c>
      <c r="D228">
        <v>1430012</v>
      </c>
      <c r="E228">
        <v>39.411504000000001</v>
      </c>
      <c r="F228">
        <v>-74.364667999999995</v>
      </c>
    </row>
    <row r="229" spans="1:6" x14ac:dyDescent="0.3">
      <c r="A229">
        <v>475103</v>
      </c>
      <c r="B229" t="str">
        <f>VLOOKUP($A229,[1]Export!$G$2:$N$2737,COLUMN(),FALSE)</f>
        <v>Atilis Gym EHT</v>
      </c>
      <c r="C229" t="s">
        <v>1745</v>
      </c>
      <c r="D229">
        <v>1430012</v>
      </c>
      <c r="E229">
        <v>39.465960000000003</v>
      </c>
      <c r="F229">
        <v>-74.495665000000002</v>
      </c>
    </row>
    <row r="230" spans="1:6" x14ac:dyDescent="0.3">
      <c r="A230">
        <v>480267</v>
      </c>
      <c r="B230" t="str">
        <f>VLOOKUP($A230,[1]Export!$G$2:$N$2737,COLUMN(),FALSE)</f>
        <v>Galloway SD Operations Bldg</v>
      </c>
      <c r="C230" t="s">
        <v>1747</v>
      </c>
      <c r="D230">
        <v>1430012</v>
      </c>
      <c r="E230">
        <v>39.489293000000004</v>
      </c>
      <c r="F230">
        <v>-74.458924999999994</v>
      </c>
    </row>
    <row r="231" spans="1:6" x14ac:dyDescent="0.3">
      <c r="A231">
        <v>480380</v>
      </c>
      <c r="B231" t="str">
        <f>VLOOKUP($A231,[1]Export!$G$2:$N$2737,COLUMN(),FALSE)</f>
        <v>Caesars Atlantic City</v>
      </c>
      <c r="C231" t="s">
        <v>1360</v>
      </c>
      <c r="D231">
        <v>1430012</v>
      </c>
      <c r="E231">
        <v>39.356285999999997</v>
      </c>
      <c r="F231">
        <v>-74.435967000000005</v>
      </c>
    </row>
    <row r="232" spans="1:6" x14ac:dyDescent="0.3">
      <c r="A232">
        <v>480713</v>
      </c>
      <c r="B232" t="str">
        <f>VLOOKUP($A232,[1]Export!$G$2:$N$2737,COLUMN(),FALSE)</f>
        <v>Meadowview Nursing Home COA</v>
      </c>
      <c r="C232" t="s">
        <v>1373</v>
      </c>
      <c r="D232">
        <v>1430012</v>
      </c>
      <c r="E232">
        <v>39.379933999999999</v>
      </c>
      <c r="F232">
        <v>-74.542322999999996</v>
      </c>
    </row>
    <row r="233" spans="1:6" x14ac:dyDescent="0.3">
      <c r="A233">
        <v>480927</v>
      </c>
      <c r="B233" t="str">
        <f>VLOOKUP($A233,[1]Export!$G$2:$N$2737,COLUMN(),FALSE)</f>
        <v>Royal Suites Housekeeping Patr</v>
      </c>
      <c r="C233" t="s">
        <v>1375</v>
      </c>
      <c r="D233">
        <v>1430012</v>
      </c>
      <c r="E233">
        <v>39.357050000000001</v>
      </c>
      <c r="F233">
        <v>-74.426636999999999</v>
      </c>
    </row>
    <row r="234" spans="1:6" x14ac:dyDescent="0.3">
      <c r="A234">
        <v>243100</v>
      </c>
      <c r="B234" t="str">
        <f>VLOOKUP($A234,[1]Export!$G$2:$N$2737,COLUMN(),FALSE)</f>
        <v>Cathedral Village</v>
      </c>
      <c r="C234" t="s">
        <v>343</v>
      </c>
      <c r="D234">
        <v>1430016</v>
      </c>
      <c r="E234">
        <v>40.064836999999997</v>
      </c>
      <c r="F234">
        <v>-75.242802999999995</v>
      </c>
    </row>
    <row r="235" spans="1:6" x14ac:dyDescent="0.3">
      <c r="A235">
        <v>244752</v>
      </c>
      <c r="B235" t="str">
        <f>VLOOKUP($A235,[1]Export!$G$2:$N$2737,COLUMN(),FALSE)</f>
        <v>Journal Register Company</v>
      </c>
      <c r="C235" t="s">
        <v>399</v>
      </c>
      <c r="D235">
        <v>1430016</v>
      </c>
      <c r="E235">
        <v>40.057485</v>
      </c>
      <c r="F235">
        <v>-75.673405000000002</v>
      </c>
    </row>
    <row r="236" spans="1:6" x14ac:dyDescent="0.3">
      <c r="A236">
        <v>245745</v>
      </c>
      <c r="B236" t="str">
        <f>VLOOKUP($A236,[1]Export!$G$2:$N$2737,COLUMN(),FALSE)</f>
        <v>ARCHBISHOP CARROLL HIGH SCHOOL</v>
      </c>
      <c r="C236" t="s">
        <v>419</v>
      </c>
      <c r="D236">
        <v>1430013</v>
      </c>
      <c r="E236">
        <v>40.046349999999997</v>
      </c>
      <c r="F236">
        <v>-75.353767000000005</v>
      </c>
    </row>
    <row r="237" spans="1:6" x14ac:dyDescent="0.3">
      <c r="A237">
        <v>246590</v>
      </c>
      <c r="B237" t="str">
        <f>VLOOKUP($A237,[1]Export!$G$2:$N$2737,COLUMN(),FALSE)</f>
        <v>Ye Olde Ale House</v>
      </c>
      <c r="C237" t="s">
        <v>448</v>
      </c>
      <c r="D237">
        <v>1430016</v>
      </c>
      <c r="E237">
        <v>40.092891000000002</v>
      </c>
      <c r="F237">
        <v>-75.260931999999997</v>
      </c>
    </row>
    <row r="238" spans="1:6" x14ac:dyDescent="0.3">
      <c r="A238">
        <v>254929</v>
      </c>
      <c r="B238" t="str">
        <f>VLOOKUP($A238,[1]Export!$G$2:$N$2737,COLUMN(),FALSE)</f>
        <v>Closets by Design - Custom Sto</v>
      </c>
      <c r="C238" t="s">
        <v>464</v>
      </c>
      <c r="D238">
        <v>1430016</v>
      </c>
      <c r="E238">
        <v>40.035834999999999</v>
      </c>
      <c r="F238">
        <v>-75.553236999999996</v>
      </c>
    </row>
    <row r="239" spans="1:6" x14ac:dyDescent="0.3">
      <c r="A239">
        <v>268915</v>
      </c>
      <c r="B239" t="str">
        <f>VLOOKUP($A239,[1]Export!$G$2:$N$2737,COLUMN(),FALSE)</f>
        <v>Eagle Design Group LLC</v>
      </c>
      <c r="C239" t="s">
        <v>484</v>
      </c>
      <c r="D239">
        <v>1430016</v>
      </c>
      <c r="E239">
        <v>40.074641999999997</v>
      </c>
      <c r="F239">
        <v>-75.679427000000004</v>
      </c>
    </row>
    <row r="240" spans="1:6" x14ac:dyDescent="0.3">
      <c r="A240">
        <v>274439</v>
      </c>
      <c r="B240" t="str">
        <f>VLOOKUP($A240,[1]Export!$G$2:$N$2737,COLUMN(),FALSE)</f>
        <v>Church of the Saviour</v>
      </c>
      <c r="C240" t="s">
        <v>518</v>
      </c>
      <c r="D240">
        <v>1430016</v>
      </c>
      <c r="E240">
        <v>40.054324999999999</v>
      </c>
      <c r="F240">
        <v>-75.390249999999995</v>
      </c>
    </row>
    <row r="241" spans="1:6" x14ac:dyDescent="0.3">
      <c r="A241">
        <v>279804</v>
      </c>
      <c r="B241" t="str">
        <f>VLOOKUP($A241,[1]Export!$G$2:$N$2737,COLUMN(),FALSE)</f>
        <v>Fred Beans VW of Devon</v>
      </c>
      <c r="C241" t="s">
        <v>526</v>
      </c>
      <c r="D241">
        <v>1430016</v>
      </c>
      <c r="E241">
        <v>40.045364999999997</v>
      </c>
      <c r="F241">
        <v>-75.430081000000001</v>
      </c>
    </row>
    <row r="242" spans="1:6" x14ac:dyDescent="0.3">
      <c r="A242">
        <v>296247</v>
      </c>
      <c r="B242" t="str">
        <f>VLOOKUP($A242,[1]Export!$G$2:$N$2737,COLUMN(),FALSE)</f>
        <v>St Patrick Parish</v>
      </c>
      <c r="C242" t="s">
        <v>578</v>
      </c>
      <c r="D242">
        <v>1430016</v>
      </c>
      <c r="E242">
        <v>40.035469999999997</v>
      </c>
      <c r="F242">
        <v>-75.511949999999999</v>
      </c>
    </row>
    <row r="243" spans="1:6" x14ac:dyDescent="0.3">
      <c r="A243">
        <v>296325</v>
      </c>
      <c r="B243" t="str">
        <f>VLOOKUP($A243,[1]Export!$G$2:$N$2737,COLUMN(),FALSE)</f>
        <v>Phil Mont Christian Academy</v>
      </c>
      <c r="C243" t="s">
        <v>580</v>
      </c>
      <c r="D243">
        <v>1430016</v>
      </c>
      <c r="E243">
        <v>40.088863000000003</v>
      </c>
      <c r="F243">
        <v>-75.179925999999995</v>
      </c>
    </row>
    <row r="244" spans="1:6" x14ac:dyDescent="0.3">
      <c r="A244">
        <v>299033</v>
      </c>
      <c r="B244" t="str">
        <f>VLOOKUP($A244,[1]Export!$G$2:$N$2737,COLUMN(),FALSE)</f>
        <v>Kendall Electric</v>
      </c>
      <c r="C244" t="s">
        <v>602</v>
      </c>
      <c r="D244">
        <v>1430016</v>
      </c>
      <c r="E244">
        <v>40.079588999999999</v>
      </c>
      <c r="F244">
        <v>-75.310717999999994</v>
      </c>
    </row>
    <row r="245" spans="1:6" x14ac:dyDescent="0.3">
      <c r="A245">
        <v>303635</v>
      </c>
      <c r="B245" t="str">
        <f>VLOOKUP($A245,[1]Export!$G$2:$N$2737,COLUMN(),FALSE)</f>
        <v>Misko Inc.</v>
      </c>
      <c r="C245" t="s">
        <v>618</v>
      </c>
      <c r="D245">
        <v>1430016</v>
      </c>
      <c r="E245">
        <v>40.061514000000003</v>
      </c>
      <c r="F245">
        <v>-75.642668999999998</v>
      </c>
    </row>
    <row r="246" spans="1:6" x14ac:dyDescent="0.3">
      <c r="A246">
        <v>309392</v>
      </c>
      <c r="B246" t="str">
        <f>VLOOKUP($A246,[1]Export!$G$2:$N$2737,COLUMN(),FALSE)</f>
        <v>Holy Child School At Rosemont</v>
      </c>
      <c r="C246" t="s">
        <v>658</v>
      </c>
      <c r="D246">
        <v>1430016</v>
      </c>
      <c r="E246">
        <v>40.031834000000003</v>
      </c>
      <c r="F246">
        <v>-75.326818000000003</v>
      </c>
    </row>
    <row r="247" spans="1:6" x14ac:dyDescent="0.3">
      <c r="A247">
        <v>319931</v>
      </c>
      <c r="B247" t="str">
        <f>VLOOKUP($A247,[1]Export!$G$2:$N$2737,COLUMN(),FALSE)</f>
        <v>Audi of Devon</v>
      </c>
      <c r="C247" t="s">
        <v>688</v>
      </c>
      <c r="D247">
        <v>1430016</v>
      </c>
      <c r="E247">
        <v>40.044398999999999</v>
      </c>
      <c r="F247">
        <v>-75.425315999999995</v>
      </c>
    </row>
    <row r="248" spans="1:6" x14ac:dyDescent="0.3">
      <c r="A248">
        <v>331272</v>
      </c>
      <c r="B248" t="str">
        <f>VLOOKUP($A248,[1]Export!$G$2:$N$2737,COLUMN(),FALSE)</f>
        <v>CC - The Grayson School</v>
      </c>
      <c r="C248" t="s">
        <v>728</v>
      </c>
      <c r="D248">
        <v>1430013</v>
      </c>
      <c r="E248">
        <v>40.046349999999997</v>
      </c>
      <c r="F248">
        <v>-75.353767000000005</v>
      </c>
    </row>
    <row r="249" spans="1:6" x14ac:dyDescent="0.3">
      <c r="A249">
        <v>339092</v>
      </c>
      <c r="B249" t="str">
        <f>VLOOKUP($A249,[1]Export!$G$2:$N$2737,COLUMN(),FALSE)</f>
        <v>Saint Monica Church</v>
      </c>
      <c r="C249" t="s">
        <v>744</v>
      </c>
      <c r="D249">
        <v>1430016</v>
      </c>
      <c r="E249">
        <v>40.045946999999998</v>
      </c>
      <c r="F249">
        <v>-75.440398000000002</v>
      </c>
    </row>
    <row r="250" spans="1:6" x14ac:dyDescent="0.3">
      <c r="A250">
        <v>343427</v>
      </c>
      <c r="B250" t="str">
        <f>VLOOKUP($A250,[1]Export!$G$2:$N$2737,COLUMN(),FALSE)</f>
        <v>Union League Liberty Hill</v>
      </c>
      <c r="C250" t="s">
        <v>764</v>
      </c>
      <c r="D250">
        <v>1430016</v>
      </c>
      <c r="E250">
        <v>40.076630000000002</v>
      </c>
      <c r="F250">
        <v>-75.252816999999993</v>
      </c>
    </row>
    <row r="251" spans="1:6" x14ac:dyDescent="0.3">
      <c r="A251">
        <v>345425</v>
      </c>
      <c r="B251" t="str">
        <f>VLOOKUP($A251,[1]Export!$G$2:$N$2737,COLUMN(),FALSE)</f>
        <v>THE WILLOWSTONE SCHOOL</v>
      </c>
      <c r="C251" t="s">
        <v>777</v>
      </c>
      <c r="D251">
        <v>1430016</v>
      </c>
      <c r="E251">
        <v>40.039400999999998</v>
      </c>
      <c r="F251">
        <v>-75.506704999999997</v>
      </c>
    </row>
    <row r="252" spans="1:6" x14ac:dyDescent="0.3">
      <c r="A252">
        <v>416716</v>
      </c>
      <c r="B252" t="str">
        <f>VLOOKUP($A252,[1]Export!$G$2:$N$2737,COLUMN(),FALSE)</f>
        <v>Colonial Elementary School</v>
      </c>
      <c r="C252" t="s">
        <v>855</v>
      </c>
      <c r="D252">
        <v>1430016</v>
      </c>
      <c r="E252">
        <v>40.10248</v>
      </c>
      <c r="F252">
        <v>-75.266859999999994</v>
      </c>
    </row>
    <row r="253" spans="1:6" x14ac:dyDescent="0.3">
      <c r="A253">
        <v>417399</v>
      </c>
      <c r="B253" t="str">
        <f>VLOOKUP($A253,[1]Export!$G$2:$N$2737,COLUMN(),FALSE)</f>
        <v>Warehouse - Great Valley S.D.</v>
      </c>
      <c r="C253" t="s">
        <v>1706</v>
      </c>
      <c r="D253">
        <v>1430016</v>
      </c>
      <c r="E253">
        <v>40.044302999999999</v>
      </c>
      <c r="F253">
        <v>-75.579829000000004</v>
      </c>
    </row>
    <row r="254" spans="1:6" x14ac:dyDescent="0.3">
      <c r="A254">
        <v>418385</v>
      </c>
      <c r="B254" t="str">
        <f>VLOOKUP($A254,[1]Export!$G$2:$N$2737,COLUMN(),FALSE)</f>
        <v>Plymouth Elementary School</v>
      </c>
      <c r="C254" t="s">
        <v>944</v>
      </c>
      <c r="D254">
        <v>1430016</v>
      </c>
      <c r="E254">
        <v>40.115628000000001</v>
      </c>
      <c r="F254">
        <v>-75.295199999999994</v>
      </c>
    </row>
    <row r="255" spans="1:6" x14ac:dyDescent="0.3">
      <c r="A255">
        <v>418387</v>
      </c>
      <c r="B255" t="str">
        <f>VLOOKUP($A255,[1]Export!$G$2:$N$2737,COLUMN(),FALSE)</f>
        <v>Plymouth Whitemarsh High Schoo</v>
      </c>
      <c r="C255" t="s">
        <v>946</v>
      </c>
      <c r="D255">
        <v>1430016</v>
      </c>
      <c r="E255">
        <v>40.099080000000001</v>
      </c>
      <c r="F255">
        <v>-75.270030000000006</v>
      </c>
    </row>
    <row r="256" spans="1:6" x14ac:dyDescent="0.3">
      <c r="A256">
        <v>418444</v>
      </c>
      <c r="B256" t="str">
        <f>VLOOKUP($A256,[1]Export!$G$2:$N$2737,COLUMN(),FALSE)</f>
        <v>Radnor High School - Maint. Sh</v>
      </c>
      <c r="C256" t="s">
        <v>954</v>
      </c>
      <c r="D256">
        <v>1430016</v>
      </c>
      <c r="E256">
        <v>40.039439999999999</v>
      </c>
      <c r="F256">
        <v>-75.360119999999995</v>
      </c>
    </row>
    <row r="257" spans="1:6" x14ac:dyDescent="0.3">
      <c r="A257">
        <v>418481</v>
      </c>
      <c r="B257" t="str">
        <f>VLOOKUP($A257,[1]Export!$G$2:$N$2737,COLUMN(),FALSE)</f>
        <v>Ridge Park Elementary School</v>
      </c>
      <c r="C257" t="s">
        <v>958</v>
      </c>
      <c r="D257">
        <v>1430016</v>
      </c>
      <c r="E257">
        <v>40.097589999999997</v>
      </c>
      <c r="F257">
        <v>-75.290285999999995</v>
      </c>
    </row>
    <row r="258" spans="1:6" x14ac:dyDescent="0.3">
      <c r="A258">
        <v>418850</v>
      </c>
      <c r="B258" t="str">
        <f>VLOOKUP($A258,[1]Export!$G$2:$N$2737,COLUMN(),FALSE)</f>
        <v>Maintenance / Transportation D</v>
      </c>
      <c r="C258" t="s">
        <v>976</v>
      </c>
      <c r="D258">
        <v>1430016</v>
      </c>
      <c r="E258">
        <v>40.047181999999999</v>
      </c>
      <c r="F258">
        <v>-75.449449999999999</v>
      </c>
    </row>
    <row r="259" spans="1:6" x14ac:dyDescent="0.3">
      <c r="A259">
        <v>431926</v>
      </c>
      <c r="B259" t="str">
        <f>VLOOKUP($A259,[1]Export!$G$2:$N$2737,COLUMN(),FALSE)</f>
        <v>UTI Universal Technical Instit</v>
      </c>
      <c r="C259" t="s">
        <v>1071</v>
      </c>
      <c r="D259">
        <v>1430016</v>
      </c>
      <c r="E259">
        <v>40.071077000000002</v>
      </c>
      <c r="F259">
        <v>-75.686532</v>
      </c>
    </row>
    <row r="260" spans="1:6" x14ac:dyDescent="0.3">
      <c r="A260">
        <v>460002</v>
      </c>
      <c r="B260" t="str">
        <f>VLOOKUP($A260,[1]Export!$G$2:$N$2737,COLUMN(),FALSE)</f>
        <v>Central Baptist Church of Wayn</v>
      </c>
      <c r="C260" t="s">
        <v>1206</v>
      </c>
      <c r="D260">
        <v>1430016</v>
      </c>
      <c r="E260">
        <v>40.044600000000003</v>
      </c>
      <c r="F260">
        <v>-75.38776</v>
      </c>
    </row>
    <row r="261" spans="1:6" x14ac:dyDescent="0.3">
      <c r="A261">
        <v>469218</v>
      </c>
      <c r="B261" t="str">
        <f>VLOOKUP($A261,[1]Export!$G$2:$N$2737,COLUMN(),FALSE)</f>
        <v>Bryn Mawr College</v>
      </c>
      <c r="C261" t="s">
        <v>1289</v>
      </c>
      <c r="D261">
        <v>1430016</v>
      </c>
      <c r="E261">
        <v>40.027290000000001</v>
      </c>
      <c r="F261">
        <v>-75.315470000000005</v>
      </c>
    </row>
    <row r="262" spans="1:6" x14ac:dyDescent="0.3">
      <c r="A262">
        <v>470628</v>
      </c>
      <c r="B262" t="str">
        <f>VLOOKUP($A262,[1]Export!$G$2:$N$2737,COLUMN(),FALSE)</f>
        <v>Sunik LLC</v>
      </c>
      <c r="C262" t="s">
        <v>1311</v>
      </c>
      <c r="D262">
        <v>1430016</v>
      </c>
      <c r="E262">
        <v>40.077438000000001</v>
      </c>
      <c r="F262">
        <v>-75.187529999999995</v>
      </c>
    </row>
    <row r="263" spans="1:6" x14ac:dyDescent="0.3">
      <c r="A263">
        <v>480500</v>
      </c>
      <c r="B263" t="str">
        <f>VLOOKUP($A263,[1]Export!$G$2:$N$2737,COLUMN(),FALSE)</f>
        <v>MASONIC VILLAGE LAFAYETTE VILL</v>
      </c>
      <c r="C263" t="s">
        <v>1363</v>
      </c>
      <c r="D263">
        <v>1430016</v>
      </c>
      <c r="E263">
        <v>40.078482000000001</v>
      </c>
      <c r="F263">
        <v>-75.248406000000003</v>
      </c>
    </row>
    <row r="264" spans="1:6" x14ac:dyDescent="0.3">
      <c r="A264">
        <v>481112</v>
      </c>
      <c r="B264" t="str">
        <f>VLOOKUP($A264,[1]Export!$G$2:$N$2737,COLUMN(),FALSE)</f>
        <v>St Matthew's United Methodist</v>
      </c>
      <c r="C264" t="s">
        <v>1378</v>
      </c>
      <c r="D264">
        <v>1430016</v>
      </c>
      <c r="E264">
        <v>40.081271000000001</v>
      </c>
      <c r="F264">
        <v>-75.421974000000006</v>
      </c>
    </row>
    <row r="265" spans="1:6" x14ac:dyDescent="0.3">
      <c r="A265">
        <v>279782</v>
      </c>
      <c r="B265" t="str">
        <f>VLOOKUP($A265,[1]Export!$G$2:$N$2737,COLUMN(),FALSE)</f>
        <v>Bethany Wesleyan Church</v>
      </c>
      <c r="C265" t="s">
        <v>524</v>
      </c>
      <c r="D265">
        <v>1430033</v>
      </c>
      <c r="E265">
        <v>40.756923999999998</v>
      </c>
      <c r="F265">
        <v>-75.537763999999996</v>
      </c>
    </row>
    <row r="266" spans="1:6" x14ac:dyDescent="0.3">
      <c r="A266">
        <v>299906</v>
      </c>
      <c r="B266" t="str">
        <f>VLOOKUP($A266,[1]Export!$G$2:$N$2737,COLUMN(),FALSE)</f>
        <v>Roseto Borough</v>
      </c>
      <c r="C266" t="s">
        <v>610</v>
      </c>
      <c r="D266">
        <v>1430014</v>
      </c>
      <c r="E266">
        <v>40.878660000000004</v>
      </c>
      <c r="F266">
        <v>-75.214595000000003</v>
      </c>
    </row>
    <row r="267" spans="1:6" x14ac:dyDescent="0.3">
      <c r="A267">
        <v>306637</v>
      </c>
      <c r="B267" t="str">
        <f>VLOOKUP($A267,[1]Export!$G$2:$N$2737,COLUMN(),FALSE)</f>
        <v>Biospectra Inc</v>
      </c>
      <c r="C267" t="s">
        <v>640</v>
      </c>
      <c r="D267">
        <v>1430014</v>
      </c>
      <c r="E267">
        <v>40.855868000000001</v>
      </c>
      <c r="F267">
        <v>-75.200770000000006</v>
      </c>
    </row>
    <row r="268" spans="1:6" x14ac:dyDescent="0.3">
      <c r="A268">
        <v>416689</v>
      </c>
      <c r="B268" t="str">
        <f>VLOOKUP($A268,[1]Export!$G$2:$N$2737,COLUMN(),FALSE)</f>
        <v>Pleasant Valley High School</v>
      </c>
      <c r="C268" t="s">
        <v>853</v>
      </c>
      <c r="D268">
        <v>1430014</v>
      </c>
      <c r="E268">
        <v>40.922745999999997</v>
      </c>
      <c r="F268">
        <v>-75.403645999999995</v>
      </c>
    </row>
    <row r="269" spans="1:6" x14ac:dyDescent="0.3">
      <c r="A269">
        <v>480252</v>
      </c>
      <c r="B269" t="str">
        <f>VLOOKUP($A269,[1]Export!$G$2:$N$2737,COLUMN(),FALSE)</f>
        <v>BioSpectra</v>
      </c>
      <c r="C269" t="s">
        <v>640</v>
      </c>
      <c r="D269">
        <v>1430014</v>
      </c>
      <c r="E269">
        <v>40.855868000000001</v>
      </c>
      <c r="F269">
        <v>-75.200770000000006</v>
      </c>
    </row>
    <row r="270" spans="1:6" x14ac:dyDescent="0.3">
      <c r="A270">
        <v>241276</v>
      </c>
      <c r="B270" t="str">
        <f>VLOOKUP($A270,[1]Export!$G$2:$N$2737,COLUMN(),FALSE)</f>
        <v>NORTHEAST JANITORIAL SUPPLY LL</v>
      </c>
      <c r="C270" t="s">
        <v>283</v>
      </c>
      <c r="D270">
        <v>1430016</v>
      </c>
      <c r="E270">
        <v>40.621958999999997</v>
      </c>
      <c r="F270">
        <v>-75.447389000000001</v>
      </c>
    </row>
    <row r="271" spans="1:6" x14ac:dyDescent="0.3">
      <c r="A271">
        <v>243967</v>
      </c>
      <c r="B271" t="str">
        <f>VLOOKUP($A271,[1]Export!$G$2:$N$2737,COLUMN(),FALSE)</f>
        <v>Milford Enterprises Inc.</v>
      </c>
      <c r="C271" t="s">
        <v>371</v>
      </c>
      <c r="D271">
        <v>1430016</v>
      </c>
      <c r="E271">
        <v>40.440883999999997</v>
      </c>
      <c r="F271">
        <v>-75.375559999999993</v>
      </c>
    </row>
    <row r="272" spans="1:6" x14ac:dyDescent="0.3">
      <c r="A272">
        <v>244689</v>
      </c>
      <c r="B272" t="str">
        <f>VLOOKUP($A272,[1]Export!$G$2:$N$2737,COLUMN(),FALSE)</f>
        <v>Ciocca Hyundai</v>
      </c>
      <c r="C272" t="s">
        <v>395</v>
      </c>
      <c r="D272">
        <v>1430016</v>
      </c>
      <c r="E272">
        <v>40.429423999999997</v>
      </c>
      <c r="F272">
        <v>-75.350738000000007</v>
      </c>
    </row>
    <row r="273" spans="1:6" x14ac:dyDescent="0.3">
      <c r="A273">
        <v>246467</v>
      </c>
      <c r="B273" t="str">
        <f>VLOOKUP($A273,[1]Export!$G$2:$N$2737,COLUMN(),FALSE)</f>
        <v>Upper Bucks Co Tech School</v>
      </c>
      <c r="C273" t="s">
        <v>436</v>
      </c>
      <c r="D273">
        <v>1430005</v>
      </c>
      <c r="E273">
        <v>40.430525000000003</v>
      </c>
      <c r="F273">
        <v>-75.234277000000006</v>
      </c>
    </row>
    <row r="274" spans="1:6" x14ac:dyDescent="0.3">
      <c r="A274">
        <v>269945</v>
      </c>
      <c r="B274" t="str">
        <f>VLOOKUP($A274,[1]Export!$G$2:$N$2737,COLUMN(),FALSE)</f>
        <v>Ciocca Volkswagon of Allentown</v>
      </c>
      <c r="C274" t="s">
        <v>492</v>
      </c>
      <c r="D274">
        <v>1430016</v>
      </c>
      <c r="E274">
        <v>40.582904999999997</v>
      </c>
      <c r="F274">
        <v>-75.477538999999993</v>
      </c>
    </row>
    <row r="275" spans="1:6" x14ac:dyDescent="0.3">
      <c r="A275">
        <v>297316</v>
      </c>
      <c r="B275" t="str">
        <f>VLOOKUP($A275,[1]Export!$G$2:$N$2737,COLUMN(),FALSE)</f>
        <v>CALVARY CHURCH</v>
      </c>
      <c r="C275" t="s">
        <v>590</v>
      </c>
      <c r="D275">
        <v>1430016</v>
      </c>
      <c r="E275">
        <v>40.324551</v>
      </c>
      <c r="F275">
        <v>-75.298706999999993</v>
      </c>
    </row>
    <row r="276" spans="1:6" x14ac:dyDescent="0.3">
      <c r="A276">
        <v>418310</v>
      </c>
      <c r="B276" t="str">
        <f>VLOOKUP($A276,[1]Export!$G$2:$N$2737,COLUMN(),FALSE)</f>
        <v>Central Middle School</v>
      </c>
      <c r="C276" t="s">
        <v>910</v>
      </c>
      <c r="D276">
        <v>1430015</v>
      </c>
      <c r="E276">
        <v>40.346812</v>
      </c>
      <c r="F276">
        <v>-75.276370999999997</v>
      </c>
    </row>
    <row r="277" spans="1:6" x14ac:dyDescent="0.3">
      <c r="A277">
        <v>418311</v>
      </c>
      <c r="B277" t="str">
        <f>VLOOKUP($A277,[1]Export!$G$2:$N$2737,COLUMN(),FALSE)</f>
        <v>SOUTH MIDDLE SCHOOL</v>
      </c>
      <c r="C277" t="s">
        <v>912</v>
      </c>
      <c r="D277">
        <v>1430015</v>
      </c>
      <c r="E277">
        <v>40.366259999999997</v>
      </c>
      <c r="F277">
        <v>-75.305400000000006</v>
      </c>
    </row>
    <row r="278" spans="1:6" x14ac:dyDescent="0.3">
      <c r="A278">
        <v>418313</v>
      </c>
      <c r="B278" t="str">
        <f>VLOOKUP($A278,[1]Export!$G$2:$N$2737,COLUMN(),FALSE)</f>
        <v>West RockHill Elementary</v>
      </c>
      <c r="C278" t="s">
        <v>914</v>
      </c>
      <c r="D278">
        <v>1430015</v>
      </c>
      <c r="E278">
        <v>40.366999</v>
      </c>
      <c r="F278">
        <v>-75.326257999999996</v>
      </c>
    </row>
    <row r="279" spans="1:6" x14ac:dyDescent="0.3">
      <c r="A279">
        <v>418316</v>
      </c>
      <c r="B279" t="str">
        <f>VLOOKUP($A279,[1]Export!$G$2:$N$2737,COLUMN(),FALSE)</f>
        <v>NORTH MIDDLE SCHOOL</v>
      </c>
      <c r="C279" t="s">
        <v>916</v>
      </c>
      <c r="D279">
        <v>1430015</v>
      </c>
      <c r="E279">
        <v>40.389856000000002</v>
      </c>
      <c r="F279">
        <v>-75.270972999999998</v>
      </c>
    </row>
    <row r="280" spans="1:6" x14ac:dyDescent="0.3">
      <c r="A280">
        <v>418317</v>
      </c>
      <c r="B280" t="str">
        <f>VLOOKUP($A280,[1]Export!$G$2:$N$2737,COLUMN(),FALSE)</f>
        <v>Pennridge High School</v>
      </c>
      <c r="C280" t="s">
        <v>1711</v>
      </c>
      <c r="D280">
        <v>1430015</v>
      </c>
      <c r="E280">
        <v>40.387129999999999</v>
      </c>
      <c r="F280">
        <v>-75.275689999999997</v>
      </c>
    </row>
    <row r="281" spans="1:6" x14ac:dyDescent="0.3">
      <c r="A281">
        <v>425066</v>
      </c>
      <c r="B281" t="str">
        <f>VLOOKUP($A281,[1]Export!$G$2:$N$2737,COLUMN(),FALSE)</f>
        <v>Grasse Elementary School</v>
      </c>
      <c r="C281" t="s">
        <v>1023</v>
      </c>
      <c r="D281">
        <v>1430016</v>
      </c>
      <c r="E281">
        <v>40.323979000000001</v>
      </c>
      <c r="F281">
        <v>-75.262671999999995</v>
      </c>
    </row>
    <row r="282" spans="1:6" x14ac:dyDescent="0.3">
      <c r="A282">
        <v>467433</v>
      </c>
      <c r="B282" t="str">
        <f>VLOOKUP($A282,[1]Export!$G$2:$N$2737,COLUMN(),FALSE)</f>
        <v>Bedminster Elementary</v>
      </c>
      <c r="C282" t="s">
        <v>1263</v>
      </c>
      <c r="D282">
        <v>1430005</v>
      </c>
      <c r="E282">
        <v>40.422778000000001</v>
      </c>
      <c r="F282">
        <v>-75.194889000000003</v>
      </c>
    </row>
    <row r="283" spans="1:6" x14ac:dyDescent="0.3">
      <c r="A283">
        <v>467434</v>
      </c>
      <c r="B283" t="str">
        <f>VLOOKUP($A283,[1]Export!$G$2:$N$2737,COLUMN(),FALSE)</f>
        <v>Deibler Elementary</v>
      </c>
      <c r="C283" t="s">
        <v>1265</v>
      </c>
      <c r="D283">
        <v>1430015</v>
      </c>
      <c r="E283">
        <v>40.399579000000003</v>
      </c>
      <c r="F283">
        <v>-75.276538000000002</v>
      </c>
    </row>
    <row r="284" spans="1:6" x14ac:dyDescent="0.3">
      <c r="A284">
        <v>467450</v>
      </c>
      <c r="B284" t="str">
        <f>VLOOKUP($A284,[1]Export!$G$2:$N$2737,COLUMN(),FALSE)</f>
        <v>Guth Elementary</v>
      </c>
      <c r="C284" t="s">
        <v>1267</v>
      </c>
      <c r="D284">
        <v>1430015</v>
      </c>
      <c r="E284">
        <v>40.379044</v>
      </c>
      <c r="F284">
        <v>-75.288049999999998</v>
      </c>
    </row>
    <row r="285" spans="1:6" x14ac:dyDescent="0.3">
      <c r="A285">
        <v>467451</v>
      </c>
      <c r="B285" t="str">
        <f>VLOOKUP($A285,[1]Export!$G$2:$N$2737,COLUMN(),FALSE)</f>
        <v>Sellersville Elementary</v>
      </c>
      <c r="C285" t="s">
        <v>1269</v>
      </c>
      <c r="D285">
        <v>1430015</v>
      </c>
      <c r="E285">
        <v>40.349645000000002</v>
      </c>
      <c r="F285">
        <v>-75.306590999999997</v>
      </c>
    </row>
    <row r="286" spans="1:6" x14ac:dyDescent="0.3">
      <c r="A286">
        <v>467452</v>
      </c>
      <c r="B286" t="str">
        <f>VLOOKUP($A286,[1]Export!$G$2:$N$2737,COLUMN(),FALSE)</f>
        <v>Seylar Elementary</v>
      </c>
      <c r="C286" t="s">
        <v>1737</v>
      </c>
      <c r="D286">
        <v>1430005</v>
      </c>
      <c r="E286">
        <v>40.353532999999999</v>
      </c>
      <c r="F286">
        <v>-75.252911999999995</v>
      </c>
    </row>
    <row r="287" spans="1:6" x14ac:dyDescent="0.3">
      <c r="A287">
        <v>239139</v>
      </c>
      <c r="B287" t="str">
        <f>VLOOKUP($A287,[1]Export!$G$2:$N$2737,COLUMN(),FALSE)</f>
        <v>AKRON GRACE EC CHURCH</v>
      </c>
      <c r="C287" t="s">
        <v>169</v>
      </c>
      <c r="D287">
        <v>1430016</v>
      </c>
      <c r="E287">
        <v>40.158999000000001</v>
      </c>
      <c r="F287">
        <v>-76.203177999999994</v>
      </c>
    </row>
    <row r="288" spans="1:6" x14ac:dyDescent="0.3">
      <c r="A288">
        <v>239249</v>
      </c>
      <c r="B288" t="str">
        <f>VLOOKUP($A288,[1]Export!$G$2:$N$2737,COLUMN(),FALSE)</f>
        <v>BALLY RIBBON MILLS</v>
      </c>
      <c r="C288" t="s">
        <v>1580</v>
      </c>
      <c r="D288">
        <v>1430016</v>
      </c>
      <c r="E288">
        <v>40.403661999999997</v>
      </c>
      <c r="F288">
        <v>-75.586273000000006</v>
      </c>
    </row>
    <row r="289" spans="1:6" x14ac:dyDescent="0.3">
      <c r="A289">
        <v>239344</v>
      </c>
      <c r="B289" t="str">
        <f>VLOOKUP($A289,[1]Export!$G$2:$N$2737,COLUMN(),FALSE)</f>
        <v>CC-BOMBERGERS STORE</v>
      </c>
      <c r="C289" t="s">
        <v>177</v>
      </c>
      <c r="D289">
        <v>1430016</v>
      </c>
      <c r="E289">
        <v>40.170828999999998</v>
      </c>
      <c r="F289">
        <v>-76.307000000000002</v>
      </c>
    </row>
    <row r="290" spans="1:6" x14ac:dyDescent="0.3">
      <c r="A290">
        <v>239352</v>
      </c>
      <c r="B290" t="str">
        <f>VLOOKUP($A290,[1]Export!$G$2:$N$2737,COLUMN(),FALSE)</f>
        <v>BOROUGH OF AKRON</v>
      </c>
      <c r="C290" t="s">
        <v>179</v>
      </c>
      <c r="D290">
        <v>1430016</v>
      </c>
      <c r="E290">
        <v>40.154747</v>
      </c>
      <c r="F290">
        <v>-76.205475000000007</v>
      </c>
    </row>
    <row r="291" spans="1:6" x14ac:dyDescent="0.3">
      <c r="A291">
        <v>239862</v>
      </c>
      <c r="B291" t="str">
        <f>VLOOKUP($A291,[1]Export!$G$2:$N$2737,COLUMN(),FALSE)</f>
        <v>DOVE WESTGATE CHURCH#</v>
      </c>
      <c r="C291" t="s">
        <v>193</v>
      </c>
      <c r="D291">
        <v>1430016</v>
      </c>
      <c r="E291">
        <v>40.204771999999998</v>
      </c>
      <c r="F291">
        <v>-76.211579</v>
      </c>
    </row>
    <row r="292" spans="1:6" x14ac:dyDescent="0.3">
      <c r="A292">
        <v>239903</v>
      </c>
      <c r="B292" t="str">
        <f>VLOOKUP($A292,[1]Export!$G$2:$N$2737,COLUMN(),FALSE)</f>
        <v>DUTCHWAY FARM MARKET#</v>
      </c>
      <c r="C292" t="s">
        <v>1584</v>
      </c>
      <c r="D292">
        <v>1430016</v>
      </c>
      <c r="E292">
        <v>39.963889999999999</v>
      </c>
      <c r="F292">
        <v>-75.995024000000001</v>
      </c>
    </row>
    <row r="293" spans="1:6" x14ac:dyDescent="0.3">
      <c r="A293">
        <v>239958</v>
      </c>
      <c r="B293" t="str">
        <f>VLOOKUP($A293,[1]Export!$G$2:$N$2737,COLUMN(),FALSE)</f>
        <v>ELECTRO SPACE FABRICATORS</v>
      </c>
      <c r="C293" t="s">
        <v>199</v>
      </c>
      <c r="D293">
        <v>1430016</v>
      </c>
      <c r="E293">
        <v>40.505113000000001</v>
      </c>
      <c r="F293">
        <v>-75.707582000000002</v>
      </c>
    </row>
    <row r="294" spans="1:6" x14ac:dyDescent="0.3">
      <c r="A294">
        <v>239986</v>
      </c>
      <c r="B294" t="str">
        <f>VLOOKUP($A294,[1]Export!$G$2:$N$2737,COLUMN(),FALSE)</f>
        <v>EPHRATA AREA REHAB SERV#</v>
      </c>
      <c r="C294" t="s">
        <v>205</v>
      </c>
      <c r="D294">
        <v>1430016</v>
      </c>
      <c r="E294">
        <v>40.183608999999997</v>
      </c>
      <c r="F294">
        <v>-76.175785000000005</v>
      </c>
    </row>
    <row r="295" spans="1:6" x14ac:dyDescent="0.3">
      <c r="A295">
        <v>239994</v>
      </c>
      <c r="B295" t="str">
        <f>VLOOKUP($A295,[1]Export!$G$2:$N$2737,COLUMN(),FALSE)</f>
        <v>EPHRATA MANOR#</v>
      </c>
      <c r="C295" t="s">
        <v>207</v>
      </c>
      <c r="D295">
        <v>1430016</v>
      </c>
      <c r="E295">
        <v>40.166134999999997</v>
      </c>
      <c r="F295">
        <v>-76.172785000000005</v>
      </c>
    </row>
    <row r="296" spans="1:6" x14ac:dyDescent="0.3">
      <c r="A296">
        <v>239999</v>
      </c>
      <c r="B296" t="str">
        <f>VLOOKUP($A296,[1]Export!$G$2:$N$2737,COLUMN(),FALSE)</f>
        <v>EPHRATA REC CENTER#</v>
      </c>
      <c r="C296" t="s">
        <v>209</v>
      </c>
      <c r="D296">
        <v>1430016</v>
      </c>
      <c r="E296">
        <v>40.185971000000002</v>
      </c>
      <c r="F296">
        <v>-76.192802999999998</v>
      </c>
    </row>
    <row r="297" spans="1:6" x14ac:dyDescent="0.3">
      <c r="A297">
        <v>239999</v>
      </c>
      <c r="B297" t="str">
        <f>VLOOKUP($A297,[1]Export!$G$2:$N$2737,COLUMN(),FALSE)</f>
        <v>EPHRATA REC CENTER#</v>
      </c>
      <c r="C297" t="s">
        <v>209</v>
      </c>
      <c r="D297">
        <v>1430016</v>
      </c>
      <c r="E297">
        <v>40.185971000000002</v>
      </c>
      <c r="F297">
        <v>-76.192802999999998</v>
      </c>
    </row>
    <row r="298" spans="1:6" x14ac:dyDescent="0.3">
      <c r="A298">
        <v>240444</v>
      </c>
      <c r="B298" t="str">
        <f>VLOOKUP($A298,[1]Export!$G$2:$N$2737,COLUMN(),FALSE)</f>
        <v>HOPEWELL CHRISTIAN FELLOWSHIP</v>
      </c>
      <c r="C298" t="s">
        <v>233</v>
      </c>
      <c r="D298">
        <v>1430016</v>
      </c>
      <c r="E298">
        <v>40.177098999999998</v>
      </c>
      <c r="F298">
        <v>-75.840390999999997</v>
      </c>
    </row>
    <row r="299" spans="1:6" x14ac:dyDescent="0.3">
      <c r="A299">
        <v>241236</v>
      </c>
      <c r="B299" t="str">
        <f>VLOOKUP($A299,[1]Export!$G$2:$N$2737,COLUMN(),FALSE)</f>
        <v>NEW HOLLAND AMBULANCE</v>
      </c>
      <c r="C299" t="s">
        <v>279</v>
      </c>
      <c r="D299">
        <v>1430016</v>
      </c>
      <c r="E299">
        <v>40.101635000000002</v>
      </c>
      <c r="F299">
        <v>-76.088273999999998</v>
      </c>
    </row>
    <row r="300" spans="1:6" x14ac:dyDescent="0.3">
      <c r="A300">
        <v>241326</v>
      </c>
      <c r="B300" t="str">
        <f>VLOOKUP($A300,[1]Export!$G$2:$N$2737,COLUMN(),FALSE)</f>
        <v>OUR MOTHER PERPETUAL SCHOOL</v>
      </c>
      <c r="C300" t="s">
        <v>287</v>
      </c>
      <c r="D300">
        <v>1430016</v>
      </c>
      <c r="E300">
        <v>40.185729000000002</v>
      </c>
      <c r="F300">
        <v>-76.173181999999997</v>
      </c>
    </row>
    <row r="301" spans="1:6" x14ac:dyDescent="0.3">
      <c r="A301">
        <v>243127</v>
      </c>
      <c r="B301" t="str">
        <f>VLOOKUP($A301,[1]Export!$G$2:$N$2737,COLUMN(),FALSE)</f>
        <v>Central Montco Technical High</v>
      </c>
      <c r="C301" t="s">
        <v>1642</v>
      </c>
      <c r="D301">
        <v>1430016</v>
      </c>
      <c r="E301">
        <v>40.125934999999998</v>
      </c>
      <c r="F301">
        <v>-75.314384000000004</v>
      </c>
    </row>
    <row r="302" spans="1:6" x14ac:dyDescent="0.3">
      <c r="A302">
        <v>243232</v>
      </c>
      <c r="B302" t="str">
        <f>VLOOKUP($A302,[1]Export!$G$2:$N$2737,COLUMN(),FALSE)</f>
        <v>Cornerstone Health &amp; Fitness</v>
      </c>
      <c r="C302" t="s">
        <v>1637</v>
      </c>
      <c r="D302">
        <v>1430005</v>
      </c>
      <c r="E302">
        <v>40.295889000000003</v>
      </c>
      <c r="F302">
        <v>-75.085280999999995</v>
      </c>
    </row>
    <row r="303" spans="1:6" x14ac:dyDescent="0.3">
      <c r="A303">
        <v>243526</v>
      </c>
      <c r="B303" t="str">
        <f>VLOOKUP($A303,[1]Export!$G$2:$N$2737,COLUMN(),FALSE)</f>
        <v>Gloria Dei Church</v>
      </c>
      <c r="C303" t="s">
        <v>355</v>
      </c>
      <c r="D303">
        <v>1430016</v>
      </c>
      <c r="E303">
        <v>40.114249999999998</v>
      </c>
      <c r="F303">
        <v>-75.070020999999997</v>
      </c>
    </row>
    <row r="304" spans="1:6" x14ac:dyDescent="0.3">
      <c r="A304">
        <v>243564</v>
      </c>
      <c r="B304" t="str">
        <f>VLOOKUP($A304,[1]Export!$G$2:$N$2737,COLUMN(),FALSE)</f>
        <v>Grundy Hall</v>
      </c>
      <c r="C304" t="s">
        <v>357</v>
      </c>
      <c r="D304">
        <v>1430016</v>
      </c>
      <c r="E304">
        <v>40.274248999999998</v>
      </c>
      <c r="F304">
        <v>-75.129638999999997</v>
      </c>
    </row>
    <row r="305" spans="1:6" x14ac:dyDescent="0.3">
      <c r="A305">
        <v>243766</v>
      </c>
      <c r="B305" t="str">
        <f>VLOOKUP($A305,[1]Export!$G$2:$N$2737,COLUMN(),FALSE)</f>
        <v>Willert Manufacturing Co LLC</v>
      </c>
      <c r="C305" t="s">
        <v>363</v>
      </c>
      <c r="D305">
        <v>1430016</v>
      </c>
      <c r="E305">
        <v>40.268953000000003</v>
      </c>
      <c r="F305">
        <v>-75.723974999999996</v>
      </c>
    </row>
    <row r="306" spans="1:6" x14ac:dyDescent="0.3">
      <c r="A306">
        <v>243948</v>
      </c>
      <c r="B306" t="str">
        <f>VLOOKUP($A306,[1]Export!$G$2:$N$2737,COLUMN(),FALSE)</f>
        <v>Methacton School District</v>
      </c>
      <c r="C306" t="s">
        <v>369</v>
      </c>
      <c r="D306">
        <v>1430016</v>
      </c>
      <c r="E306">
        <v>40.175550999999999</v>
      </c>
      <c r="F306">
        <v>-75.398491000000007</v>
      </c>
    </row>
    <row r="307" spans="1:6" x14ac:dyDescent="0.3">
      <c r="A307">
        <v>244248</v>
      </c>
      <c r="B307" t="str">
        <f>VLOOKUP($A307,[1]Export!$G$2:$N$2737,COLUMN(),FALSE)</f>
        <v>The Easthill Grp dba The Eastw</v>
      </c>
      <c r="C307" t="s">
        <v>387</v>
      </c>
      <c r="D307">
        <v>1430016</v>
      </c>
      <c r="E307">
        <v>40.255547999999997</v>
      </c>
      <c r="F307">
        <v>-75.669038999999998</v>
      </c>
    </row>
    <row r="308" spans="1:6" x14ac:dyDescent="0.3">
      <c r="A308">
        <v>244896</v>
      </c>
      <c r="B308" t="str">
        <f>VLOOKUP($A308,[1]Export!$G$2:$N$2737,COLUMN(),FALSE)</f>
        <v>Oliver Healthcare Packaging</v>
      </c>
      <c r="C308" t="s">
        <v>401</v>
      </c>
      <c r="D308">
        <v>1430016</v>
      </c>
      <c r="E308">
        <v>40.295901000000001</v>
      </c>
      <c r="F308">
        <v>-75.185512000000003</v>
      </c>
    </row>
    <row r="309" spans="1:6" x14ac:dyDescent="0.3">
      <c r="A309">
        <v>245283</v>
      </c>
      <c r="B309" t="str">
        <f>VLOOKUP($A309,[1]Export!$G$2:$N$2737,COLUMN(),FALSE)</f>
        <v>Pinecrest Golf Club</v>
      </c>
      <c r="C309" t="s">
        <v>405</v>
      </c>
      <c r="D309">
        <v>1430016</v>
      </c>
      <c r="E309">
        <v>40.255631999999999</v>
      </c>
      <c r="F309">
        <v>-75.239473000000004</v>
      </c>
    </row>
    <row r="310" spans="1:6" x14ac:dyDescent="0.3">
      <c r="A310">
        <v>245576</v>
      </c>
      <c r="B310" t="str">
        <f>VLOOKUP($A310,[1]Export!$G$2:$N$2737,COLUMN(),FALSE)</f>
        <v>Brandywine Home Assoc / VFW</v>
      </c>
      <c r="C310" t="s">
        <v>415</v>
      </c>
      <c r="D310">
        <v>1430016</v>
      </c>
      <c r="E310">
        <v>39.999966000000001</v>
      </c>
      <c r="F310">
        <v>-75.727404000000007</v>
      </c>
    </row>
    <row r="311" spans="1:6" x14ac:dyDescent="0.3">
      <c r="A311">
        <v>245667</v>
      </c>
      <c r="B311" t="str">
        <f>VLOOKUP($A311,[1]Export!$G$2:$N$2737,COLUMN(),FALSE)</f>
        <v>TruMark Financial</v>
      </c>
      <c r="C311" t="s">
        <v>417</v>
      </c>
      <c r="D311">
        <v>1430016</v>
      </c>
      <c r="E311">
        <v>40.134709999999998</v>
      </c>
      <c r="F311">
        <v>-75.198195999999996</v>
      </c>
    </row>
    <row r="312" spans="1:6" x14ac:dyDescent="0.3">
      <c r="A312">
        <v>246009</v>
      </c>
      <c r="B312" t="str">
        <f>VLOOKUP($A312,[1]Export!$G$2:$N$2737,COLUMN(),FALSE)</f>
        <v>Perkiomen Valley School Distri</v>
      </c>
      <c r="C312" t="s">
        <v>1649</v>
      </c>
      <c r="D312">
        <v>1430016</v>
      </c>
      <c r="E312">
        <v>40.206142999999997</v>
      </c>
      <c r="F312">
        <v>-75.459605999999994</v>
      </c>
    </row>
    <row r="313" spans="1:6" x14ac:dyDescent="0.3">
      <c r="A313">
        <v>246033</v>
      </c>
      <c r="B313" t="str">
        <f>VLOOKUP($A313,[1]Export!$G$2:$N$2737,COLUMN(),FALSE)</f>
        <v>Pinecrest Country Club Banquet</v>
      </c>
      <c r="C313" t="s">
        <v>405</v>
      </c>
      <c r="D313">
        <v>1430016</v>
      </c>
      <c r="E313">
        <v>40.255631999999999</v>
      </c>
      <c r="F313">
        <v>-75.239473000000004</v>
      </c>
    </row>
    <row r="314" spans="1:6" x14ac:dyDescent="0.3">
      <c r="A314">
        <v>246395</v>
      </c>
      <c r="B314" t="str">
        <f>VLOOKUP($A314,[1]Export!$G$2:$N$2737,COLUMN(),FALSE)</f>
        <v>Tinius Olsen Testing Machine C</v>
      </c>
      <c r="C314" t="s">
        <v>432</v>
      </c>
      <c r="D314">
        <v>1430016</v>
      </c>
      <c r="E314">
        <v>40.198191999999999</v>
      </c>
      <c r="F314">
        <v>-75.139306000000005</v>
      </c>
    </row>
    <row r="315" spans="1:6" x14ac:dyDescent="0.3">
      <c r="A315">
        <v>246511</v>
      </c>
      <c r="B315" t="str">
        <f>VLOOKUP($A315,[1]Export!$G$2:$N$2737,COLUMN(),FALSE)</f>
        <v>Warminster Township Police Dep</v>
      </c>
      <c r="C315" t="s">
        <v>440</v>
      </c>
      <c r="D315">
        <v>1430016</v>
      </c>
      <c r="E315">
        <v>40.205300000000001</v>
      </c>
      <c r="F315">
        <v>-75.107990000000001</v>
      </c>
    </row>
    <row r="316" spans="1:6" x14ac:dyDescent="0.3">
      <c r="A316">
        <v>246526</v>
      </c>
      <c r="B316" t="str">
        <f>VLOOKUP($A316,[1]Export!$G$2:$N$2737,COLUMN(),FALSE)</f>
        <v>WESTMINSTER PRESBYTERIAN CHURC</v>
      </c>
      <c r="C316" t="s">
        <v>444</v>
      </c>
      <c r="D316">
        <v>1430016</v>
      </c>
      <c r="E316">
        <v>39.925927000000001</v>
      </c>
      <c r="F316">
        <v>-75.583779000000007</v>
      </c>
    </row>
    <row r="317" spans="1:6" x14ac:dyDescent="0.3">
      <c r="A317">
        <v>246720</v>
      </c>
      <c r="B317" t="str">
        <f>VLOOKUP($A317,[1]Export!$G$2:$N$2737,COLUMN(),FALSE)</f>
        <v>SnapCab by Bostock</v>
      </c>
      <c r="C317" t="s">
        <v>450</v>
      </c>
      <c r="D317">
        <v>1430016</v>
      </c>
      <c r="E317">
        <v>40.218958000000001</v>
      </c>
      <c r="F317">
        <v>-75.142736999999997</v>
      </c>
    </row>
    <row r="318" spans="1:6" x14ac:dyDescent="0.3">
      <c r="A318">
        <v>251656</v>
      </c>
      <c r="B318" t="str">
        <f>VLOOKUP($A318,[1]Export!$G$2:$N$2737,COLUMN(),FALSE)</f>
        <v>Montgomery School</v>
      </c>
      <c r="C318" t="s">
        <v>460</v>
      </c>
      <c r="D318">
        <v>1430016</v>
      </c>
      <c r="E318">
        <v>40.091197999999999</v>
      </c>
      <c r="F318">
        <v>-75.626737000000006</v>
      </c>
    </row>
    <row r="319" spans="1:6" x14ac:dyDescent="0.3">
      <c r="A319">
        <v>254632</v>
      </c>
      <c r="B319" t="str">
        <f>VLOOKUP($A319,[1]Export!$G$2:$N$2737,COLUMN(),FALSE)</f>
        <v>Fred Beans Ford Lincoln-Main</v>
      </c>
      <c r="C319" t="s">
        <v>462</v>
      </c>
      <c r="D319">
        <v>1430005</v>
      </c>
      <c r="E319">
        <v>40.339120000000001</v>
      </c>
      <c r="F319">
        <v>-75.130560000000003</v>
      </c>
    </row>
    <row r="320" spans="1:6" x14ac:dyDescent="0.3">
      <c r="A320">
        <v>265838</v>
      </c>
      <c r="B320" t="str">
        <f>VLOOKUP($A320,[1]Export!$G$2:$N$2737,COLUMN(),FALSE)</f>
        <v>YMCA of BUCKS</v>
      </c>
      <c r="C320" t="s">
        <v>1638</v>
      </c>
      <c r="D320">
        <v>1430016</v>
      </c>
      <c r="E320">
        <v>40.301665999999997</v>
      </c>
      <c r="F320">
        <v>-75.142174999999995</v>
      </c>
    </row>
    <row r="321" spans="1:6" x14ac:dyDescent="0.3">
      <c r="A321">
        <v>267431</v>
      </c>
      <c r="B321" t="str">
        <f>VLOOKUP($A321,[1]Export!$G$2:$N$2737,COLUMN(),FALSE)</f>
        <v>Nationwide Janitorial Grp, LLC</v>
      </c>
      <c r="C321" t="s">
        <v>1657</v>
      </c>
      <c r="D321">
        <v>1430016</v>
      </c>
      <c r="E321">
        <v>40.277768999999999</v>
      </c>
      <c r="F321">
        <v>-75.188795999999996</v>
      </c>
    </row>
    <row r="322" spans="1:6" x14ac:dyDescent="0.3">
      <c r="A322">
        <v>269078</v>
      </c>
      <c r="B322" t="str">
        <f>VLOOKUP($A322,[1]Export!$G$2:$N$2737,COLUMN(),FALSE)</f>
        <v>Tyler Professional Services</v>
      </c>
      <c r="C322" t="s">
        <v>486</v>
      </c>
      <c r="D322">
        <v>1430016</v>
      </c>
      <c r="E322">
        <v>40.228050000000003</v>
      </c>
      <c r="F322">
        <v>-75.539027000000004</v>
      </c>
    </row>
    <row r="323" spans="1:6" x14ac:dyDescent="0.3">
      <c r="A323">
        <v>269602</v>
      </c>
      <c r="B323" t="str">
        <f>VLOOKUP($A323,[1]Export!$G$2:$N$2737,COLUMN(),FALSE)</f>
        <v>Paul's Run Retirement Communit</v>
      </c>
      <c r="C323" t="s">
        <v>1659</v>
      </c>
      <c r="D323">
        <v>1430016</v>
      </c>
      <c r="E323">
        <v>40.09684</v>
      </c>
      <c r="F323">
        <v>-75.031102000000004</v>
      </c>
    </row>
    <row r="324" spans="1:6" x14ac:dyDescent="0.3">
      <c r="A324">
        <v>272808</v>
      </c>
      <c r="B324" t="str">
        <f>VLOOKUP($A324,[1]Export!$G$2:$N$2737,COLUMN(),FALSE)</f>
        <v>Robert Diller</v>
      </c>
      <c r="C324" t="s">
        <v>510</v>
      </c>
      <c r="D324">
        <v>1430016</v>
      </c>
      <c r="E324">
        <v>40.162660000000002</v>
      </c>
      <c r="F324">
        <v>-76.309629999999999</v>
      </c>
    </row>
    <row r="325" spans="1:6" x14ac:dyDescent="0.3">
      <c r="A325">
        <v>279103</v>
      </c>
      <c r="B325" t="str">
        <f>VLOOKUP($A325,[1]Export!$G$2:$N$2737,COLUMN(),FALSE)</f>
        <v>St Agnes Parish</v>
      </c>
      <c r="C325" t="s">
        <v>520</v>
      </c>
      <c r="D325">
        <v>1430016</v>
      </c>
      <c r="E325">
        <v>39.959240999999999</v>
      </c>
      <c r="F325">
        <v>-75.608982999999995</v>
      </c>
    </row>
    <row r="326" spans="1:6" x14ac:dyDescent="0.3">
      <c r="A326">
        <v>279123</v>
      </c>
      <c r="B326" t="str">
        <f>VLOOKUP($A326,[1]Export!$G$2:$N$2737,COLUMN(),FALSE)</f>
        <v>Western Montgomery Career &amp;</v>
      </c>
      <c r="C326" t="s">
        <v>522</v>
      </c>
      <c r="D326">
        <v>1430016</v>
      </c>
      <c r="E326">
        <v>40.23509</v>
      </c>
      <c r="F326">
        <v>-75.508489999999995</v>
      </c>
    </row>
    <row r="327" spans="1:6" x14ac:dyDescent="0.3">
      <c r="A327">
        <v>282370</v>
      </c>
      <c r="B327" t="str">
        <f>VLOOKUP($A327,[1]Export!$G$2:$N$2737,COLUMN(),FALSE)</f>
        <v>Bishop Shanahan</v>
      </c>
      <c r="C327" t="s">
        <v>532</v>
      </c>
      <c r="D327">
        <v>1430016</v>
      </c>
      <c r="E327">
        <v>40.008902999999997</v>
      </c>
      <c r="F327">
        <v>-75.688132999999993</v>
      </c>
    </row>
    <row r="328" spans="1:6" x14ac:dyDescent="0.3">
      <c r="A328">
        <v>283059</v>
      </c>
      <c r="B328" t="str">
        <f>VLOOKUP($A328,[1]Export!$G$2:$N$2737,COLUMN(),FALSE)</f>
        <v>St Joseph Parish</v>
      </c>
      <c r="C328" t="s">
        <v>534</v>
      </c>
      <c r="D328">
        <v>1430016</v>
      </c>
      <c r="E328">
        <v>40.008268000000001</v>
      </c>
      <c r="F328">
        <v>-75.715478000000004</v>
      </c>
    </row>
    <row r="329" spans="1:6" x14ac:dyDescent="0.3">
      <c r="A329">
        <v>285568</v>
      </c>
      <c r="B329" t="str">
        <f>VLOOKUP($A329,[1]Export!$G$2:$N$2737,COLUMN(),FALSE)</f>
        <v>Meadowood Corporation</v>
      </c>
      <c r="C329" t="s">
        <v>550</v>
      </c>
      <c r="D329">
        <v>1430016</v>
      </c>
      <c r="E329">
        <v>40.206840999999997</v>
      </c>
      <c r="F329">
        <v>-75.355316999999999</v>
      </c>
    </row>
    <row r="330" spans="1:6" x14ac:dyDescent="0.3">
      <c r="A330">
        <v>292196</v>
      </c>
      <c r="B330" t="str">
        <f>VLOOKUP($A330,[1]Export!$G$2:$N$2737,COLUMN(),FALSE)</f>
        <v>St Peters Evangelical Lutheran</v>
      </c>
      <c r="C330" t="s">
        <v>556</v>
      </c>
      <c r="D330">
        <v>1430016</v>
      </c>
      <c r="E330">
        <v>40.210194000000001</v>
      </c>
      <c r="F330">
        <v>-75.274989000000005</v>
      </c>
    </row>
    <row r="331" spans="1:6" x14ac:dyDescent="0.3">
      <c r="A331">
        <v>294039</v>
      </c>
      <c r="B331" t="str">
        <f>VLOOKUP($A331,[1]Export!$G$2:$N$2737,COLUMN(),FALSE)</f>
        <v>UNITED ZION APN RETIREMENT#</v>
      </c>
      <c r="C331" t="s">
        <v>562</v>
      </c>
      <c r="D331">
        <v>1430016</v>
      </c>
      <c r="E331">
        <v>40.178626000000001</v>
      </c>
      <c r="F331">
        <v>-76.310322999999997</v>
      </c>
    </row>
    <row r="332" spans="1:6" x14ac:dyDescent="0.3">
      <c r="A332">
        <v>294842</v>
      </c>
      <c r="B332" t="str">
        <f>VLOOKUP($A332,[1]Export!$G$2:$N$2737,COLUMN(),FALSE)</f>
        <v>Family Worship Center</v>
      </c>
      <c r="C332" t="s">
        <v>568</v>
      </c>
      <c r="D332">
        <v>1430016</v>
      </c>
      <c r="E332">
        <v>40.243938</v>
      </c>
      <c r="F332">
        <v>-75.320262999999997</v>
      </c>
    </row>
    <row r="333" spans="1:6" x14ac:dyDescent="0.3">
      <c r="A333">
        <v>295439</v>
      </c>
      <c r="B333" t="str">
        <f>VLOOKUP($A333,[1]Export!$G$2:$N$2737,COLUMN(),FALSE)</f>
        <v>National Glass and Metal Co. I</v>
      </c>
      <c r="C333" t="s">
        <v>572</v>
      </c>
      <c r="D333">
        <v>1430016</v>
      </c>
      <c r="E333">
        <v>40.200870000000002</v>
      </c>
      <c r="F333">
        <v>-75.138760000000005</v>
      </c>
    </row>
    <row r="334" spans="1:6" x14ac:dyDescent="0.3">
      <c r="A334">
        <v>296066</v>
      </c>
      <c r="B334" t="str">
        <f>VLOOKUP($A334,[1]Export!$G$2:$N$2737,COLUMN(),FALSE)</f>
        <v>Fairview Village Church</v>
      </c>
      <c r="C334" t="s">
        <v>1673</v>
      </c>
      <c r="D334">
        <v>1430016</v>
      </c>
      <c r="E334">
        <v>40.164029999999997</v>
      </c>
      <c r="F334">
        <v>-75.384950000000003</v>
      </c>
    </row>
    <row r="335" spans="1:6" x14ac:dyDescent="0.3">
      <c r="A335">
        <v>296097</v>
      </c>
      <c r="B335" t="str">
        <f>VLOOKUP($A335,[1]Export!$G$2:$N$2737,COLUMN(),FALSE)</f>
        <v>LINCOLN CHRISTIAN HOME</v>
      </c>
      <c r="C335" t="s">
        <v>576</v>
      </c>
      <c r="D335">
        <v>1430016</v>
      </c>
      <c r="E335">
        <v>40.194769999999998</v>
      </c>
      <c r="F335">
        <v>-76.197507999999999</v>
      </c>
    </row>
    <row r="336" spans="1:6" x14ac:dyDescent="0.3">
      <c r="A336">
        <v>298530</v>
      </c>
      <c r="B336" t="str">
        <f>VLOOKUP($A336,[1]Export!$G$2:$N$2737,COLUMN(),FALSE)</f>
        <v>ATOMIC DESIGN INC#</v>
      </c>
      <c r="C336" t="s">
        <v>598</v>
      </c>
      <c r="D336">
        <v>1430016</v>
      </c>
      <c r="E336">
        <v>40.168464999999998</v>
      </c>
      <c r="F336">
        <v>-76.311350000000004</v>
      </c>
    </row>
    <row r="337" spans="1:6" x14ac:dyDescent="0.3">
      <c r="A337">
        <v>298872</v>
      </c>
      <c r="B337" t="str">
        <f>VLOOKUP($A337,[1]Export!$G$2:$N$2737,COLUMN(),FALSE)</f>
        <v>Peter Becker Community</v>
      </c>
      <c r="C337" t="s">
        <v>600</v>
      </c>
      <c r="D337">
        <v>1430016</v>
      </c>
      <c r="E337">
        <v>40.288924999999999</v>
      </c>
      <c r="F337">
        <v>-75.375711999999993</v>
      </c>
    </row>
    <row r="338" spans="1:6" x14ac:dyDescent="0.3">
      <c r="A338">
        <v>299233</v>
      </c>
      <c r="B338" t="str">
        <f>VLOOKUP($A338,[1]Export!$G$2:$N$2737,COLUMN(),FALSE)</f>
        <v>Pine Run Health Center</v>
      </c>
      <c r="C338" t="s">
        <v>604</v>
      </c>
      <c r="D338">
        <v>1430005</v>
      </c>
      <c r="E338">
        <v>40.315849999999998</v>
      </c>
      <c r="F338">
        <v>-75.175259999999994</v>
      </c>
    </row>
    <row r="339" spans="1:6" x14ac:dyDescent="0.3">
      <c r="A339">
        <v>301074</v>
      </c>
      <c r="B339" t="str">
        <f>VLOOKUP($A339,[1]Export!$G$2:$N$2737,COLUMN(),FALSE)</f>
        <v>Inline 309 Hockey</v>
      </c>
      <c r="C339" t="s">
        <v>1677</v>
      </c>
      <c r="D339">
        <v>1430016</v>
      </c>
      <c r="E339">
        <v>40.295654999999996</v>
      </c>
      <c r="F339">
        <v>-75.276687999999993</v>
      </c>
    </row>
    <row r="340" spans="1:6" x14ac:dyDescent="0.3">
      <c r="A340">
        <v>303872</v>
      </c>
      <c r="B340" t="str">
        <f>VLOOKUP($A340,[1]Export!$G$2:$N$2737,COLUMN(),FALSE)</f>
        <v>HICKORY HOUSE NURSING HOME#</v>
      </c>
      <c r="C340" t="s">
        <v>622</v>
      </c>
      <c r="D340">
        <v>1430016</v>
      </c>
      <c r="E340">
        <v>40.077731</v>
      </c>
      <c r="F340">
        <v>-75.864459999999994</v>
      </c>
    </row>
    <row r="341" spans="1:6" x14ac:dyDescent="0.3">
      <c r="A341">
        <v>306450</v>
      </c>
      <c r="B341" t="str">
        <f>VLOOKUP($A341,[1]Export!$G$2:$N$2737,COLUMN(),FALSE)</f>
        <v>ROCK LITITZ STUDIO</v>
      </c>
      <c r="C341" t="s">
        <v>636</v>
      </c>
      <c r="D341">
        <v>1430016</v>
      </c>
      <c r="E341">
        <v>40.173532999999999</v>
      </c>
      <c r="F341">
        <v>-76.312708000000001</v>
      </c>
    </row>
    <row r="342" spans="1:6" x14ac:dyDescent="0.3">
      <c r="A342">
        <v>307803</v>
      </c>
      <c r="B342" t="str">
        <f>VLOOKUP($A342,[1]Export!$G$2:$N$2737,COLUMN(),FALSE)</f>
        <v>Renaissance Academy Charter Sc</v>
      </c>
      <c r="C342" t="s">
        <v>652</v>
      </c>
      <c r="D342">
        <v>1430016</v>
      </c>
      <c r="E342">
        <v>40.141263000000002</v>
      </c>
      <c r="F342">
        <v>-75.522552000000005</v>
      </c>
    </row>
    <row r="343" spans="1:6" x14ac:dyDescent="0.3">
      <c r="A343">
        <v>308434</v>
      </c>
      <c r="B343" t="str">
        <f>VLOOKUP($A343,[1]Export!$G$2:$N$2737,COLUMN(),FALSE)</f>
        <v>St Eleanor Catholic Church</v>
      </c>
      <c r="C343" t="s">
        <v>654</v>
      </c>
      <c r="D343">
        <v>1430016</v>
      </c>
      <c r="E343">
        <v>40.186391</v>
      </c>
      <c r="F343">
        <v>-75.463661999999999</v>
      </c>
    </row>
    <row r="344" spans="1:6" x14ac:dyDescent="0.3">
      <c r="A344">
        <v>308438</v>
      </c>
      <c r="B344" t="str">
        <f>VLOOKUP($A344,[1]Export!$G$2:$N$2737,COLUMN(),FALSE)</f>
        <v>Holy Cross Regional Catholic S</v>
      </c>
      <c r="C344" t="s">
        <v>1684</v>
      </c>
      <c r="D344">
        <v>1430016</v>
      </c>
      <c r="E344">
        <v>40.187761000000002</v>
      </c>
      <c r="F344">
        <v>-75.463194999999999</v>
      </c>
    </row>
    <row r="345" spans="1:6" x14ac:dyDescent="0.3">
      <c r="A345">
        <v>308805</v>
      </c>
      <c r="B345" t="str">
        <f>VLOOKUP($A345,[1]Export!$G$2:$N$2737,COLUMN(),FALSE)</f>
        <v>HIGH POINT BAPTIST CHAPEL</v>
      </c>
      <c r="C345" t="s">
        <v>1212</v>
      </c>
      <c r="D345">
        <v>1430016</v>
      </c>
      <c r="E345">
        <v>40.208469999999998</v>
      </c>
      <c r="F345">
        <v>-75.851822999999996</v>
      </c>
    </row>
    <row r="346" spans="1:6" x14ac:dyDescent="0.3">
      <c r="A346">
        <v>311144</v>
      </c>
      <c r="B346" t="str">
        <f>VLOOKUP($A346,[1]Export!$G$2:$N$2737,COLUMN(),FALSE)</f>
        <v>ABC123 Early Learning Center</v>
      </c>
      <c r="C346" t="s">
        <v>662</v>
      </c>
      <c r="D346">
        <v>1430016</v>
      </c>
      <c r="E346">
        <v>40.131014</v>
      </c>
      <c r="F346">
        <v>-75.566310000000001</v>
      </c>
    </row>
    <row r="347" spans="1:6" x14ac:dyDescent="0.3">
      <c r="A347">
        <v>312114</v>
      </c>
      <c r="B347" t="str">
        <f>VLOOKUP($A347,[1]Export!$G$2:$N$2737,COLUMN(),FALSE)</f>
        <v>Transcend Facility Management</v>
      </c>
      <c r="C347" t="s">
        <v>664</v>
      </c>
      <c r="D347">
        <v>1430016</v>
      </c>
      <c r="E347">
        <v>40.020603999999999</v>
      </c>
      <c r="F347">
        <v>-75.651256000000004</v>
      </c>
    </row>
    <row r="348" spans="1:6" x14ac:dyDescent="0.3">
      <c r="A348">
        <v>318492</v>
      </c>
      <c r="B348" t="str">
        <f>VLOOKUP($A348,[1]Export!$G$2:$N$2737,COLUMN(),FALSE)</f>
        <v>PHYTOGENX INC</v>
      </c>
      <c r="C348" t="s">
        <v>680</v>
      </c>
      <c r="D348">
        <v>1430016</v>
      </c>
      <c r="E348">
        <v>40.163792000000001</v>
      </c>
      <c r="F348">
        <v>-75.873322000000002</v>
      </c>
    </row>
    <row r="349" spans="1:6" x14ac:dyDescent="0.3">
      <c r="A349">
        <v>321216</v>
      </c>
      <c r="B349" t="str">
        <f>VLOOKUP($A349,[1]Export!$G$2:$N$2737,COLUMN(),FALSE)</f>
        <v>The Bottom Line</v>
      </c>
      <c r="C349" t="s">
        <v>696</v>
      </c>
      <c r="D349">
        <v>1430016</v>
      </c>
      <c r="E349">
        <v>40.582909999999998</v>
      </c>
      <c r="F349">
        <v>-75.612475000000003</v>
      </c>
    </row>
    <row r="350" spans="1:6" x14ac:dyDescent="0.3">
      <c r="A350">
        <v>323699</v>
      </c>
      <c r="B350" t="str">
        <f>VLOOKUP($A350,[1]Export!$G$2:$N$2737,COLUMN(),FALSE)</f>
        <v>Maple Farm/Garden Spot</v>
      </c>
      <c r="C350" t="s">
        <v>1695</v>
      </c>
      <c r="D350">
        <v>1430016</v>
      </c>
      <c r="E350">
        <v>40.154474999999998</v>
      </c>
      <c r="F350">
        <v>-76.207736999999995</v>
      </c>
    </row>
    <row r="351" spans="1:6" x14ac:dyDescent="0.3">
      <c r="A351">
        <v>334799</v>
      </c>
      <c r="B351" t="str">
        <f>VLOOKUP($A351,[1]Export!$G$2:$N$2737,COLUMN(),FALSE)</f>
        <v>TEMPLE SINAI</v>
      </c>
      <c r="C351" t="s">
        <v>738</v>
      </c>
      <c r="D351">
        <v>1430016</v>
      </c>
      <c r="E351">
        <v>40.156984999999999</v>
      </c>
      <c r="F351">
        <v>-75.180559000000002</v>
      </c>
    </row>
    <row r="352" spans="1:6" x14ac:dyDescent="0.3">
      <c r="A352">
        <v>336669</v>
      </c>
      <c r="B352" t="str">
        <f>VLOOKUP($A352,[1]Export!$G$2:$N$2737,COLUMN(),FALSE)</f>
        <v>Wright's Cleaning Services</v>
      </c>
      <c r="C352" t="s">
        <v>740</v>
      </c>
      <c r="D352">
        <v>1430016</v>
      </c>
      <c r="E352">
        <v>40.168194</v>
      </c>
      <c r="F352">
        <v>-76.205004000000002</v>
      </c>
    </row>
    <row r="353" spans="1:6" x14ac:dyDescent="0.3">
      <c r="A353">
        <v>341011</v>
      </c>
      <c r="B353" t="str">
        <f>VLOOKUP($A353,[1]Export!$G$2:$N$2737,COLUMN(),FALSE)</f>
        <v>Mickey's Black Box</v>
      </c>
      <c r="C353" t="s">
        <v>748</v>
      </c>
      <c r="D353">
        <v>1430016</v>
      </c>
      <c r="E353">
        <v>40.176229999999997</v>
      </c>
      <c r="F353">
        <v>-76.311414999999997</v>
      </c>
    </row>
    <row r="354" spans="1:6" x14ac:dyDescent="0.3">
      <c r="A354">
        <v>341494</v>
      </c>
      <c r="B354" t="str">
        <f>VLOOKUP($A354,[1]Export!$G$2:$N$2737,COLUMN(),FALSE)</f>
        <v>RUTTERS FARM STORES #92</v>
      </c>
      <c r="C354" t="s">
        <v>1701</v>
      </c>
      <c r="D354">
        <v>1430016</v>
      </c>
      <c r="E354">
        <v>40.536369000000001</v>
      </c>
      <c r="F354">
        <v>-75.737105</v>
      </c>
    </row>
    <row r="355" spans="1:6" x14ac:dyDescent="0.3">
      <c r="A355">
        <v>341596</v>
      </c>
      <c r="B355" t="str">
        <f>VLOOKUP($A355,[1]Export!$G$2:$N$2737,COLUMN(),FALSE)</f>
        <v>J &amp; T Commercial Cleaning Serv</v>
      </c>
      <c r="C355" t="s">
        <v>750</v>
      </c>
      <c r="D355">
        <v>1430016</v>
      </c>
      <c r="E355">
        <v>40.048267000000003</v>
      </c>
      <c r="F355">
        <v>-75.653437999999994</v>
      </c>
    </row>
    <row r="356" spans="1:6" x14ac:dyDescent="0.3">
      <c r="A356">
        <v>343897</v>
      </c>
      <c r="B356" t="str">
        <f>VLOOKUP($A356,[1]Export!$G$2:$N$2737,COLUMN(),FALSE)</f>
        <v>DUTCHWAY FARM MARKET#</v>
      </c>
      <c r="C356" t="s">
        <v>771</v>
      </c>
      <c r="D356">
        <v>1430016</v>
      </c>
      <c r="E356">
        <v>40.167709000000002</v>
      </c>
      <c r="F356">
        <v>-76.200198</v>
      </c>
    </row>
    <row r="357" spans="1:6" x14ac:dyDescent="0.3">
      <c r="A357">
        <v>344300</v>
      </c>
      <c r="B357" t="str">
        <f>VLOOKUP($A357,[1]Export!$G$2:$N$2737,COLUMN(),FALSE)</f>
        <v>TRINITY LUTHERAN CHURCH</v>
      </c>
      <c r="C357" t="s">
        <v>773</v>
      </c>
      <c r="D357">
        <v>1430016</v>
      </c>
      <c r="E357">
        <v>40.166240000000002</v>
      </c>
      <c r="F357">
        <v>-75.370718999999994</v>
      </c>
    </row>
    <row r="358" spans="1:6" x14ac:dyDescent="0.3">
      <c r="A358">
        <v>344307</v>
      </c>
      <c r="B358" t="str">
        <f>VLOOKUP($A358,[1]Export!$G$2:$N$2737,COLUMN(),FALSE)</f>
        <v>St. Joseph St Robert School</v>
      </c>
      <c r="C358" t="s">
        <v>1645</v>
      </c>
      <c r="D358">
        <v>1430016</v>
      </c>
      <c r="E358">
        <v>40.233794000000003</v>
      </c>
      <c r="F358">
        <v>-75.132788000000005</v>
      </c>
    </row>
    <row r="359" spans="1:6" x14ac:dyDescent="0.3">
      <c r="A359">
        <v>345426</v>
      </c>
      <c r="B359" t="str">
        <f>VLOOKUP($A359,[1]Export!$G$2:$N$2737,COLUMN(),FALSE)</f>
        <v>VIC'S CARPET DRY CLEANERS &amp; DR</v>
      </c>
      <c r="C359" t="s">
        <v>779</v>
      </c>
      <c r="D359">
        <v>1430016</v>
      </c>
      <c r="E359">
        <v>39.956546000000003</v>
      </c>
      <c r="F359">
        <v>-75.763119000000003</v>
      </c>
    </row>
    <row r="360" spans="1:6" x14ac:dyDescent="0.3">
      <c r="A360">
        <v>345513</v>
      </c>
      <c r="B360" t="str">
        <f>VLOOKUP($A360,[1]Export!$G$2:$N$2737,COLUMN(),FALSE)</f>
        <v>CORPORATE CLEANING GROUP INC</v>
      </c>
      <c r="C360" t="s">
        <v>781</v>
      </c>
      <c r="D360">
        <v>1430016</v>
      </c>
      <c r="E360">
        <v>40.160615</v>
      </c>
      <c r="F360">
        <v>-75.323715000000007</v>
      </c>
    </row>
    <row r="361" spans="1:6" x14ac:dyDescent="0.3">
      <c r="A361">
        <v>415765</v>
      </c>
      <c r="B361" t="str">
        <f>VLOOKUP($A361,[1]Export!$G$2:$N$2737,COLUMN(),FALSE)</f>
        <v>THE WHOLE CHILD LEARNING CENTE</v>
      </c>
      <c r="C361" t="s">
        <v>826</v>
      </c>
      <c r="D361">
        <v>1430016</v>
      </c>
      <c r="E361">
        <v>40.157521000000003</v>
      </c>
      <c r="F361">
        <v>-75.822281000000004</v>
      </c>
    </row>
    <row r="362" spans="1:6" x14ac:dyDescent="0.3">
      <c r="A362">
        <v>416252</v>
      </c>
      <c r="B362" t="str">
        <f>VLOOKUP($A362,[1]Export!$G$2:$N$2737,COLUMN(),FALSE)</f>
        <v>Barth Elementary</v>
      </c>
      <c r="C362" t="s">
        <v>837</v>
      </c>
      <c r="D362">
        <v>1430016</v>
      </c>
      <c r="E362">
        <v>40.252648000000001</v>
      </c>
      <c r="F362">
        <v>-75.671985000000006</v>
      </c>
    </row>
    <row r="363" spans="1:6" x14ac:dyDescent="0.3">
      <c r="A363">
        <v>416280</v>
      </c>
      <c r="B363" t="str">
        <f>VLOOKUP($A363,[1]Export!$G$2:$N$2737,COLUMN(),FALSE)</f>
        <v>Maintenance Warehouse</v>
      </c>
      <c r="C363" t="s">
        <v>839</v>
      </c>
      <c r="D363">
        <v>1430016</v>
      </c>
      <c r="E363">
        <v>39.997323000000002</v>
      </c>
      <c r="F363">
        <v>-75.698976999999999</v>
      </c>
    </row>
    <row r="364" spans="1:6" x14ac:dyDescent="0.3">
      <c r="A364">
        <v>416348</v>
      </c>
      <c r="B364" t="str">
        <f>VLOOKUP($A364,[1]Export!$G$2:$N$2737,COLUMN(),FALSE)</f>
        <v>District Administrative Office</v>
      </c>
      <c r="C364" t="s">
        <v>841</v>
      </c>
      <c r="D364">
        <v>1430016</v>
      </c>
      <c r="E364">
        <v>40.120511</v>
      </c>
      <c r="F364">
        <v>-75.522120999999999</v>
      </c>
    </row>
    <row r="365" spans="1:6" x14ac:dyDescent="0.3">
      <c r="A365">
        <v>416599</v>
      </c>
      <c r="B365" t="str">
        <f>VLOOKUP($A365,[1]Export!$G$2:$N$2737,COLUMN(),FALSE)</f>
        <v>COB - Neshaminy Manor Nursing</v>
      </c>
      <c r="C365" t="s">
        <v>849</v>
      </c>
      <c r="D365">
        <v>1430016</v>
      </c>
      <c r="E365">
        <v>40.267364000000001</v>
      </c>
      <c r="F365">
        <v>-75.133725999999996</v>
      </c>
    </row>
    <row r="366" spans="1:6" x14ac:dyDescent="0.3">
      <c r="A366">
        <v>416717</v>
      </c>
      <c r="B366" t="str">
        <f>VLOOKUP($A366,[1]Export!$G$2:$N$2737,COLUMN(),FALSE)</f>
        <v>Colonial Middle School</v>
      </c>
      <c r="C366" t="s">
        <v>857</v>
      </c>
      <c r="D366">
        <v>1430016</v>
      </c>
      <c r="E366">
        <v>40.126927000000002</v>
      </c>
      <c r="F366">
        <v>-75.309571000000005</v>
      </c>
    </row>
    <row r="367" spans="1:6" x14ac:dyDescent="0.3">
      <c r="A367">
        <v>416794</v>
      </c>
      <c r="B367" t="str">
        <f>VLOOKUP($A367,[1]Export!$G$2:$N$2737,COLUMN(),FALSE)</f>
        <v>Fort Washington Elementary Sch</v>
      </c>
      <c r="C367" t="s">
        <v>859</v>
      </c>
      <c r="D367">
        <v>1430016</v>
      </c>
      <c r="E367">
        <v>40.148110000000003</v>
      </c>
      <c r="F367">
        <v>-75.201840000000004</v>
      </c>
    </row>
    <row r="368" spans="1:6" x14ac:dyDescent="0.3">
      <c r="A368">
        <v>417171</v>
      </c>
      <c r="B368" t="str">
        <f>VLOOKUP($A368,[1]Export!$G$2:$N$2737,COLUMN(),FALSE)</f>
        <v>EVERGREEN ELEMENTARY SCHOOL</v>
      </c>
      <c r="C368" t="s">
        <v>872</v>
      </c>
      <c r="D368">
        <v>1430016</v>
      </c>
      <c r="E368">
        <v>40.218251000000002</v>
      </c>
      <c r="F368">
        <v>-75.462352999999993</v>
      </c>
    </row>
    <row r="369" spans="1:6" x14ac:dyDescent="0.3">
      <c r="A369">
        <v>417248</v>
      </c>
      <c r="B369" t="str">
        <f>VLOOKUP($A369,[1]Export!$G$2:$N$2737,COLUMN(),FALSE)</f>
        <v>FRANKLIN ELEMENTARY SCHOOL</v>
      </c>
      <c r="C369" t="s">
        <v>874</v>
      </c>
      <c r="D369">
        <v>1430016</v>
      </c>
      <c r="E369">
        <v>40.259630000000001</v>
      </c>
      <c r="F369">
        <v>-75.630162999999996</v>
      </c>
    </row>
    <row r="370" spans="1:6" x14ac:dyDescent="0.3">
      <c r="A370">
        <v>417403</v>
      </c>
      <c r="B370" t="str">
        <f>VLOOKUP($A370,[1]Export!$G$2:$N$2737,COLUMN(),FALSE)</f>
        <v>Greenwood Elementary School</v>
      </c>
      <c r="C370" t="s">
        <v>882</v>
      </c>
      <c r="D370">
        <v>1430016</v>
      </c>
      <c r="E370">
        <v>39.864480999999998</v>
      </c>
      <c r="F370">
        <v>-75.666745000000006</v>
      </c>
    </row>
    <row r="371" spans="1:6" x14ac:dyDescent="0.3">
      <c r="A371">
        <v>417743</v>
      </c>
      <c r="B371" t="str">
        <f>VLOOKUP($A371,[1]Export!$G$2:$N$2737,COLUMN(),FALSE)</f>
        <v>Lakeside Youth Services</v>
      </c>
      <c r="C371" t="s">
        <v>1709</v>
      </c>
      <c r="D371">
        <v>1430016</v>
      </c>
      <c r="E371">
        <v>40.210940000000001</v>
      </c>
      <c r="F371">
        <v>-75.278232000000003</v>
      </c>
    </row>
    <row r="372" spans="1:6" x14ac:dyDescent="0.3">
      <c r="A372">
        <v>417787</v>
      </c>
      <c r="B372" t="str">
        <f>VLOOKUP($A372,[1]Export!$G$2:$N$2737,COLUMN(),FALSE)</f>
        <v>LINCOLN ELEMENTARY</v>
      </c>
      <c r="C372" t="s">
        <v>891</v>
      </c>
      <c r="D372">
        <v>1430016</v>
      </c>
      <c r="E372">
        <v>40.255744</v>
      </c>
      <c r="F372">
        <v>-75.648055999999997</v>
      </c>
    </row>
    <row r="373" spans="1:6" x14ac:dyDescent="0.3">
      <c r="A373">
        <v>418076</v>
      </c>
      <c r="B373" t="str">
        <f>VLOOKUP($A373,[1]Export!$G$2:$N$2737,COLUMN(),FALSE)</f>
        <v>METHACTON SD FACILITIES BLDG</v>
      </c>
      <c r="C373" t="s">
        <v>1710</v>
      </c>
      <c r="D373">
        <v>1430016</v>
      </c>
      <c r="E373">
        <v>40.142180000000003</v>
      </c>
      <c r="F373">
        <v>-75.427580000000006</v>
      </c>
    </row>
    <row r="374" spans="1:6" x14ac:dyDescent="0.3">
      <c r="A374">
        <v>418338</v>
      </c>
      <c r="B374" t="str">
        <f>VLOOKUP($A374,[1]Export!$G$2:$N$2737,COLUMN(),FALSE)</f>
        <v>South Elementary School</v>
      </c>
      <c r="C374" t="s">
        <v>932</v>
      </c>
      <c r="D374">
        <v>1430016</v>
      </c>
      <c r="E374">
        <v>40.200434000000001</v>
      </c>
      <c r="F374">
        <v>-75.465421000000006</v>
      </c>
    </row>
    <row r="375" spans="1:6" x14ac:dyDescent="0.3">
      <c r="A375">
        <v>418339</v>
      </c>
      <c r="B375" t="str">
        <f>VLOOKUP($A375,[1]Export!$G$2:$N$2737,COLUMN(),FALSE)</f>
        <v>Perkiomen Valley Middle School</v>
      </c>
      <c r="C375" t="s">
        <v>934</v>
      </c>
      <c r="D375">
        <v>1430016</v>
      </c>
      <c r="E375">
        <v>40.212421999999997</v>
      </c>
      <c r="F375">
        <v>-75.545598999999996</v>
      </c>
    </row>
    <row r="376" spans="1:6" x14ac:dyDescent="0.3">
      <c r="A376">
        <v>418340</v>
      </c>
      <c r="B376" t="str">
        <f>VLOOKUP($A376,[1]Export!$G$2:$N$2737,COLUMN(),FALSE)</f>
        <v>Perkiomen Valley Middle School</v>
      </c>
      <c r="C376" t="s">
        <v>935</v>
      </c>
      <c r="D376">
        <v>1430016</v>
      </c>
      <c r="E376">
        <v>40.277748000000003</v>
      </c>
      <c r="F376">
        <v>-75.496187000000006</v>
      </c>
    </row>
    <row r="377" spans="1:6" x14ac:dyDescent="0.3">
      <c r="A377">
        <v>418342</v>
      </c>
      <c r="B377" t="str">
        <f>VLOOKUP($A377,[1]Export!$G$2:$N$2737,COLUMN(),FALSE)</f>
        <v>Perkiomen Valley High School</v>
      </c>
      <c r="C377" t="s">
        <v>937</v>
      </c>
      <c r="D377">
        <v>1430016</v>
      </c>
      <c r="E377">
        <v>40.219107999999999</v>
      </c>
      <c r="F377">
        <v>-75.456517000000005</v>
      </c>
    </row>
    <row r="378" spans="1:6" x14ac:dyDescent="0.3">
      <c r="A378">
        <v>418407</v>
      </c>
      <c r="B378" t="str">
        <f>VLOOKUP($A378,[1]Export!$G$2:$N$2737,COLUMN(),FALSE)</f>
        <v>Pottstown Middle School</v>
      </c>
      <c r="C378" t="s">
        <v>1712</v>
      </c>
      <c r="D378">
        <v>1430016</v>
      </c>
      <c r="E378">
        <v>40.253512999999998</v>
      </c>
      <c r="F378">
        <v>-75.639133999999999</v>
      </c>
    </row>
    <row r="379" spans="1:6" x14ac:dyDescent="0.3">
      <c r="A379">
        <v>418409</v>
      </c>
      <c r="B379" t="str">
        <f>VLOOKUP($A379,[1]Export!$G$2:$N$2737,COLUMN(),FALSE)</f>
        <v>Pottstown High School</v>
      </c>
      <c r="C379" t="s">
        <v>1713</v>
      </c>
      <c r="D379">
        <v>1430016</v>
      </c>
      <c r="E379">
        <v>40.252861000000003</v>
      </c>
      <c r="F379">
        <v>-75.635897999999997</v>
      </c>
    </row>
    <row r="380" spans="1:6" x14ac:dyDescent="0.3">
      <c r="A380">
        <v>418582</v>
      </c>
      <c r="B380" t="str">
        <f>VLOOKUP($A380,[1]Export!$G$2:$N$2737,COLUMN(),FALSE)</f>
        <v>Schwenksville Elementary Schoo</v>
      </c>
      <c r="C380" t="s">
        <v>964</v>
      </c>
      <c r="D380">
        <v>1430016</v>
      </c>
      <c r="E380">
        <v>40.250006999999997</v>
      </c>
      <c r="F380">
        <v>-75.464208999999997</v>
      </c>
    </row>
    <row r="381" spans="1:6" x14ac:dyDescent="0.3">
      <c r="A381">
        <v>418701</v>
      </c>
      <c r="B381" t="str">
        <f>VLOOKUP($A381,[1]Export!$G$2:$N$2737,COLUMN(),FALSE)</f>
        <v>Spring-Ford Inter Flex Bldg#2</v>
      </c>
      <c r="C381" t="s">
        <v>970</v>
      </c>
      <c r="D381">
        <v>1430016</v>
      </c>
      <c r="E381">
        <v>40.189256</v>
      </c>
      <c r="F381">
        <v>-75.511246</v>
      </c>
    </row>
    <row r="382" spans="1:6" x14ac:dyDescent="0.3">
      <c r="A382">
        <v>418900</v>
      </c>
      <c r="B382" t="str">
        <f>VLOOKUP($A382,[1]Export!$G$2:$N$2737,COLUMN(),FALSE)</f>
        <v>Upper Dublin High School</v>
      </c>
      <c r="C382" t="s">
        <v>980</v>
      </c>
      <c r="D382">
        <v>1430016</v>
      </c>
      <c r="E382">
        <v>40.152939000000003</v>
      </c>
      <c r="F382">
        <v>-75.199939999999998</v>
      </c>
    </row>
    <row r="383" spans="1:6" x14ac:dyDescent="0.3">
      <c r="A383">
        <v>419003</v>
      </c>
      <c r="B383" t="str">
        <f>VLOOKUP($A383,[1]Export!$G$2:$N$2737,COLUMN(),FALSE)</f>
        <v>West Chester University Wareho</v>
      </c>
      <c r="C383" t="s">
        <v>1716</v>
      </c>
      <c r="D383">
        <v>1430016</v>
      </c>
      <c r="E383">
        <v>39.952159999999999</v>
      </c>
      <c r="F383">
        <v>-75.591359999999995</v>
      </c>
    </row>
    <row r="384" spans="1:6" x14ac:dyDescent="0.3">
      <c r="A384">
        <v>423432</v>
      </c>
      <c r="B384" t="str">
        <f>VLOOKUP($A384,[1]Export!$G$2:$N$2737,COLUMN(),FALSE)</f>
        <v>Maple Glen Elementary School</v>
      </c>
      <c r="C384" t="s">
        <v>1001</v>
      </c>
      <c r="D384">
        <v>1430016</v>
      </c>
      <c r="E384">
        <v>40.163586000000002</v>
      </c>
      <c r="F384">
        <v>-75.184139000000002</v>
      </c>
    </row>
    <row r="385" spans="1:6" x14ac:dyDescent="0.3">
      <c r="A385">
        <v>425017</v>
      </c>
      <c r="B385" t="str">
        <f>VLOOKUP($A385,[1]Export!$G$2:$N$2737,COLUMN(),FALSE)</f>
        <v>Chadds Ford Elementary School</v>
      </c>
      <c r="C385" t="s">
        <v>1021</v>
      </c>
      <c r="D385">
        <v>1430016</v>
      </c>
      <c r="E385">
        <v>39.873525000000001</v>
      </c>
      <c r="F385">
        <v>-75.599418</v>
      </c>
    </row>
    <row r="386" spans="1:6" x14ac:dyDescent="0.3">
      <c r="A386">
        <v>428193</v>
      </c>
      <c r="B386" t="str">
        <f>VLOOKUP($A386,[1]Export!$G$2:$N$2737,COLUMN(),FALSE)</f>
        <v>EASTERN LANC CTY SCHOOL DIST</v>
      </c>
      <c r="C386" t="s">
        <v>1719</v>
      </c>
      <c r="D386">
        <v>1430016</v>
      </c>
      <c r="E386">
        <v>40.085250000000002</v>
      </c>
      <c r="F386">
        <v>-76.068960000000004</v>
      </c>
    </row>
    <row r="387" spans="1:6" x14ac:dyDescent="0.3">
      <c r="A387">
        <v>429836</v>
      </c>
      <c r="B387" t="str">
        <f>VLOOKUP($A387,[1]Export!$G$2:$N$2737,COLUMN(),FALSE)</f>
        <v>Pocopson Elementary School</v>
      </c>
      <c r="C387" t="s">
        <v>1044</v>
      </c>
      <c r="D387">
        <v>1430016</v>
      </c>
      <c r="E387">
        <v>39.900292999999998</v>
      </c>
      <c r="F387">
        <v>-75.629649999999998</v>
      </c>
    </row>
    <row r="388" spans="1:6" x14ac:dyDescent="0.3">
      <c r="A388">
        <v>433003</v>
      </c>
      <c r="B388" t="str">
        <f>VLOOKUP($A388,[1]Export!$G$2:$N$2737,COLUMN(),FALSE)</f>
        <v>V.A. Medical Hospital</v>
      </c>
      <c r="C388" t="s">
        <v>1079</v>
      </c>
      <c r="D388">
        <v>1430016</v>
      </c>
      <c r="E388">
        <v>39.997748000000001</v>
      </c>
      <c r="F388">
        <v>-75.797452000000007</v>
      </c>
    </row>
    <row r="389" spans="1:6" x14ac:dyDescent="0.3">
      <c r="A389">
        <v>434667</v>
      </c>
      <c r="B389" t="str">
        <f>VLOOKUP($A389,[1]Export!$G$2:$N$2737,COLUMN(),FALSE)</f>
        <v>Skippack Elementary</v>
      </c>
      <c r="C389" t="s">
        <v>1090</v>
      </c>
      <c r="D389">
        <v>1430016</v>
      </c>
      <c r="E389">
        <v>40.214331000000001</v>
      </c>
      <c r="F389">
        <v>-75.418256</v>
      </c>
    </row>
    <row r="390" spans="1:6" x14ac:dyDescent="0.3">
      <c r="A390">
        <v>435816</v>
      </c>
      <c r="B390" t="str">
        <f>VLOOKUP($A390,[1]Export!$G$2:$N$2737,COLUMN(),FALSE)</f>
        <v>CLAIR GLOBAL</v>
      </c>
      <c r="C390" t="s">
        <v>1094</v>
      </c>
      <c r="D390">
        <v>1430016</v>
      </c>
      <c r="E390">
        <v>40.172778999999998</v>
      </c>
      <c r="F390">
        <v>-76.310666999999995</v>
      </c>
    </row>
    <row r="391" spans="1:6" x14ac:dyDescent="0.3">
      <c r="A391">
        <v>436840</v>
      </c>
      <c r="B391" t="str">
        <f>VLOOKUP($A391,[1]Export!$G$2:$N$2737,COLUMN(),FALSE)</f>
        <v>Lansdale Hospital</v>
      </c>
      <c r="C391" t="s">
        <v>1724</v>
      </c>
      <c r="D391">
        <v>1430016</v>
      </c>
      <c r="E391">
        <v>40.250335999999997</v>
      </c>
      <c r="F391">
        <v>-75.271413999999993</v>
      </c>
    </row>
    <row r="392" spans="1:6" x14ac:dyDescent="0.3">
      <c r="A392">
        <v>437511</v>
      </c>
      <c r="B392" t="str">
        <f>VLOOKUP($A392,[1]Export!$G$2:$N$2737,COLUMN(),FALSE)</f>
        <v>Supplee Presbyterian Church</v>
      </c>
      <c r="C392" t="s">
        <v>1098</v>
      </c>
      <c r="D392">
        <v>1430016</v>
      </c>
      <c r="E392">
        <v>40.176082000000001</v>
      </c>
      <c r="F392">
        <v>-75.176591000000002</v>
      </c>
    </row>
    <row r="393" spans="1:6" x14ac:dyDescent="0.3">
      <c r="A393">
        <v>440865</v>
      </c>
      <c r="B393" t="str">
        <f>VLOOKUP($A393,[1]Export!$G$2:$N$2737,COLUMN(),FALSE)</f>
        <v>Pennfield Middle School</v>
      </c>
      <c r="C393" t="s">
        <v>1112</v>
      </c>
      <c r="D393">
        <v>1430016</v>
      </c>
      <c r="E393">
        <v>40.272835000000001</v>
      </c>
      <c r="F393">
        <v>-75.311076</v>
      </c>
    </row>
    <row r="394" spans="1:6" x14ac:dyDescent="0.3">
      <c r="A394">
        <v>441660</v>
      </c>
      <c r="B394" t="str">
        <f>VLOOKUP($A394,[1]Export!$G$2:$N$2737,COLUMN(),FALSE)</f>
        <v>Meadowood Corporation</v>
      </c>
      <c r="C394" t="s">
        <v>550</v>
      </c>
      <c r="D394">
        <v>1430016</v>
      </c>
      <c r="E394">
        <v>40.206840999999997</v>
      </c>
      <c r="F394">
        <v>-75.355316999999999</v>
      </c>
    </row>
    <row r="395" spans="1:6" x14ac:dyDescent="0.3">
      <c r="A395">
        <v>452760</v>
      </c>
      <c r="B395" t="str">
        <f>VLOOKUP($A395,[1]Export!$G$2:$N$2737,COLUMN(),FALSE)</f>
        <v>HOGAN LEARNING ACADEMY</v>
      </c>
      <c r="C395" t="s">
        <v>1170</v>
      </c>
      <c r="D395">
        <v>1430016</v>
      </c>
      <c r="E395">
        <v>40.457704</v>
      </c>
      <c r="F395">
        <v>-75.748790999999997</v>
      </c>
    </row>
    <row r="396" spans="1:6" x14ac:dyDescent="0.3">
      <c r="A396">
        <v>453637</v>
      </c>
      <c r="B396" t="str">
        <f>VLOOKUP($A396,[1]Export!$G$2:$N$2737,COLUMN(),FALSE)</f>
        <v>SOLANCO HIGH SCHOOL</v>
      </c>
      <c r="C396" t="s">
        <v>121</v>
      </c>
      <c r="D396">
        <v>1430021</v>
      </c>
      <c r="E396">
        <v>39.866930000000004</v>
      </c>
      <c r="F396">
        <v>-76.154252999999997</v>
      </c>
    </row>
    <row r="397" spans="1:6" x14ac:dyDescent="0.3">
      <c r="A397">
        <v>453639</v>
      </c>
      <c r="B397" t="str">
        <f>VLOOKUP($A397,[1]Export!$G$2:$N$2737,COLUMN(),FALSE)</f>
        <v>SWIFT MIDDLE SCHOOL</v>
      </c>
      <c r="C397" t="s">
        <v>125</v>
      </c>
      <c r="D397">
        <v>1430021</v>
      </c>
      <c r="E397">
        <v>39.809621999999997</v>
      </c>
      <c r="F397">
        <v>-76.158494000000005</v>
      </c>
    </row>
    <row r="398" spans="1:6" x14ac:dyDescent="0.3">
      <c r="A398">
        <v>453640</v>
      </c>
      <c r="B398" t="str">
        <f>VLOOKUP($A398,[1]Export!$G$2:$N$2737,COLUMN(),FALSE)</f>
        <v>BART COLERAIN ELEM SCHOOL</v>
      </c>
      <c r="C398" t="s">
        <v>127</v>
      </c>
      <c r="D398">
        <v>1430016</v>
      </c>
      <c r="E398">
        <v>39.888849999999998</v>
      </c>
      <c r="F398">
        <v>-76.073869999999999</v>
      </c>
    </row>
    <row r="399" spans="1:6" x14ac:dyDescent="0.3">
      <c r="A399">
        <v>453641</v>
      </c>
      <c r="B399" t="str">
        <f>VLOOKUP($A399,[1]Export!$G$2:$N$2737,COLUMN(),FALSE)</f>
        <v>CLERMONT ELEM SCHOOL</v>
      </c>
      <c r="C399" t="s">
        <v>129</v>
      </c>
      <c r="D399">
        <v>1430021</v>
      </c>
      <c r="E399">
        <v>39.808577999999997</v>
      </c>
      <c r="F399">
        <v>-76.158298000000002</v>
      </c>
    </row>
    <row r="400" spans="1:6" x14ac:dyDescent="0.3">
      <c r="A400">
        <v>454719</v>
      </c>
      <c r="B400" t="str">
        <f>VLOOKUP($A400,[1]Export!$G$2:$N$2737,COLUMN(),FALSE)</f>
        <v>Five Ponds Golf Club</v>
      </c>
      <c r="C400" t="s">
        <v>1176</v>
      </c>
      <c r="D400">
        <v>1430016</v>
      </c>
      <c r="E400">
        <v>40.218815999999997</v>
      </c>
      <c r="F400">
        <v>-75.115173999999996</v>
      </c>
    </row>
    <row r="401" spans="1:6" x14ac:dyDescent="0.3">
      <c r="A401">
        <v>455042</v>
      </c>
      <c r="B401" t="str">
        <f>VLOOKUP($A401,[1]Export!$G$2:$N$2737,COLUMN(),FALSE)</f>
        <v>EBENEZER GROCERIES</v>
      </c>
      <c r="C401" t="s">
        <v>1178</v>
      </c>
      <c r="D401">
        <v>1430016</v>
      </c>
      <c r="E401">
        <v>40.194043000000001</v>
      </c>
      <c r="F401">
        <v>-76.171971999999997</v>
      </c>
    </row>
    <row r="402" spans="1:6" x14ac:dyDescent="0.3">
      <c r="A402">
        <v>455677</v>
      </c>
      <c r="B402" t="str">
        <f>VLOOKUP($A402,[1]Export!$G$2:$N$2737,COLUMN(),FALSE)</f>
        <v>Sandy Run Middle School</v>
      </c>
      <c r="C402" t="s">
        <v>1184</v>
      </c>
      <c r="D402">
        <v>1430016</v>
      </c>
      <c r="E402">
        <v>40.127847000000003</v>
      </c>
      <c r="F402">
        <v>-75.169946999999993</v>
      </c>
    </row>
    <row r="403" spans="1:6" x14ac:dyDescent="0.3">
      <c r="A403">
        <v>458350</v>
      </c>
      <c r="B403" t="str">
        <f>VLOOKUP($A403,[1]Export!$G$2:$N$2737,COLUMN(),FALSE)</f>
        <v>Hatfield Elementary School</v>
      </c>
      <c r="C403" t="s">
        <v>1196</v>
      </c>
      <c r="D403">
        <v>1430016</v>
      </c>
      <c r="E403">
        <v>40.279730999999998</v>
      </c>
      <c r="F403">
        <v>-75.306882000000002</v>
      </c>
    </row>
    <row r="404" spans="1:6" x14ac:dyDescent="0.3">
      <c r="A404">
        <v>458869</v>
      </c>
      <c r="B404" t="str">
        <f>VLOOKUP($A404,[1]Export!$G$2:$N$2737,COLUMN(),FALSE)</f>
        <v>Nash Elementary School</v>
      </c>
      <c r="C404" t="s">
        <v>1198</v>
      </c>
      <c r="D404">
        <v>1430016</v>
      </c>
      <c r="E404">
        <v>40.235339000000003</v>
      </c>
      <c r="F404">
        <v>-75.347082</v>
      </c>
    </row>
    <row r="405" spans="1:6" x14ac:dyDescent="0.3">
      <c r="A405">
        <v>459054</v>
      </c>
      <c r="B405" t="str">
        <f>VLOOKUP($A405,[1]Export!$G$2:$N$2737,COLUMN(),FALSE)</f>
        <v>Bucks County Justice Center</v>
      </c>
      <c r="C405" t="s">
        <v>1200</v>
      </c>
      <c r="D405">
        <v>1430005</v>
      </c>
      <c r="E405">
        <v>40.312230999999997</v>
      </c>
      <c r="F405">
        <v>-75.131529</v>
      </c>
    </row>
    <row r="406" spans="1:6" x14ac:dyDescent="0.3">
      <c r="A406">
        <v>460766</v>
      </c>
      <c r="B406" t="str">
        <f>VLOOKUP($A406,[1]Export!$G$2:$N$2737,COLUMN(),FALSE)</f>
        <v>TruMark Financial</v>
      </c>
      <c r="C406" t="s">
        <v>417</v>
      </c>
      <c r="D406">
        <v>1430016</v>
      </c>
      <c r="E406">
        <v>40.134709999999998</v>
      </c>
      <c r="F406">
        <v>-75.198195999999996</v>
      </c>
    </row>
    <row r="407" spans="1:6" x14ac:dyDescent="0.3">
      <c r="A407">
        <v>461409</v>
      </c>
      <c r="B407" t="str">
        <f>VLOOKUP($A407,[1]Export!$G$2:$N$2737,COLUMN(),FALSE)</f>
        <v>HIGH POINT BAPTIST CAMP</v>
      </c>
      <c r="C407" t="s">
        <v>1212</v>
      </c>
      <c r="D407">
        <v>1430016</v>
      </c>
      <c r="E407">
        <v>40.208469999999998</v>
      </c>
      <c r="F407">
        <v>-75.851822999999996</v>
      </c>
    </row>
    <row r="408" spans="1:6" x14ac:dyDescent="0.3">
      <c r="A408">
        <v>461667</v>
      </c>
      <c r="B408" t="str">
        <f>VLOOKUP($A408,[1]Export!$G$2:$N$2737,COLUMN(),FALSE)</f>
        <v>A.M. Kulp Elementary School</v>
      </c>
      <c r="C408" t="s">
        <v>1214</v>
      </c>
      <c r="D408">
        <v>1430016</v>
      </c>
      <c r="E408">
        <v>40.266975000000002</v>
      </c>
      <c r="F408">
        <v>-75.277696000000006</v>
      </c>
    </row>
    <row r="409" spans="1:6" x14ac:dyDescent="0.3">
      <c r="A409">
        <v>462025</v>
      </c>
      <c r="B409" t="str">
        <f>VLOOKUP($A409,[1]Export!$G$2:$N$2737,COLUMN(),FALSE)</f>
        <v>Thomas Fitzwater Elem School</v>
      </c>
      <c r="C409" t="s">
        <v>1216</v>
      </c>
      <c r="D409">
        <v>1430016</v>
      </c>
      <c r="E409">
        <v>40.141539999999999</v>
      </c>
      <c r="F409">
        <v>-75.144919999999999</v>
      </c>
    </row>
    <row r="410" spans="1:6" x14ac:dyDescent="0.3">
      <c r="A410">
        <v>463788</v>
      </c>
      <c r="B410" t="str">
        <f>VLOOKUP($A410,[1]Export!$G$2:$N$2737,COLUMN(),FALSE)</f>
        <v>EPHRATA BOROUGH PARKS</v>
      </c>
      <c r="C410" t="s">
        <v>1224</v>
      </c>
      <c r="D410">
        <v>1430016</v>
      </c>
      <c r="E410">
        <v>40.176180000000002</v>
      </c>
      <c r="F410">
        <v>-76.179929999999999</v>
      </c>
    </row>
    <row r="411" spans="1:6" x14ac:dyDescent="0.3">
      <c r="A411">
        <v>463918</v>
      </c>
      <c r="B411" t="str">
        <f>VLOOKUP($A411,[1]Export!$G$2:$N$2737,COLUMN(),FALSE)</f>
        <v>Workspace Property Trust Thera</v>
      </c>
      <c r="C411" t="s">
        <v>1226</v>
      </c>
      <c r="D411">
        <v>1430016</v>
      </c>
      <c r="E411">
        <v>40.168984000000002</v>
      </c>
      <c r="F411">
        <v>-75.149709999999999</v>
      </c>
    </row>
    <row r="412" spans="1:6" x14ac:dyDescent="0.3">
      <c r="A412">
        <v>467950</v>
      </c>
      <c r="B412" t="str">
        <f>VLOOKUP($A412,[1]Export!$G$2:$N$2737,COLUMN(),FALSE)</f>
        <v>Community Health &amp; Dental</v>
      </c>
      <c r="C412" t="s">
        <v>1275</v>
      </c>
      <c r="D412">
        <v>1430016</v>
      </c>
      <c r="E412">
        <v>40.233919</v>
      </c>
      <c r="F412">
        <v>-75.664897999999994</v>
      </c>
    </row>
    <row r="413" spans="1:6" x14ac:dyDescent="0.3">
      <c r="A413">
        <v>469599</v>
      </c>
      <c r="B413" t="str">
        <f>VLOOKUP($A413,[1]Export!$G$2:$N$2737,COLUMN(),FALSE)</f>
        <v>TWIN VALLEY HIGH SCHOOL</v>
      </c>
      <c r="C413" t="s">
        <v>1294</v>
      </c>
      <c r="D413">
        <v>1430016</v>
      </c>
      <c r="E413">
        <v>40.162182000000001</v>
      </c>
      <c r="F413">
        <v>-75.856538999999998</v>
      </c>
    </row>
    <row r="414" spans="1:6" x14ac:dyDescent="0.3">
      <c r="A414">
        <v>470951</v>
      </c>
      <c r="B414" t="str">
        <f>VLOOKUP($A414,[1]Export!$G$2:$N$2737,COLUMN(),FALSE)</f>
        <v>Frederick Living</v>
      </c>
      <c r="C414" t="s">
        <v>1315</v>
      </c>
      <c r="D414">
        <v>1430016</v>
      </c>
      <c r="E414">
        <v>40.30115</v>
      </c>
      <c r="F414">
        <v>-75.525989999999993</v>
      </c>
    </row>
    <row r="415" spans="1:6" x14ac:dyDescent="0.3">
      <c r="A415">
        <v>472455</v>
      </c>
      <c r="B415" t="str">
        <f>VLOOKUP($A415,[1]Export!$G$2:$N$2737,COLUMN(),FALSE)</f>
        <v>FRED BEANS FORD OF BOYERTOWN</v>
      </c>
      <c r="C415" t="s">
        <v>1329</v>
      </c>
      <c r="D415">
        <v>1430016</v>
      </c>
      <c r="E415">
        <v>40.350605000000002</v>
      </c>
      <c r="F415">
        <v>-75.628136999999995</v>
      </c>
    </row>
    <row r="416" spans="1:6" x14ac:dyDescent="0.3">
      <c r="A416">
        <v>474555</v>
      </c>
      <c r="B416" t="str">
        <f>VLOOKUP($A416,[1]Export!$G$2:$N$2737,COLUMN(),FALSE)</f>
        <v>Bucks County Intermediate Unit</v>
      </c>
      <c r="C416" t="s">
        <v>1643</v>
      </c>
      <c r="D416">
        <v>1430005</v>
      </c>
      <c r="E416">
        <v>40.315457000000002</v>
      </c>
      <c r="F416">
        <v>-75.134568000000002</v>
      </c>
    </row>
    <row r="417" spans="1:6" x14ac:dyDescent="0.3">
      <c r="A417">
        <v>474992</v>
      </c>
      <c r="B417" t="str">
        <f>VLOOKUP($A417,[1]Export!$G$2:$N$2737,COLUMN(),FALSE)</f>
        <v>Ciocca Audi Allentown</v>
      </c>
      <c r="C417" t="s">
        <v>1339</v>
      </c>
      <c r="D417">
        <v>1430016</v>
      </c>
      <c r="E417">
        <v>40.568904000000003</v>
      </c>
      <c r="F417">
        <v>-75.551199999999994</v>
      </c>
    </row>
    <row r="418" spans="1:6" x14ac:dyDescent="0.3">
      <c r="A418">
        <v>244176</v>
      </c>
      <c r="B418" t="str">
        <f>VLOOKUP($A418,[1]Export!$G$2:$N$2737,COLUMN(),FALSE)</f>
        <v>Springfield Township Board of</v>
      </c>
      <c r="C418" t="s">
        <v>383</v>
      </c>
      <c r="D418">
        <v>1430017</v>
      </c>
      <c r="E418">
        <v>40.036239999999999</v>
      </c>
      <c r="F418">
        <v>-74.703289999999996</v>
      </c>
    </row>
    <row r="419" spans="1:6" x14ac:dyDescent="0.3">
      <c r="A419">
        <v>245453</v>
      </c>
      <c r="B419" t="str">
        <f>VLOOKUP($A419,[1]Export!$G$2:$N$2737,COLUMN(),FALSE)</f>
        <v>New Hanover Township BOE</v>
      </c>
      <c r="C419" t="s">
        <v>413</v>
      </c>
      <c r="D419">
        <v>1430017</v>
      </c>
      <c r="E419">
        <v>40.035013999999997</v>
      </c>
      <c r="F419">
        <v>-74.618955999999997</v>
      </c>
    </row>
    <row r="420" spans="1:6" x14ac:dyDescent="0.3">
      <c r="A420">
        <v>246269</v>
      </c>
      <c r="B420" t="str">
        <f>VLOOKUP($A420,[1]Export!$G$2:$N$2737,COLUMN(),FALSE)</f>
        <v>Shamong Township Public School</v>
      </c>
      <c r="C420" t="s">
        <v>430</v>
      </c>
      <c r="D420">
        <v>1430017</v>
      </c>
      <c r="E420">
        <v>39.818153000000002</v>
      </c>
      <c r="F420">
        <v>-74.765299999999996</v>
      </c>
    </row>
    <row r="421" spans="1:6" x14ac:dyDescent="0.3">
      <c r="A421">
        <v>307689</v>
      </c>
      <c r="B421" t="str">
        <f>VLOOKUP($A421,[1]Export!$G$2:$N$2737,COLUMN(),FALSE)</f>
        <v>St Huberts High School</v>
      </c>
      <c r="C421" t="s">
        <v>648</v>
      </c>
      <c r="D421">
        <v>1430017</v>
      </c>
      <c r="E421">
        <v>40.030892999999999</v>
      </c>
      <c r="F421">
        <v>-75.034557000000007</v>
      </c>
    </row>
    <row r="422" spans="1:6" x14ac:dyDescent="0.3">
      <c r="A422">
        <v>316969</v>
      </c>
      <c r="B422" t="str">
        <f>VLOOKUP($A422,[1]Export!$G$2:$N$2737,COLUMN(),FALSE)</f>
        <v>Howell Township School Distric</v>
      </c>
      <c r="C422" t="s">
        <v>1693</v>
      </c>
      <c r="D422">
        <v>1430016</v>
      </c>
      <c r="E422">
        <v>40.16919</v>
      </c>
      <c r="F422">
        <v>-74.224239999999995</v>
      </c>
    </row>
    <row r="423" spans="1:6" x14ac:dyDescent="0.3">
      <c r="A423">
        <v>345928</v>
      </c>
      <c r="B423" t="str">
        <f>VLOOKUP($A423,[1]Export!$G$2:$N$2737,COLUMN(),FALSE)</f>
        <v>Eastampton Township School Dis</v>
      </c>
      <c r="C423" t="s">
        <v>787</v>
      </c>
      <c r="D423">
        <v>1430017</v>
      </c>
      <c r="E423">
        <v>39.999296000000001</v>
      </c>
      <c r="F423">
        <v>-74.755014000000003</v>
      </c>
    </row>
    <row r="424" spans="1:6" x14ac:dyDescent="0.3">
      <c r="A424">
        <v>417471</v>
      </c>
      <c r="B424" t="str">
        <f>VLOOKUP($A424,[1]Export!$G$2:$N$2737,COLUMN(),FALSE)</f>
        <v>Indian Mills Memorial School</v>
      </c>
      <c r="C424" t="s">
        <v>430</v>
      </c>
      <c r="D424">
        <v>1430017</v>
      </c>
      <c r="E424">
        <v>39.818153000000002</v>
      </c>
      <c r="F424">
        <v>-74.765299999999996</v>
      </c>
    </row>
    <row r="425" spans="1:6" x14ac:dyDescent="0.3">
      <c r="A425">
        <v>418691</v>
      </c>
      <c r="B425" t="str">
        <f>VLOOKUP($A425,[1]Export!$G$2:$N$2737,COLUMN(),FALSE)</f>
        <v>Southern Regional SD Warehouse</v>
      </c>
      <c r="C425" t="s">
        <v>968</v>
      </c>
      <c r="D425">
        <v>1430010</v>
      </c>
      <c r="E425">
        <v>39.712710000000001</v>
      </c>
      <c r="F425">
        <v>-74.259990000000002</v>
      </c>
    </row>
    <row r="426" spans="1:6" x14ac:dyDescent="0.3">
      <c r="A426">
        <v>424869</v>
      </c>
      <c r="B426" t="str">
        <f>VLOOKUP($A426,[1]Export!$G$2:$N$2737,COLUMN(),FALSE)</f>
        <v>Bordentown Regional High Schoo</v>
      </c>
      <c r="C426" t="s">
        <v>1015</v>
      </c>
      <c r="D426">
        <v>1430005</v>
      </c>
      <c r="E426">
        <v>40.154380000000003</v>
      </c>
      <c r="F426">
        <v>-74.686930000000004</v>
      </c>
    </row>
    <row r="427" spans="1:6" x14ac:dyDescent="0.3">
      <c r="A427">
        <v>424965</v>
      </c>
      <c r="B427" t="str">
        <f>VLOOKUP($A427,[1]Export!$G$2:$N$2737,COLUMN(),FALSE)</f>
        <v>Florence Twp. Memorial High Sc</v>
      </c>
      <c r="C427" t="s">
        <v>1017</v>
      </c>
      <c r="D427">
        <v>1430017</v>
      </c>
      <c r="E427">
        <v>40.092970999999999</v>
      </c>
      <c r="F427">
        <v>-74.793289000000001</v>
      </c>
    </row>
    <row r="428" spans="1:6" x14ac:dyDescent="0.3">
      <c r="A428">
        <v>424994</v>
      </c>
      <c r="B428" t="str">
        <f>VLOOKUP($A428,[1]Export!$G$2:$N$2737,COLUMN(),FALSE)</f>
        <v>Stafford Intermediate School</v>
      </c>
      <c r="C428" t="s">
        <v>1019</v>
      </c>
      <c r="D428">
        <v>1430010</v>
      </c>
      <c r="E428">
        <v>39.702285000000003</v>
      </c>
      <c r="F428">
        <v>-74.283676999999997</v>
      </c>
    </row>
    <row r="429" spans="1:6" x14ac:dyDescent="0.3">
      <c r="A429">
        <v>432021</v>
      </c>
      <c r="B429" t="str">
        <f>VLOOKUP($A429,[1]Export!$G$2:$N$2737,COLUMN(),FALSE)</f>
        <v>Riverfront School</v>
      </c>
      <c r="C429" t="s">
        <v>1073</v>
      </c>
      <c r="D429">
        <v>1430017</v>
      </c>
      <c r="E429">
        <v>40.119073999999998</v>
      </c>
      <c r="F429">
        <v>-74.796539999999993</v>
      </c>
    </row>
    <row r="430" spans="1:6" x14ac:dyDescent="0.3">
      <c r="A430">
        <v>433841</v>
      </c>
      <c r="B430" t="str">
        <f>VLOOKUP($A430,[1]Export!$G$2:$N$2737,COLUMN(),FALSE)</f>
        <v>Maintenance Bldg. - NHTS</v>
      </c>
      <c r="C430" t="s">
        <v>1081</v>
      </c>
      <c r="D430">
        <v>1430017</v>
      </c>
      <c r="E430">
        <v>40.073664999999998</v>
      </c>
      <c r="F430">
        <v>-74.588700000000003</v>
      </c>
    </row>
    <row r="431" spans="1:6" x14ac:dyDescent="0.3">
      <c r="A431">
        <v>441294</v>
      </c>
      <c r="B431" t="str">
        <f>VLOOKUP($A431,[1]Export!$G$2:$N$2737,COLUMN(),FALSE)</f>
        <v>Central Regional High School</v>
      </c>
      <c r="C431" t="s">
        <v>1114</v>
      </c>
      <c r="D431">
        <v>1430017</v>
      </c>
      <c r="E431">
        <v>39.891700999999998</v>
      </c>
      <c r="F431">
        <v>-74.204239999999999</v>
      </c>
    </row>
    <row r="432" spans="1:6" x14ac:dyDescent="0.3">
      <c r="A432">
        <v>470410</v>
      </c>
      <c r="B432" t="str">
        <f>VLOOKUP($A432,[1]Export!$G$2:$N$2737,COLUMN(),FALSE)</f>
        <v>Bobby's Run School 4-5</v>
      </c>
      <c r="C432" t="s">
        <v>1739</v>
      </c>
      <c r="D432">
        <v>1430017</v>
      </c>
      <c r="E432">
        <v>39.972752</v>
      </c>
      <c r="F432">
        <v>-74.785448000000002</v>
      </c>
    </row>
    <row r="433" spans="1:6" x14ac:dyDescent="0.3">
      <c r="A433">
        <v>265344</v>
      </c>
      <c r="B433" t="str">
        <f>VLOOKUP($A433,[1]Export!$G$2:$N$2737,COLUMN(),FALSE)</f>
        <v>St Andrews School of Delaware,</v>
      </c>
      <c r="C433" t="s">
        <v>1656</v>
      </c>
      <c r="D433">
        <v>1430018</v>
      </c>
      <c r="E433">
        <v>39.433335999999997</v>
      </c>
      <c r="F433">
        <v>-75.688388000000003</v>
      </c>
    </row>
    <row r="434" spans="1:6" x14ac:dyDescent="0.3">
      <c r="A434">
        <v>271271</v>
      </c>
      <c r="B434" t="str">
        <f>VLOOKUP($A434,[1]Export!$G$2:$N$2737,COLUMN(),FALSE)</f>
        <v>St Anne's Episcopal School</v>
      </c>
      <c r="C434" t="s">
        <v>496</v>
      </c>
      <c r="D434">
        <v>1430018</v>
      </c>
      <c r="E434">
        <v>39.439292999999999</v>
      </c>
      <c r="F434">
        <v>-75.699010000000001</v>
      </c>
    </row>
    <row r="435" spans="1:6" x14ac:dyDescent="0.3">
      <c r="A435">
        <v>416425</v>
      </c>
      <c r="B435" t="str">
        <f>VLOOKUP($A435,[1]Export!$G$2:$N$2737,COLUMN(),FALSE)</f>
        <v>Brickmill Elementary School</v>
      </c>
      <c r="C435" t="s">
        <v>843</v>
      </c>
      <c r="D435">
        <v>1430018</v>
      </c>
      <c r="E435">
        <v>39.458976</v>
      </c>
      <c r="F435">
        <v>-75.686577999999997</v>
      </c>
    </row>
    <row r="436" spans="1:6" x14ac:dyDescent="0.3">
      <c r="A436">
        <v>416571</v>
      </c>
      <c r="B436" t="str">
        <f>VLOOKUP($A436,[1]Export!$G$2:$N$2737,COLUMN(),FALSE)</f>
        <v>Cedar Lane Elementary School</v>
      </c>
      <c r="C436" t="s">
        <v>845</v>
      </c>
      <c r="D436">
        <v>1430018</v>
      </c>
      <c r="E436">
        <v>39.501474999999999</v>
      </c>
      <c r="F436">
        <v>-75.687318000000005</v>
      </c>
    </row>
    <row r="437" spans="1:6" x14ac:dyDescent="0.3">
      <c r="A437">
        <v>416942</v>
      </c>
      <c r="B437" t="str">
        <f>VLOOKUP($A437,[1]Export!$G$2:$N$2737,COLUMN(),FALSE)</f>
        <v>Administration Building</v>
      </c>
      <c r="C437" t="s">
        <v>863</v>
      </c>
      <c r="D437">
        <v>1430018</v>
      </c>
      <c r="E437">
        <v>39.455367000000003</v>
      </c>
      <c r="F437">
        <v>-75.662514999999999</v>
      </c>
    </row>
    <row r="438" spans="1:6" x14ac:dyDescent="0.3">
      <c r="A438">
        <v>418074</v>
      </c>
      <c r="B438" t="str">
        <f>VLOOKUP($A438,[1]Export!$G$2:$N$2737,COLUMN(),FALSE)</f>
        <v>Everett Meredith Middle School</v>
      </c>
      <c r="C438" t="s">
        <v>902</v>
      </c>
      <c r="D438">
        <v>1430018</v>
      </c>
      <c r="E438">
        <v>39.443024999999999</v>
      </c>
      <c r="F438">
        <v>-75.717442000000005</v>
      </c>
    </row>
    <row r="439" spans="1:6" x14ac:dyDescent="0.3">
      <c r="A439">
        <v>418088</v>
      </c>
      <c r="B439" t="str">
        <f>VLOOKUP($A439,[1]Export!$G$2:$N$2737,COLUMN(),FALSE)</f>
        <v>Middletown High School</v>
      </c>
      <c r="C439" t="s">
        <v>906</v>
      </c>
      <c r="D439">
        <v>1430018</v>
      </c>
      <c r="E439">
        <v>39.450270000000003</v>
      </c>
      <c r="F439">
        <v>-75.692639999999997</v>
      </c>
    </row>
    <row r="440" spans="1:6" x14ac:dyDescent="0.3">
      <c r="A440">
        <v>418456</v>
      </c>
      <c r="B440" t="str">
        <f>VLOOKUP($A440,[1]Export!$G$2:$N$2737,COLUMN(),FALSE)</f>
        <v>Redding Intermediate School</v>
      </c>
      <c r="C440" t="s">
        <v>956</v>
      </c>
      <c r="D440">
        <v>1430018</v>
      </c>
      <c r="E440">
        <v>39.451627999999999</v>
      </c>
      <c r="F440">
        <v>-75.710164000000006</v>
      </c>
    </row>
    <row r="441" spans="1:6" x14ac:dyDescent="0.3">
      <c r="A441">
        <v>418663</v>
      </c>
      <c r="B441" t="str">
        <f>VLOOKUP($A441,[1]Export!$G$2:$N$2737,COLUMN(),FALSE)</f>
        <v>Silver Lake Elementary School</v>
      </c>
      <c r="C441" t="s">
        <v>966</v>
      </c>
      <c r="D441">
        <v>1430018</v>
      </c>
      <c r="E441">
        <v>39.446776999999997</v>
      </c>
      <c r="F441">
        <v>-75.709957000000003</v>
      </c>
    </row>
    <row r="442" spans="1:6" x14ac:dyDescent="0.3">
      <c r="A442">
        <v>418834</v>
      </c>
      <c r="B442" t="str">
        <f>VLOOKUP($A442,[1]Export!$G$2:$N$2737,COLUMN(),FALSE)</f>
        <v>Townsend Elementary School</v>
      </c>
      <c r="C442" t="s">
        <v>974</v>
      </c>
      <c r="D442">
        <v>1430018</v>
      </c>
      <c r="E442">
        <v>39.395912000000003</v>
      </c>
      <c r="F442">
        <v>-75.688072000000005</v>
      </c>
    </row>
    <row r="443" spans="1:6" x14ac:dyDescent="0.3">
      <c r="A443">
        <v>430033</v>
      </c>
      <c r="B443" t="str">
        <f>VLOOKUP($A443,[1]Export!$G$2:$N$2737,COLUMN(),FALSE)</f>
        <v>Alfred G. Waters Middle School</v>
      </c>
      <c r="C443" t="s">
        <v>1050</v>
      </c>
      <c r="D443">
        <v>1430018</v>
      </c>
      <c r="E443">
        <v>39.503543000000001</v>
      </c>
      <c r="F443">
        <v>-75.689160000000001</v>
      </c>
    </row>
    <row r="444" spans="1:6" x14ac:dyDescent="0.3">
      <c r="A444">
        <v>430824</v>
      </c>
      <c r="B444" t="str">
        <f>VLOOKUP($A444,[1]Export!$G$2:$N$2737,COLUMN(),FALSE)</f>
        <v>Appoquinimink High School</v>
      </c>
      <c r="C444" t="s">
        <v>1064</v>
      </c>
      <c r="D444">
        <v>1430018</v>
      </c>
      <c r="E444">
        <v>39.454368000000002</v>
      </c>
      <c r="F444">
        <v>-75.748199999999997</v>
      </c>
    </row>
    <row r="445" spans="1:6" x14ac:dyDescent="0.3">
      <c r="A445">
        <v>437513</v>
      </c>
      <c r="B445" t="str">
        <f>VLOOKUP($A445,[1]Export!$G$2:$N$2737,COLUMN(),FALSE)</f>
        <v>Bunker Hill Elementary School</v>
      </c>
      <c r="C445" t="s">
        <v>1100</v>
      </c>
      <c r="D445">
        <v>1430018</v>
      </c>
      <c r="E445">
        <v>39.455522000000002</v>
      </c>
      <c r="F445">
        <v>-75.744101000000001</v>
      </c>
    </row>
    <row r="446" spans="1:6" x14ac:dyDescent="0.3">
      <c r="A446">
        <v>449436</v>
      </c>
      <c r="B446" t="str">
        <f>VLOOKUP($A446,[1]Export!$G$2:$N$2737,COLUMN(),FALSE)</f>
        <v>Old State Elementary School</v>
      </c>
      <c r="C446" t="s">
        <v>1151</v>
      </c>
      <c r="D446">
        <v>1430018</v>
      </c>
      <c r="E446">
        <v>39.436813000000001</v>
      </c>
      <c r="F446">
        <v>-75.651060999999999</v>
      </c>
    </row>
    <row r="447" spans="1:6" x14ac:dyDescent="0.3">
      <c r="A447">
        <v>463704</v>
      </c>
      <c r="B447" t="str">
        <f>VLOOKUP($A447,[1]Export!$G$2:$N$2737,COLUMN(),FALSE)</f>
        <v>MOT Charter High School</v>
      </c>
      <c r="C447" t="s">
        <v>1222</v>
      </c>
      <c r="D447">
        <v>1430018</v>
      </c>
      <c r="E447">
        <v>39.499935000000001</v>
      </c>
      <c r="F447">
        <v>-75.691751999999994</v>
      </c>
    </row>
    <row r="448" spans="1:6" x14ac:dyDescent="0.3">
      <c r="A448">
        <v>470537</v>
      </c>
      <c r="B448" t="str">
        <f>VLOOKUP($A448,[1]Export!$G$2:$N$2737,COLUMN(),FALSE)</f>
        <v>Lorewood Grove Elementary Scho</v>
      </c>
      <c r="C448" t="s">
        <v>1299</v>
      </c>
      <c r="D448">
        <v>1430018</v>
      </c>
      <c r="E448">
        <v>39.532910999999999</v>
      </c>
      <c r="F448">
        <v>-75.680645999999996</v>
      </c>
    </row>
    <row r="449" spans="1:6" x14ac:dyDescent="0.3">
      <c r="A449">
        <v>482350</v>
      </c>
      <c r="B449" t="str">
        <f>VLOOKUP($A449,[1]Export!$G$2:$N$2737,COLUMN(),FALSE)</f>
        <v>Crystal Run Elem</v>
      </c>
      <c r="C449" t="s">
        <v>1388</v>
      </c>
      <c r="D449">
        <v>1430018</v>
      </c>
      <c r="E449">
        <v>39.524920000000002</v>
      </c>
      <c r="F449">
        <v>-75.715630000000004</v>
      </c>
    </row>
    <row r="450" spans="1:6" x14ac:dyDescent="0.3">
      <c r="A450">
        <v>243460</v>
      </c>
      <c r="B450" t="str">
        <f>VLOOKUP($A450,[1]Export!$G$2:$N$2737,COLUMN(),FALSE)</f>
        <v>Cliff Fitzgerald</v>
      </c>
      <c r="C450" t="s">
        <v>353</v>
      </c>
      <c r="D450">
        <v>1430016</v>
      </c>
      <c r="E450">
        <v>40.216115000000002</v>
      </c>
      <c r="F450">
        <v>-75.219499999999996</v>
      </c>
    </row>
    <row r="451" spans="1:6" x14ac:dyDescent="0.3">
      <c r="A451">
        <v>296716</v>
      </c>
      <c r="B451" t="str">
        <f>VLOOKUP($A451,[1]Export!$G$2:$N$2737,COLUMN(),FALSE)</f>
        <v>Sanctuary United Methodist Chu</v>
      </c>
      <c r="C451" t="s">
        <v>584</v>
      </c>
      <c r="D451">
        <v>1430016</v>
      </c>
      <c r="E451">
        <v>40.218085000000002</v>
      </c>
      <c r="F451">
        <v>-75.261835000000005</v>
      </c>
    </row>
    <row r="452" spans="1:6" x14ac:dyDescent="0.3">
      <c r="A452">
        <v>305232</v>
      </c>
      <c r="B452" t="str">
        <f>VLOOKUP($A452,[1]Export!$G$2:$N$2737,COLUMN(),FALSE)</f>
        <v>Sweetbriar Restaurant</v>
      </c>
      <c r="C452" t="s">
        <v>626</v>
      </c>
      <c r="D452">
        <v>1430016</v>
      </c>
      <c r="E452">
        <v>40.155794</v>
      </c>
      <c r="F452">
        <v>-75.214309</v>
      </c>
    </row>
    <row r="453" spans="1:6" x14ac:dyDescent="0.3">
      <c r="A453">
        <v>320010</v>
      </c>
      <c r="B453" t="str">
        <f>VLOOKUP($A453,[1]Export!$G$2:$N$2737,COLUMN(),FALSE)</f>
        <v>Gwynedd Mercy Academy Elementa</v>
      </c>
      <c r="C453" t="s">
        <v>690</v>
      </c>
      <c r="D453">
        <v>1430016</v>
      </c>
      <c r="E453">
        <v>40.184460000000001</v>
      </c>
      <c r="F453">
        <v>-75.225620000000006</v>
      </c>
    </row>
    <row r="454" spans="1:6" x14ac:dyDescent="0.3">
      <c r="A454">
        <v>456118</v>
      </c>
      <c r="B454" t="str">
        <f>VLOOKUP($A454,[1]Export!$G$2:$N$2737,COLUMN(),FALSE)</f>
        <v>Teledyne Judson Technologies</v>
      </c>
      <c r="C454" t="s">
        <v>1186</v>
      </c>
      <c r="D454">
        <v>1430016</v>
      </c>
      <c r="E454">
        <v>40.226613</v>
      </c>
      <c r="F454">
        <v>-75.227559999999997</v>
      </c>
    </row>
    <row r="455" spans="1:6" x14ac:dyDescent="0.3">
      <c r="A455">
        <v>239133</v>
      </c>
      <c r="B455" t="str">
        <f>VLOOKUP($A455,[1]Export!$G$2:$N$2737,COLUMN(),FALSE)</f>
        <v>AGGREGATES EQUIPMENT#</v>
      </c>
      <c r="C455" t="s">
        <v>167</v>
      </c>
      <c r="D455">
        <v>1430021</v>
      </c>
      <c r="E455">
        <v>40.086306</v>
      </c>
      <c r="F455">
        <v>-76.182950000000005</v>
      </c>
    </row>
    <row r="456" spans="1:6" x14ac:dyDescent="0.3">
      <c r="A456">
        <v>239318</v>
      </c>
      <c r="B456" t="str">
        <f>VLOOKUP($A456,[1]Export!$G$2:$N$2737,COLUMN(),FALSE)</f>
        <v>BIRD IN HAND FAMILY INN#</v>
      </c>
      <c r="C456" t="s">
        <v>173</v>
      </c>
      <c r="D456">
        <v>1430021</v>
      </c>
      <c r="E456">
        <v>40.038179999999997</v>
      </c>
      <c r="F456">
        <v>-76.175129999999996</v>
      </c>
    </row>
    <row r="457" spans="1:6" x14ac:dyDescent="0.3">
      <c r="A457">
        <v>239777</v>
      </c>
      <c r="B457" t="str">
        <f>VLOOKUP($A457,[1]Export!$G$2:$N$2737,COLUMN(),FALSE)</f>
        <v>DART CONTAINER</v>
      </c>
      <c r="C457" t="s">
        <v>189</v>
      </c>
      <c r="D457">
        <v>1430021</v>
      </c>
      <c r="E457">
        <v>40.085590000000003</v>
      </c>
      <c r="F457">
        <v>-76.180800000000005</v>
      </c>
    </row>
    <row r="458" spans="1:6" x14ac:dyDescent="0.3">
      <c r="A458">
        <v>240040</v>
      </c>
      <c r="B458" t="str">
        <f>VLOOKUP($A458,[1]Export!$G$2:$N$2737,COLUMN(),FALSE)</f>
        <v>FAITH EVANG CONG CHURCH</v>
      </c>
      <c r="C458" t="s">
        <v>211</v>
      </c>
      <c r="D458">
        <v>1430022</v>
      </c>
      <c r="E458">
        <v>40.039504999999998</v>
      </c>
      <c r="F458">
        <v>-76.234322000000006</v>
      </c>
    </row>
    <row r="459" spans="1:6" x14ac:dyDescent="0.3">
      <c r="A459">
        <v>240091</v>
      </c>
      <c r="B459" t="str">
        <f>VLOOKUP($A459,[1]Export!$G$2:$N$2737,COLUMN(),FALSE)</f>
        <v>FIRST PRESBYTERIAN CHURCH</v>
      </c>
      <c r="C459" t="s">
        <v>213</v>
      </c>
      <c r="D459">
        <v>1430021</v>
      </c>
      <c r="E459">
        <v>39.981138000000001</v>
      </c>
      <c r="F459">
        <v>-76.178820000000002</v>
      </c>
    </row>
    <row r="460" spans="1:6" x14ac:dyDescent="0.3">
      <c r="A460">
        <v>240154</v>
      </c>
      <c r="B460" t="str">
        <f>VLOOKUP($A460,[1]Export!$G$2:$N$2737,COLUMN(),FALSE)</f>
        <v>BBS GROCERY OUTLET#</v>
      </c>
      <c r="C460" t="s">
        <v>26</v>
      </c>
      <c r="D460">
        <v>1430021</v>
      </c>
      <c r="E460">
        <v>39.916902</v>
      </c>
      <c r="F460">
        <v>-76.184398999999999</v>
      </c>
    </row>
    <row r="461" spans="1:6" x14ac:dyDescent="0.3">
      <c r="A461">
        <v>240218</v>
      </c>
      <c r="B461" t="str">
        <f>VLOOKUP($A461,[1]Export!$G$2:$N$2737,COLUMN(),FALSE)</f>
        <v>GLICK FIRE EQUIPMENT CO INC</v>
      </c>
      <c r="C461" t="s">
        <v>225</v>
      </c>
      <c r="D461">
        <v>1430021</v>
      </c>
      <c r="E461">
        <v>40.042729000000001</v>
      </c>
      <c r="F461">
        <v>-76.198098000000002</v>
      </c>
    </row>
    <row r="462" spans="1:6" x14ac:dyDescent="0.3">
      <c r="A462">
        <v>240422</v>
      </c>
      <c r="B462" t="str">
        <f>VLOOKUP($A462,[1]Export!$G$2:$N$2737,COLUMN(),FALSE)</f>
        <v>Culpeper of Leola</v>
      </c>
      <c r="C462" t="s">
        <v>231</v>
      </c>
      <c r="D462">
        <v>1430021</v>
      </c>
      <c r="E462">
        <v>40.086227999999998</v>
      </c>
      <c r="F462">
        <v>-76.181743999999995</v>
      </c>
    </row>
    <row r="463" spans="1:6" x14ac:dyDescent="0.3">
      <c r="A463">
        <v>240754</v>
      </c>
      <c r="B463" t="str">
        <f>VLOOKUP($A463,[1]Export!$G$2:$N$2737,COLUMN(),FALSE)</f>
        <v>LANC MENNONITE HIGH SCHOOL</v>
      </c>
      <c r="C463" t="s">
        <v>1591</v>
      </c>
      <c r="D463">
        <v>1430021</v>
      </c>
      <c r="E463">
        <v>40.027222000000002</v>
      </c>
      <c r="F463">
        <v>-76.227894000000006</v>
      </c>
    </row>
    <row r="464" spans="1:6" x14ac:dyDescent="0.3">
      <c r="A464">
        <v>241814</v>
      </c>
      <c r="B464" t="str">
        <f>VLOOKUP($A464,[1]Export!$G$2:$N$2737,COLUMN(),FALSE)</f>
        <v>SIGNAL MACHINE COMPANY#</v>
      </c>
      <c r="C464" t="s">
        <v>309</v>
      </c>
      <c r="D464">
        <v>1430016</v>
      </c>
      <c r="E464">
        <v>40.083860000000001</v>
      </c>
      <c r="F464">
        <v>-76.098110000000005</v>
      </c>
    </row>
    <row r="465" spans="1:6" x14ac:dyDescent="0.3">
      <c r="A465">
        <v>241839</v>
      </c>
      <c r="B465" t="str">
        <f>VLOOKUP($A465,[1]Export!$G$2:$N$2737,COLUMN(),FALSE)</f>
        <v>SMOKER &amp; COMPANY#</v>
      </c>
      <c r="C465" t="s">
        <v>311</v>
      </c>
      <c r="D465">
        <v>1430021</v>
      </c>
      <c r="E465">
        <v>40.089592000000003</v>
      </c>
      <c r="F465">
        <v>-76.178089999999997</v>
      </c>
    </row>
    <row r="466" spans="1:6" x14ac:dyDescent="0.3">
      <c r="A466">
        <v>241967</v>
      </c>
      <c r="B466" t="str">
        <f>VLOOKUP($A466,[1]Export!$G$2:$N$2737,COLUMN(),FALSE)</f>
        <v>FULTON STEAMBOAT INN</v>
      </c>
      <c r="C466" t="s">
        <v>317</v>
      </c>
      <c r="D466">
        <v>1430021</v>
      </c>
      <c r="E466">
        <v>40.003610000000002</v>
      </c>
      <c r="F466">
        <v>-76.217280000000002</v>
      </c>
    </row>
    <row r="467" spans="1:6" x14ac:dyDescent="0.3">
      <c r="A467">
        <v>242572</v>
      </c>
      <c r="B467" t="str">
        <f>VLOOKUP($A467,[1]Export!$G$2:$N$2737,COLUMN(),FALSE)</f>
        <v>BIRD IN HAND FAMILY RESTAURANT</v>
      </c>
      <c r="C467" t="s">
        <v>335</v>
      </c>
      <c r="D467">
        <v>1430021</v>
      </c>
      <c r="E467">
        <v>40.038156999999998</v>
      </c>
      <c r="F467">
        <v>-76.174486999999999</v>
      </c>
    </row>
    <row r="468" spans="1:6" x14ac:dyDescent="0.3">
      <c r="A468">
        <v>247051</v>
      </c>
      <c r="B468" t="str">
        <f>VLOOKUP($A468,[1]Export!$G$2:$N$2737,COLUMN(),FALSE)</f>
        <v>CALVARY MONUMENT BIBLE CHURCH#</v>
      </c>
      <c r="C468" t="s">
        <v>454</v>
      </c>
      <c r="D468">
        <v>1430016</v>
      </c>
      <c r="E468">
        <v>39.968767</v>
      </c>
      <c r="F468">
        <v>-76.065610000000007</v>
      </c>
    </row>
    <row r="469" spans="1:6" x14ac:dyDescent="0.3">
      <c r="A469">
        <v>247675</v>
      </c>
      <c r="B469" t="str">
        <f>VLOOKUP($A469,[1]Export!$G$2:$N$2737,COLUMN(),FALSE)</f>
        <v>Image Keepers Inc - CC</v>
      </c>
      <c r="C469" t="s">
        <v>1652</v>
      </c>
      <c r="D469">
        <v>1430021</v>
      </c>
      <c r="E469">
        <v>40.029527000000002</v>
      </c>
      <c r="F469">
        <v>-76.170320000000004</v>
      </c>
    </row>
    <row r="470" spans="1:6" x14ac:dyDescent="0.3">
      <c r="A470">
        <v>280526</v>
      </c>
      <c r="B470" t="str">
        <f>VLOOKUP($A470,[1]Export!$G$2:$N$2737,COLUMN(),FALSE)</f>
        <v>QUARRYVILLE PRESBYTERIAN-MED#</v>
      </c>
      <c r="C470" t="s">
        <v>94</v>
      </c>
      <c r="D470">
        <v>1430021</v>
      </c>
      <c r="E470">
        <v>39.887189999999997</v>
      </c>
      <c r="F470">
        <v>-76.161510000000007</v>
      </c>
    </row>
    <row r="471" spans="1:6" x14ac:dyDescent="0.3">
      <c r="A471">
        <v>297010</v>
      </c>
      <c r="B471" t="str">
        <f>VLOOKUP($A471,[1]Export!$G$2:$N$2737,COLUMN(),FALSE)</f>
        <v>PARADISE CONCRETE SOLUTIONS#</v>
      </c>
      <c r="C471" t="s">
        <v>588</v>
      </c>
      <c r="D471">
        <v>1430021</v>
      </c>
      <c r="E471">
        <v>40.017643999999997</v>
      </c>
      <c r="F471">
        <v>-76.166921000000002</v>
      </c>
    </row>
    <row r="472" spans="1:6" x14ac:dyDescent="0.3">
      <c r="A472">
        <v>300735</v>
      </c>
      <c r="B472" t="str">
        <f>VLOOKUP($A472,[1]Export!$G$2:$N$2737,COLUMN(),FALSE)</f>
        <v>KEYSTONE CHURCH</v>
      </c>
      <c r="C472" t="s">
        <v>614</v>
      </c>
      <c r="D472">
        <v>1430016</v>
      </c>
      <c r="E472">
        <v>40.00508</v>
      </c>
      <c r="F472">
        <v>-76.102467000000004</v>
      </c>
    </row>
    <row r="473" spans="1:6" x14ac:dyDescent="0.3">
      <c r="A473">
        <v>310741</v>
      </c>
      <c r="B473" t="str">
        <f>VLOOKUP($A473,[1]Export!$G$2:$N$2737,COLUMN(),FALSE)</f>
        <v>RED CABOOSE MOTEL#</v>
      </c>
      <c r="C473" t="s">
        <v>1687</v>
      </c>
      <c r="D473">
        <v>1430021</v>
      </c>
      <c r="E473">
        <v>39.985475000000001</v>
      </c>
      <c r="F473">
        <v>-76.151471999999998</v>
      </c>
    </row>
    <row r="474" spans="1:6" x14ac:dyDescent="0.3">
      <c r="A474">
        <v>312881</v>
      </c>
      <c r="B474" t="str">
        <f>VLOOKUP($A474,[1]Export!$G$2:$N$2737,COLUMN(),FALSE)</f>
        <v>RUTTERS FARM STORES #70</v>
      </c>
      <c r="C474" t="s">
        <v>1691</v>
      </c>
      <c r="D474">
        <v>1430021</v>
      </c>
      <c r="E474">
        <v>39.988773999999999</v>
      </c>
      <c r="F474">
        <v>-76.176559999999995</v>
      </c>
    </row>
    <row r="475" spans="1:6" x14ac:dyDescent="0.3">
      <c r="A475">
        <v>320822</v>
      </c>
      <c r="B475" t="str">
        <f>VLOOKUP($A475,[1]Export!$G$2:$N$2737,COLUMN(),FALSE)</f>
        <v>Artsana USA INC</v>
      </c>
      <c r="C475" t="s">
        <v>692</v>
      </c>
      <c r="D475">
        <v>1430022</v>
      </c>
      <c r="E475">
        <v>40.047500999999997</v>
      </c>
      <c r="F475">
        <v>-76.241240000000005</v>
      </c>
    </row>
    <row r="476" spans="1:6" x14ac:dyDescent="0.3">
      <c r="A476">
        <v>337114</v>
      </c>
      <c r="B476" t="str">
        <f>VLOOKUP($A476,[1]Export!$G$2:$N$2737,COLUMN(),FALSE)</f>
        <v>RUTTERS FARM STORES #91</v>
      </c>
      <c r="C476" t="s">
        <v>1698</v>
      </c>
      <c r="D476">
        <v>1430016</v>
      </c>
      <c r="E476">
        <v>39.993547</v>
      </c>
      <c r="F476">
        <v>-76.027844000000002</v>
      </c>
    </row>
    <row r="477" spans="1:6" x14ac:dyDescent="0.3">
      <c r="A477">
        <v>423139</v>
      </c>
      <c r="B477" t="str">
        <f>VLOOKUP($A477,[1]Export!$G$2:$N$2737,COLUMN(),FALSE)</f>
        <v>SMOKETOWN ELEMENTARY</v>
      </c>
      <c r="C477" t="s">
        <v>997</v>
      </c>
      <c r="D477">
        <v>1430021</v>
      </c>
      <c r="E477">
        <v>40.038972000000001</v>
      </c>
      <c r="F477">
        <v>-76.207966999999996</v>
      </c>
    </row>
    <row r="478" spans="1:6" x14ac:dyDescent="0.3">
      <c r="A478">
        <v>453635</v>
      </c>
      <c r="B478" t="str">
        <f>VLOOKUP($A478,[1]Export!$G$2:$N$2737,COLUMN(),FALSE)</f>
        <v>PROVIDENCE ELEM SCHOOL</v>
      </c>
      <c r="C478" t="s">
        <v>117</v>
      </c>
      <c r="D478">
        <v>1430021</v>
      </c>
      <c r="E478">
        <v>39.917549999999999</v>
      </c>
      <c r="F478">
        <v>-76.207024000000004</v>
      </c>
    </row>
    <row r="479" spans="1:6" x14ac:dyDescent="0.3">
      <c r="A479">
        <v>453636</v>
      </c>
      <c r="B479" t="str">
        <f>VLOOKUP($A479,[1]Export!$G$2:$N$2737,COLUMN(),FALSE)</f>
        <v>QUARRYVILLE ELEM SCHOOL</v>
      </c>
      <c r="C479" t="s">
        <v>119</v>
      </c>
      <c r="D479">
        <v>1430021</v>
      </c>
      <c r="E479">
        <v>39.893841999999999</v>
      </c>
      <c r="F479">
        <v>-76.158860000000004</v>
      </c>
    </row>
    <row r="480" spans="1:6" x14ac:dyDescent="0.3">
      <c r="A480">
        <v>453638</v>
      </c>
      <c r="B480" t="str">
        <f>VLOOKUP($A480,[1]Export!$G$2:$N$2737,COLUMN(),FALSE)</f>
        <v>SMITH MIDDLE SCHOOL</v>
      </c>
      <c r="C480" t="s">
        <v>123</v>
      </c>
      <c r="D480">
        <v>1430021</v>
      </c>
      <c r="E480">
        <v>39.895314999999997</v>
      </c>
      <c r="F480">
        <v>-76.147137999999998</v>
      </c>
    </row>
    <row r="481" spans="1:6" x14ac:dyDescent="0.3">
      <c r="A481">
        <v>481761</v>
      </c>
      <c r="B481" t="str">
        <f>VLOOKUP($A481,[1]Export!$G$2:$N$2737,COLUMN(),FALSE)</f>
        <v>CONESTOGA VALLEY NEW MIDDLE SC</v>
      </c>
      <c r="C481" t="s">
        <v>1382</v>
      </c>
      <c r="D481">
        <v>1430021</v>
      </c>
      <c r="E481">
        <v>40.050960000000003</v>
      </c>
      <c r="F481">
        <v>-76.217029999999994</v>
      </c>
    </row>
    <row r="482" spans="1:6" x14ac:dyDescent="0.3">
      <c r="A482">
        <v>239536</v>
      </c>
      <c r="B482" t="str">
        <f>VLOOKUP($A482,[1]Export!$G$2:$N$2737,COLUMN(),FALSE)</f>
        <v>CHAPMAN FORD LLC#</v>
      </c>
      <c r="C482" t="s">
        <v>183</v>
      </c>
      <c r="D482">
        <v>1430022</v>
      </c>
      <c r="E482">
        <v>40.038133999999999</v>
      </c>
      <c r="F482">
        <v>-76.450134000000006</v>
      </c>
    </row>
    <row r="483" spans="1:6" x14ac:dyDescent="0.3">
      <c r="A483">
        <v>239653</v>
      </c>
      <c r="B483" t="str">
        <f>VLOOKUP($A483,[1]Export!$G$2:$N$2737,COLUMN(),FALSE)</f>
        <v>COLUMBIA BORO SCHOOL DIST</v>
      </c>
      <c r="C483" t="s">
        <v>185</v>
      </c>
      <c r="D483">
        <v>1430022</v>
      </c>
      <c r="E483">
        <v>40.035975999999998</v>
      </c>
      <c r="F483">
        <v>-76.502403000000001</v>
      </c>
    </row>
    <row r="484" spans="1:6" x14ac:dyDescent="0.3">
      <c r="A484">
        <v>239751</v>
      </c>
      <c r="B484" t="str">
        <f>VLOOKUP($A484,[1]Export!$G$2:$N$2737,COLUMN(),FALSE)</f>
        <v>CURTS CLEANING V</v>
      </c>
      <c r="C484" t="s">
        <v>18</v>
      </c>
      <c r="D484">
        <v>1430021</v>
      </c>
      <c r="E484">
        <v>39.872438000000002</v>
      </c>
      <c r="F484">
        <v>-76.225246999999996</v>
      </c>
    </row>
    <row r="485" spans="1:6" x14ac:dyDescent="0.3">
      <c r="A485">
        <v>239793</v>
      </c>
      <c r="B485" t="str">
        <f>VLOOKUP($A485,[1]Export!$G$2:$N$2737,COLUMN(),FALSE)</f>
        <v>Dayspring Christian Academy</v>
      </c>
      <c r="C485" t="s">
        <v>191</v>
      </c>
      <c r="D485">
        <v>1430022</v>
      </c>
      <c r="E485">
        <v>40.042865999999997</v>
      </c>
      <c r="F485">
        <v>-76.426608999999999</v>
      </c>
    </row>
    <row r="486" spans="1:6" x14ac:dyDescent="0.3">
      <c r="A486">
        <v>239896</v>
      </c>
      <c r="B486" t="str">
        <f>VLOOKUP($A486,[1]Export!$G$2:$N$2737,COLUMN(),FALSE)</f>
        <v>DUTCH APPLE DINNER THEATRE#</v>
      </c>
      <c r="C486" t="s">
        <v>20</v>
      </c>
      <c r="D486">
        <v>1430022</v>
      </c>
      <c r="E486">
        <v>40.053511999999998</v>
      </c>
      <c r="F486">
        <v>-76.399518999999998</v>
      </c>
    </row>
    <row r="487" spans="1:6" x14ac:dyDescent="0.3">
      <c r="A487">
        <v>239898</v>
      </c>
      <c r="B487" t="str">
        <f>VLOOKUP($A487,[1]Export!$G$2:$N$2737,COLUMN(),FALSE)</f>
        <v>DUTCH GOLD HONEY INC#</v>
      </c>
      <c r="C487" t="s">
        <v>22</v>
      </c>
      <c r="D487">
        <v>1430022</v>
      </c>
      <c r="E487">
        <v>40.055542000000003</v>
      </c>
      <c r="F487">
        <v>-76.363370000000003</v>
      </c>
    </row>
    <row r="488" spans="1:6" x14ac:dyDescent="0.3">
      <c r="A488">
        <v>240356</v>
      </c>
      <c r="B488" t="str">
        <f>VLOOKUP($A488,[1]Export!$G$2:$N$2737,COLUMN(),FALSE)</f>
        <v>HEMPFIELD AREA RECREATION#</v>
      </c>
      <c r="C488" t="s">
        <v>28</v>
      </c>
      <c r="D488">
        <v>1430022</v>
      </c>
      <c r="E488">
        <v>40.068688999999999</v>
      </c>
      <c r="F488">
        <v>-76.413719</v>
      </c>
    </row>
    <row r="489" spans="1:6" x14ac:dyDescent="0.3">
      <c r="A489">
        <v>240765</v>
      </c>
      <c r="B489" t="str">
        <f>VLOOKUP($A489,[1]Export!$G$2:$N$2737,COLUMN(),FALSE)</f>
        <v>LANC PLUMBING &amp; HEATING#</v>
      </c>
      <c r="C489" t="s">
        <v>249</v>
      </c>
      <c r="D489">
        <v>1430022</v>
      </c>
      <c r="E489">
        <v>40.088250000000002</v>
      </c>
      <c r="F489">
        <v>-76.353095999999994</v>
      </c>
    </row>
    <row r="490" spans="1:6" x14ac:dyDescent="0.3">
      <c r="A490">
        <v>240777</v>
      </c>
      <c r="B490" t="str">
        <f>VLOOKUP($A490,[1]Export!$G$2:$N$2737,COLUMN(),FALSE)</f>
        <v>LANCASTER TOYOTA INC#</v>
      </c>
      <c r="C490" t="s">
        <v>251</v>
      </c>
      <c r="D490">
        <v>1430022</v>
      </c>
      <c r="E490">
        <v>40.089401000000002</v>
      </c>
      <c r="F490">
        <v>-76.346693000000002</v>
      </c>
    </row>
    <row r="491" spans="1:6" x14ac:dyDescent="0.3">
      <c r="A491">
        <v>241023</v>
      </c>
      <c r="B491" t="str">
        <f>VLOOKUP($A491,[1]Export!$G$2:$N$2737,COLUMN(),FALSE)</f>
        <v>MANOR CHURCH</v>
      </c>
      <c r="C491" t="s">
        <v>46</v>
      </c>
      <c r="D491">
        <v>1430022</v>
      </c>
      <c r="E491">
        <v>40.020619000000003</v>
      </c>
      <c r="F491">
        <v>-76.433154999999999</v>
      </c>
    </row>
    <row r="492" spans="1:6" x14ac:dyDescent="0.3">
      <c r="A492">
        <v>241169</v>
      </c>
      <c r="B492" t="str">
        <f>VLOOKUP($A492,[1]Export!$G$2:$N$2737,COLUMN(),FALSE)</f>
        <v>MOUNTVILLE CHURCH OF THE BRETH</v>
      </c>
      <c r="C492" t="s">
        <v>275</v>
      </c>
      <c r="D492">
        <v>1430022</v>
      </c>
      <c r="E492">
        <v>40.041739999999997</v>
      </c>
      <c r="F492">
        <v>-76.427357999999998</v>
      </c>
    </row>
    <row r="493" spans="1:6" x14ac:dyDescent="0.3">
      <c r="A493">
        <v>241351</v>
      </c>
      <c r="B493" t="str">
        <f>VLOOKUP($A493,[1]Export!$G$2:$N$2737,COLUMN(),FALSE)</f>
        <v>EXCENTIA MED#</v>
      </c>
      <c r="C493" t="s">
        <v>54</v>
      </c>
      <c r="D493">
        <v>1430022</v>
      </c>
      <c r="E493">
        <v>40.090538000000002</v>
      </c>
      <c r="F493">
        <v>-76.356438999999995</v>
      </c>
    </row>
    <row r="494" spans="1:6" x14ac:dyDescent="0.3">
      <c r="A494">
        <v>241624</v>
      </c>
      <c r="B494" t="str">
        <f>VLOOKUP($A494,[1]Export!$G$2:$N$2737,COLUMN(),FALSE)</f>
        <v>ROHRERSTOWN FIRE COMPANY</v>
      </c>
      <c r="C494" t="s">
        <v>56</v>
      </c>
      <c r="D494">
        <v>1430022</v>
      </c>
      <c r="E494">
        <v>40.05151</v>
      </c>
      <c r="F494">
        <v>-76.363822999999996</v>
      </c>
    </row>
    <row r="495" spans="1:6" x14ac:dyDescent="0.3">
      <c r="A495">
        <v>241655</v>
      </c>
      <c r="B495" t="str">
        <f>VLOOKUP($A495,[1]Export!$G$2:$N$2737,COLUMN(),FALSE)</f>
        <v>RUTTERS FARM STORE #24</v>
      </c>
      <c r="C495" t="s">
        <v>1600</v>
      </c>
      <c r="D495">
        <v>1430048</v>
      </c>
      <c r="E495">
        <v>39.862848999999997</v>
      </c>
      <c r="F495">
        <v>-76.463646999999995</v>
      </c>
    </row>
    <row r="496" spans="1:6" x14ac:dyDescent="0.3">
      <c r="A496">
        <v>241682</v>
      </c>
      <c r="B496" t="str">
        <f>VLOOKUP($A496,[1]Export!$G$2:$N$2737,COLUMN(),FALSE)</f>
        <v>RUTTERS FARM STORES #40</v>
      </c>
      <c r="C496" t="s">
        <v>299</v>
      </c>
      <c r="D496">
        <v>1430035</v>
      </c>
      <c r="E496">
        <v>40.063577000000002</v>
      </c>
      <c r="F496">
        <v>-76.542636000000002</v>
      </c>
    </row>
    <row r="497" spans="1:6" x14ac:dyDescent="0.3">
      <c r="A497">
        <v>241724</v>
      </c>
      <c r="B497" t="str">
        <f>VLOOKUP($A497,[1]Export!$G$2:$N$2737,COLUMN(),FALSE)</f>
        <v>Salem United Church of Christ</v>
      </c>
      <c r="C497" t="s">
        <v>58</v>
      </c>
      <c r="D497">
        <v>1430022</v>
      </c>
      <c r="E497">
        <v>40.053249000000001</v>
      </c>
      <c r="F497">
        <v>-76.363705999999993</v>
      </c>
    </row>
    <row r="498" spans="1:6" x14ac:dyDescent="0.3">
      <c r="A498">
        <v>242085</v>
      </c>
      <c r="B498" t="str">
        <f>VLOOKUP($A498,[1]Export!$G$2:$N$2737,COLUMN(),FALSE)</f>
        <v>THE BUCK CO#</v>
      </c>
      <c r="C498" t="s">
        <v>66</v>
      </c>
      <c r="D498">
        <v>1430021</v>
      </c>
      <c r="E498">
        <v>39.881760999999997</v>
      </c>
      <c r="F498">
        <v>-76.231024000000005</v>
      </c>
    </row>
    <row r="499" spans="1:6" x14ac:dyDescent="0.3">
      <c r="A499">
        <v>242183</v>
      </c>
      <c r="B499" t="str">
        <f>VLOOKUP($A499,[1]Export!$G$2:$N$2737,COLUMN(),FALSE)</f>
        <v>TURKEY HILL DAIRY WK#-Plant</v>
      </c>
      <c r="C499" t="s">
        <v>72</v>
      </c>
      <c r="D499">
        <v>1430035</v>
      </c>
      <c r="E499">
        <v>39.960667000000001</v>
      </c>
      <c r="F499">
        <v>-76.447085000000001</v>
      </c>
    </row>
    <row r="500" spans="1:6" x14ac:dyDescent="0.3">
      <c r="A500">
        <v>242367</v>
      </c>
      <c r="B500" t="str">
        <f>VLOOKUP($A500,[1]Export!$G$2:$N$2737,COLUMN(),FALSE)</f>
        <v>BLUE ROCK REGIONAL FIRE DISTRI</v>
      </c>
      <c r="C500" t="s">
        <v>76</v>
      </c>
      <c r="D500">
        <v>1430022</v>
      </c>
      <c r="E500">
        <v>40.004930000000002</v>
      </c>
      <c r="F500">
        <v>-76.355879999999999</v>
      </c>
    </row>
    <row r="501" spans="1:6" x14ac:dyDescent="0.3">
      <c r="A501">
        <v>242394</v>
      </c>
      <c r="B501" t="str">
        <f>VLOOKUP($A501,[1]Export!$G$2:$N$2737,COLUMN(),FALSE)</f>
        <v>WHITMOYER FORD INC</v>
      </c>
      <c r="C501" t="s">
        <v>331</v>
      </c>
      <c r="D501">
        <v>1430035</v>
      </c>
      <c r="E501">
        <v>40.11065</v>
      </c>
      <c r="F501">
        <v>-76.477564000000001</v>
      </c>
    </row>
    <row r="502" spans="1:6" x14ac:dyDescent="0.3">
      <c r="A502">
        <v>242575</v>
      </c>
      <c r="B502" t="str">
        <f>VLOOKUP($A502,[1]Export!$G$2:$N$2737,COLUMN(),FALSE)</f>
        <v>RICHTER PRECISION INC</v>
      </c>
      <c r="C502" t="s">
        <v>78</v>
      </c>
      <c r="D502">
        <v>1430022</v>
      </c>
      <c r="E502">
        <v>40.087502000000001</v>
      </c>
      <c r="F502">
        <v>-76.348461</v>
      </c>
    </row>
    <row r="503" spans="1:6" x14ac:dyDescent="0.3">
      <c r="A503">
        <v>249200</v>
      </c>
      <c r="B503" t="str">
        <f>VLOOKUP($A503,[1]Export!$G$2:$N$2737,COLUMN(),FALSE)</f>
        <v>Martin Carberry</v>
      </c>
      <c r="C503" t="s">
        <v>458</v>
      </c>
      <c r="D503">
        <v>1430048</v>
      </c>
      <c r="E503">
        <v>40.009610000000002</v>
      </c>
      <c r="F503">
        <v>-76.548370000000006</v>
      </c>
    </row>
    <row r="504" spans="1:6" x14ac:dyDescent="0.3">
      <c r="A504">
        <v>264345</v>
      </c>
      <c r="B504" t="str">
        <f>VLOOKUP($A504,[1]Export!$G$2:$N$2737,COLUMN(),FALSE)</f>
        <v>COMMUNITY BIBLE CHURCH*</v>
      </c>
      <c r="C504" t="s">
        <v>468</v>
      </c>
      <c r="D504">
        <v>1430035</v>
      </c>
      <c r="E504">
        <v>40.064005000000002</v>
      </c>
      <c r="F504">
        <v>-76.545789999999997</v>
      </c>
    </row>
    <row r="505" spans="1:6" x14ac:dyDescent="0.3">
      <c r="A505">
        <v>264881</v>
      </c>
      <c r="B505" t="str">
        <f>VLOOKUP($A505,[1]Export!$G$2:$N$2737,COLUMN(),FALSE)</f>
        <v>NEW PROVIDENCE CHURCH OF GOD</v>
      </c>
      <c r="C505" t="s">
        <v>84</v>
      </c>
      <c r="D505">
        <v>1430021</v>
      </c>
      <c r="E505">
        <v>39.9041</v>
      </c>
      <c r="F505">
        <v>-76.201769999999996</v>
      </c>
    </row>
    <row r="506" spans="1:6" x14ac:dyDescent="0.3">
      <c r="A506">
        <v>265209</v>
      </c>
      <c r="B506" t="str">
        <f>VLOOKUP($A506,[1]Export!$G$2:$N$2737,COLUMN(),FALSE)</f>
        <v>LANCASTER REHABILITATION HOSPI</v>
      </c>
      <c r="C506" t="s">
        <v>86</v>
      </c>
      <c r="D506">
        <v>1430022</v>
      </c>
      <c r="E506">
        <v>40.062254000000003</v>
      </c>
      <c r="F506">
        <v>-76.351652000000001</v>
      </c>
    </row>
    <row r="507" spans="1:6" x14ac:dyDescent="0.3">
      <c r="A507">
        <v>271965</v>
      </c>
      <c r="B507" t="str">
        <f>VLOOKUP($A507,[1]Export!$G$2:$N$2737,COLUMN(),FALSE)</f>
        <v>JOHN WRIGHT RESTAURANT</v>
      </c>
      <c r="C507" t="s">
        <v>500</v>
      </c>
      <c r="D507">
        <v>1430022</v>
      </c>
      <c r="E507">
        <v>40.028236</v>
      </c>
      <c r="F507">
        <v>-76.528757999999996</v>
      </c>
    </row>
    <row r="508" spans="1:6" x14ac:dyDescent="0.3">
      <c r="A508">
        <v>273124</v>
      </c>
      <c r="B508" t="str">
        <f>VLOOKUP($A508,[1]Export!$G$2:$N$2737,COLUMN(),FALSE)</f>
        <v>RUTTERS FARM STORES #4</v>
      </c>
      <c r="C508" t="s">
        <v>1665</v>
      </c>
      <c r="D508">
        <v>1430022</v>
      </c>
      <c r="E508">
        <v>40.024892000000001</v>
      </c>
      <c r="F508">
        <v>-76.543481999999997</v>
      </c>
    </row>
    <row r="509" spans="1:6" x14ac:dyDescent="0.3">
      <c r="A509">
        <v>284763</v>
      </c>
      <c r="B509" t="str">
        <f>VLOOKUP($A509,[1]Export!$G$2:$N$2737,COLUMN(),FALSE)</f>
        <v>KINDERHOOK EARLY LEARNING CNTR</v>
      </c>
      <c r="C509" t="s">
        <v>546</v>
      </c>
      <c r="D509">
        <v>1430016</v>
      </c>
      <c r="E509">
        <v>40.063885999999997</v>
      </c>
      <c r="F509">
        <v>-76.570380999999998</v>
      </c>
    </row>
    <row r="510" spans="1:6" x14ac:dyDescent="0.3">
      <c r="A510">
        <v>286426</v>
      </c>
      <c r="B510" t="str">
        <f>VLOOKUP($A510,[1]Export!$G$2:$N$2737,COLUMN(),FALSE)</f>
        <v>SPOOKY NOOK SPORTS#</v>
      </c>
      <c r="C510" t="s">
        <v>554</v>
      </c>
      <c r="D510">
        <v>1430035</v>
      </c>
      <c r="E510">
        <v>40.105853000000003</v>
      </c>
      <c r="F510">
        <v>-76.419331</v>
      </c>
    </row>
    <row r="511" spans="1:6" x14ac:dyDescent="0.3">
      <c r="A511">
        <v>293616</v>
      </c>
      <c r="B511" t="str">
        <f>VLOOKUP($A511,[1]Export!$G$2:$N$2737,COLUMN(),FALSE)</f>
        <v>ST ANNES RETIREMENT HOUSEKEEPI</v>
      </c>
      <c r="C511" t="s">
        <v>1671</v>
      </c>
      <c r="D511">
        <v>1430022</v>
      </c>
      <c r="E511">
        <v>40.035915000000003</v>
      </c>
      <c r="F511">
        <v>-76.449337999999997</v>
      </c>
    </row>
    <row r="512" spans="1:6" x14ac:dyDescent="0.3">
      <c r="A512">
        <v>295895</v>
      </c>
      <c r="B512" t="str">
        <f>VLOOKUP($A512,[1]Export!$G$2:$N$2737,COLUMN(),FALSE)</f>
        <v>AMERICAS AUTO AUCTION</v>
      </c>
      <c r="C512" t="s">
        <v>96</v>
      </c>
      <c r="D512">
        <v>1430022</v>
      </c>
      <c r="E512">
        <v>40.085596000000002</v>
      </c>
      <c r="F512">
        <v>-76.348422999999997</v>
      </c>
    </row>
    <row r="513" spans="1:6" x14ac:dyDescent="0.3">
      <c r="A513">
        <v>301337</v>
      </c>
      <c r="B513" t="str">
        <f>VLOOKUP($A513,[1]Export!$G$2:$N$2737,COLUMN(),FALSE)</f>
        <v>RUTTERS FARM STORES #23</v>
      </c>
      <c r="C513" t="s">
        <v>1678</v>
      </c>
      <c r="D513">
        <v>1430022</v>
      </c>
      <c r="E513">
        <v>40.043922000000002</v>
      </c>
      <c r="F513">
        <v>-76.421694000000002</v>
      </c>
    </row>
    <row r="514" spans="1:6" x14ac:dyDescent="0.3">
      <c r="A514">
        <v>308948</v>
      </c>
      <c r="B514" t="str">
        <f>VLOOKUP($A514,[1]Export!$G$2:$N$2737,COLUMN(),FALSE)</f>
        <v>TODDS PRO CLEAN#</v>
      </c>
      <c r="C514" t="s">
        <v>656</v>
      </c>
      <c r="D514">
        <v>1430048</v>
      </c>
      <c r="E514">
        <v>39.885109999999997</v>
      </c>
      <c r="F514">
        <v>-76.367869999999996</v>
      </c>
    </row>
    <row r="515" spans="1:6" x14ac:dyDescent="0.3">
      <c r="A515">
        <v>328860</v>
      </c>
      <c r="B515" t="str">
        <f>VLOOKUP($A515,[1]Export!$G$2:$N$2737,COLUMN(),FALSE)</f>
        <v>REALITY CHURCH#</v>
      </c>
      <c r="C515" t="s">
        <v>102</v>
      </c>
      <c r="D515">
        <v>1430022</v>
      </c>
      <c r="E515">
        <v>40.073275000000002</v>
      </c>
      <c r="F515">
        <v>-76.360940999999997</v>
      </c>
    </row>
    <row r="516" spans="1:6" x14ac:dyDescent="0.3">
      <c r="A516">
        <v>415422</v>
      </c>
      <c r="B516" t="str">
        <f>VLOOKUP($A516,[1]Export!$G$2:$N$2737,COLUMN(),FALSE)</f>
        <v>COLUMBIA HIGH SCHOOL</v>
      </c>
      <c r="C516" t="s">
        <v>800</v>
      </c>
      <c r="D516">
        <v>1430022</v>
      </c>
      <c r="E516">
        <v>40.045758999999997</v>
      </c>
      <c r="F516">
        <v>-76.497259</v>
      </c>
    </row>
    <row r="517" spans="1:6" x14ac:dyDescent="0.3">
      <c r="A517">
        <v>415442</v>
      </c>
      <c r="B517" t="str">
        <f>VLOOKUP($A517,[1]Export!$G$2:$N$2737,COLUMN(),FALSE)</f>
        <v>DONEGAL INTERMEDIATE SCHOOL</v>
      </c>
      <c r="C517" t="s">
        <v>804</v>
      </c>
      <c r="D517">
        <v>1430035</v>
      </c>
      <c r="E517">
        <v>40.062922</v>
      </c>
      <c r="F517">
        <v>-76.545993999999993</v>
      </c>
    </row>
    <row r="518" spans="1:6" x14ac:dyDescent="0.3">
      <c r="A518">
        <v>415721</v>
      </c>
      <c r="B518" t="str">
        <f>VLOOKUP($A518,[1]Export!$G$2:$N$2737,COLUMN(),FALSE)</f>
        <v>SKH ROHRERSTOWN #31 Garden Cen</v>
      </c>
      <c r="C518" t="s">
        <v>104</v>
      </c>
      <c r="D518">
        <v>1430022</v>
      </c>
      <c r="E518">
        <v>40.046328000000003</v>
      </c>
      <c r="F518">
        <v>-76.362039999999993</v>
      </c>
    </row>
    <row r="519" spans="1:6" x14ac:dyDescent="0.3">
      <c r="A519">
        <v>415766</v>
      </c>
      <c r="B519" t="str">
        <f>VLOOKUP($A519,[1]Export!$G$2:$N$2737,COLUMN(),FALSE)</f>
        <v>THE WOMEN &amp; BABIES HOSPITAL</v>
      </c>
      <c r="C519" t="s">
        <v>106</v>
      </c>
      <c r="D519">
        <v>1430022</v>
      </c>
      <c r="E519">
        <v>40.065161000000003</v>
      </c>
      <c r="F519">
        <v>-76.350793999999993</v>
      </c>
    </row>
    <row r="520" spans="1:6" x14ac:dyDescent="0.3">
      <c r="A520">
        <v>424470</v>
      </c>
      <c r="B520" t="str">
        <f>VLOOKUP($A520,[1]Export!$G$2:$N$2737,COLUMN(),FALSE)</f>
        <v>WOODCREST VILLA</v>
      </c>
      <c r="C520" t="s">
        <v>110</v>
      </c>
      <c r="D520">
        <v>1430022</v>
      </c>
      <c r="E520">
        <v>40.069071999999998</v>
      </c>
      <c r="F520">
        <v>-76.35566</v>
      </c>
    </row>
    <row r="521" spans="1:6" x14ac:dyDescent="0.3">
      <c r="A521">
        <v>433393</v>
      </c>
      <c r="B521" t="str">
        <f>VLOOKUP($A521,[1]Export!$G$2:$N$2737,COLUMN(),FALSE)</f>
        <v>SKH #32 BRIAN H. FOODS ROHRERS</v>
      </c>
      <c r="C521" t="s">
        <v>104</v>
      </c>
      <c r="D521">
        <v>1430022</v>
      </c>
      <c r="E521">
        <v>40.046328000000003</v>
      </c>
      <c r="F521">
        <v>-76.362039999999993</v>
      </c>
    </row>
    <row r="522" spans="1:6" x14ac:dyDescent="0.3">
      <c r="A522">
        <v>434177</v>
      </c>
      <c r="B522" t="str">
        <f>VLOOKUP($A522,[1]Export!$G$2:$N$2737,COLUMN(),FALSE)</f>
        <v>HOSPICE OF LANC COUNTY</v>
      </c>
      <c r="C522" t="s">
        <v>1083</v>
      </c>
      <c r="D522">
        <v>1430035</v>
      </c>
      <c r="E522">
        <v>40.109200000000001</v>
      </c>
      <c r="F522">
        <v>-76.450689999999994</v>
      </c>
    </row>
    <row r="523" spans="1:6" x14ac:dyDescent="0.3">
      <c r="A523">
        <v>447723</v>
      </c>
      <c r="B523" t="str">
        <f>VLOOKUP($A523,[1]Export!$G$2:$N$2737,COLUMN(),FALSE)</f>
        <v>DONEGAL JUNIOR HIGH SCHOOL</v>
      </c>
      <c r="C523" t="s">
        <v>1138</v>
      </c>
      <c r="D523">
        <v>1430035</v>
      </c>
      <c r="E523">
        <v>40.091239999999999</v>
      </c>
      <c r="F523">
        <v>-76.518420000000006</v>
      </c>
    </row>
    <row r="524" spans="1:6" x14ac:dyDescent="0.3">
      <c r="A524">
        <v>447724</v>
      </c>
      <c r="B524" t="str">
        <f>VLOOKUP($A524,[1]Export!$G$2:$N$2737,COLUMN(),FALSE)</f>
        <v>DONEGAL PRIMARY SCHOOL</v>
      </c>
      <c r="C524" t="s">
        <v>1140</v>
      </c>
      <c r="D524">
        <v>1430035</v>
      </c>
      <c r="E524">
        <v>40.096815999999997</v>
      </c>
      <c r="F524">
        <v>-76.507250999999997</v>
      </c>
    </row>
    <row r="525" spans="1:6" x14ac:dyDescent="0.3">
      <c r="A525">
        <v>464042</v>
      </c>
      <c r="B525" t="str">
        <f>VLOOKUP($A525,[1]Export!$G$2:$N$2737,COLUMN(),FALSE)</f>
        <v>TURKEY HILL - REFRIGERATED WHS</v>
      </c>
      <c r="C525" t="s">
        <v>72</v>
      </c>
      <c r="D525">
        <v>1430035</v>
      </c>
      <c r="E525">
        <v>39.960667000000001</v>
      </c>
      <c r="F525">
        <v>-76.447085000000001</v>
      </c>
    </row>
    <row r="526" spans="1:6" x14ac:dyDescent="0.3">
      <c r="A526">
        <v>469990</v>
      </c>
      <c r="B526" t="str">
        <f>VLOOKUP($A526,[1]Export!$G$2:$N$2737,COLUMN(),FALSE)</f>
        <v>MILLERSVILLE - GORDINIER HALL</v>
      </c>
      <c r="C526" t="s">
        <v>132</v>
      </c>
      <c r="D526">
        <v>1430022</v>
      </c>
      <c r="E526">
        <v>39.996513999999998</v>
      </c>
      <c r="F526">
        <v>-76.353020999999998</v>
      </c>
    </row>
    <row r="527" spans="1:6" x14ac:dyDescent="0.3">
      <c r="A527">
        <v>469991</v>
      </c>
      <c r="B527" t="str">
        <f>VLOOKUP($A527,[1]Export!$G$2:$N$2737,COLUMN(),FALSE)</f>
        <v>MILLERSVILLE - STUDENT MEMORIA</v>
      </c>
      <c r="C527" t="s">
        <v>134</v>
      </c>
      <c r="D527">
        <v>1430022</v>
      </c>
      <c r="E527">
        <v>39.994549999999997</v>
      </c>
      <c r="F527">
        <v>-76.353211999999999</v>
      </c>
    </row>
    <row r="528" spans="1:6" x14ac:dyDescent="0.3">
      <c r="A528">
        <v>471007</v>
      </c>
      <c r="B528" t="str">
        <f>VLOOKUP($A528,[1]Export!$G$2:$N$2737,COLUMN(),FALSE)</f>
        <v>MILLERSVILLE - WEST VILLAGE</v>
      </c>
      <c r="C528" t="s">
        <v>138</v>
      </c>
      <c r="D528">
        <v>1430022</v>
      </c>
      <c r="E528">
        <v>39.995150000000002</v>
      </c>
      <c r="F528">
        <v>-76.35172</v>
      </c>
    </row>
    <row r="529" spans="1:6" x14ac:dyDescent="0.3">
      <c r="A529">
        <v>471857</v>
      </c>
      <c r="B529" t="str">
        <f>VLOOKUP($A529,[1]Export!$G$2:$N$2737,COLUMN(),FALSE)</f>
        <v>MILLERSVILLE - BARD HALL</v>
      </c>
      <c r="C529" t="s">
        <v>144</v>
      </c>
      <c r="D529">
        <v>1430022</v>
      </c>
      <c r="E529">
        <v>39.999110000000002</v>
      </c>
      <c r="F529">
        <v>-76.358869999999996</v>
      </c>
    </row>
    <row r="530" spans="1:6" x14ac:dyDescent="0.3">
      <c r="A530">
        <v>471871</v>
      </c>
      <c r="B530" t="str">
        <f>VLOOKUP($A530,[1]Export!$G$2:$N$2737,COLUMN(),FALSE)</f>
        <v>Millersville Breidenstine Hall</v>
      </c>
      <c r="C530" t="s">
        <v>146</v>
      </c>
      <c r="D530">
        <v>1430022</v>
      </c>
      <c r="E530">
        <v>39.997059999999998</v>
      </c>
      <c r="F530">
        <v>-76.3566</v>
      </c>
    </row>
    <row r="531" spans="1:6" x14ac:dyDescent="0.3">
      <c r="A531">
        <v>471873</v>
      </c>
      <c r="B531" t="str">
        <f>VLOOKUP($A531,[1]Export!$G$2:$N$2737,COLUMN(),FALSE)</f>
        <v>Millersville - Roddy / Caputo</v>
      </c>
      <c r="C531" t="s">
        <v>148</v>
      </c>
      <c r="D531">
        <v>1430022</v>
      </c>
      <c r="E531">
        <v>39.996859999999998</v>
      </c>
      <c r="F531">
        <v>-76.356679999999997</v>
      </c>
    </row>
    <row r="532" spans="1:6" x14ac:dyDescent="0.3">
      <c r="A532">
        <v>471877</v>
      </c>
      <c r="B532" t="str">
        <f>VLOOKUP($A532,[1]Export!$G$2:$N$2737,COLUMN(),FALSE)</f>
        <v>Millersville -McNairy Library</v>
      </c>
      <c r="C532" t="s">
        <v>150</v>
      </c>
      <c r="D532">
        <v>1430022</v>
      </c>
      <c r="E532">
        <v>39.99812</v>
      </c>
      <c r="F532">
        <v>-76.354759999999999</v>
      </c>
    </row>
    <row r="533" spans="1:6" x14ac:dyDescent="0.3">
      <c r="A533">
        <v>471881</v>
      </c>
      <c r="B533" t="str">
        <f>VLOOKUP($A533,[1]Export!$G$2:$N$2737,COLUMN(),FALSE)</f>
        <v>Millersville - McComsey Hall</v>
      </c>
      <c r="C533" t="s">
        <v>152</v>
      </c>
      <c r="D533">
        <v>1430022</v>
      </c>
      <c r="E533">
        <v>39.997537000000001</v>
      </c>
      <c r="F533">
        <v>-76.356717000000003</v>
      </c>
    </row>
    <row r="534" spans="1:6" x14ac:dyDescent="0.3">
      <c r="A534">
        <v>471882</v>
      </c>
      <c r="B534" t="str">
        <f>VLOOKUP($A534,[1]Export!$G$2:$N$2737,COLUMN(),FALSE)</f>
        <v>Millersville Univ - Osburn Hal</v>
      </c>
      <c r="C534" t="s">
        <v>154</v>
      </c>
      <c r="D534">
        <v>1430022</v>
      </c>
      <c r="E534">
        <v>39.997101999999998</v>
      </c>
      <c r="F534">
        <v>-76.356331999999995</v>
      </c>
    </row>
    <row r="535" spans="1:6" x14ac:dyDescent="0.3">
      <c r="A535">
        <v>471883</v>
      </c>
      <c r="B535" t="str">
        <f>VLOOKUP($A535,[1]Export!$G$2:$N$2737,COLUMN(),FALSE)</f>
        <v>Millserville - Stayer Hall</v>
      </c>
      <c r="C535" t="s">
        <v>156</v>
      </c>
      <c r="D535">
        <v>1430022</v>
      </c>
      <c r="E535">
        <v>40.000839999999997</v>
      </c>
      <c r="F535">
        <v>-76.357960000000006</v>
      </c>
    </row>
    <row r="536" spans="1:6" x14ac:dyDescent="0.3">
      <c r="A536">
        <v>472475</v>
      </c>
      <c r="B536" t="str">
        <f>VLOOKUP($A536,[1]Export!$G$2:$N$2737,COLUMN(),FALSE)</f>
        <v>LANC GENERAL HOSPITAL HEALTH C</v>
      </c>
      <c r="C536" t="s">
        <v>158</v>
      </c>
      <c r="D536">
        <v>1430022</v>
      </c>
      <c r="E536">
        <v>40.064528000000003</v>
      </c>
      <c r="F536">
        <v>-76.355033000000006</v>
      </c>
    </row>
    <row r="537" spans="1:6" x14ac:dyDescent="0.3">
      <c r="A537">
        <v>478972</v>
      </c>
      <c r="B537" t="str">
        <f>VLOOKUP($A537,[1]Export!$G$2:$N$2737,COLUMN(),FALSE)</f>
        <v>SKH Mt Joy</v>
      </c>
      <c r="C537" t="s">
        <v>1746</v>
      </c>
      <c r="D537">
        <v>1430035</v>
      </c>
      <c r="E537">
        <v>40.110886000000001</v>
      </c>
      <c r="F537">
        <v>-76.478297999999995</v>
      </c>
    </row>
    <row r="538" spans="1:6" x14ac:dyDescent="0.3">
      <c r="A538">
        <v>479939</v>
      </c>
      <c r="B538" t="str">
        <f>VLOOKUP($A538,[1]Export!$G$2:$N$2737,COLUMN(),FALSE)</f>
        <v>MILLERSVILLE-VPAC Winter Visua</v>
      </c>
      <c r="C538" t="s">
        <v>163</v>
      </c>
      <c r="D538">
        <v>1430022</v>
      </c>
      <c r="E538">
        <v>40.000396000000002</v>
      </c>
      <c r="F538">
        <v>-76.358413999999996</v>
      </c>
    </row>
    <row r="539" spans="1:6" x14ac:dyDescent="0.3">
      <c r="A539">
        <v>481876</v>
      </c>
      <c r="B539" t="str">
        <f>VLOOKUP($A539,[1]Export!$G$2:$N$2737,COLUMN(),FALSE)</f>
        <v>Donegal-DPS Food Service</v>
      </c>
      <c r="C539" t="s">
        <v>1140</v>
      </c>
      <c r="D539">
        <v>1430035</v>
      </c>
      <c r="E539">
        <v>40.096815999999997</v>
      </c>
      <c r="F539">
        <v>-76.507250999999997</v>
      </c>
    </row>
    <row r="540" spans="1:6" x14ac:dyDescent="0.3">
      <c r="A540">
        <v>239337</v>
      </c>
      <c r="B540" t="str">
        <f>VLOOKUP($A540,[1]Export!$G$2:$N$2737,COLUMN(),FALSE)</f>
        <v>BLUE MOUNTAIN SCHOOL DISTRICT#</v>
      </c>
      <c r="C540" t="s">
        <v>175</v>
      </c>
      <c r="D540">
        <v>1430023</v>
      </c>
      <c r="E540">
        <v>40.656300999999999</v>
      </c>
      <c r="F540">
        <v>-76.086257000000003</v>
      </c>
    </row>
    <row r="541" spans="1:6" x14ac:dyDescent="0.3">
      <c r="A541">
        <v>241439</v>
      </c>
      <c r="B541" t="str">
        <f>VLOOKUP($A541,[1]Export!$G$2:$N$2737,COLUMN(),FALSE)</f>
        <v>PINE GROVE AREA SCHOOL</v>
      </c>
      <c r="C541" t="s">
        <v>1594</v>
      </c>
      <c r="D541">
        <v>1430033</v>
      </c>
      <c r="E541">
        <v>40.560291999999997</v>
      </c>
      <c r="F541">
        <v>-76.380635999999996</v>
      </c>
    </row>
    <row r="542" spans="1:6" x14ac:dyDescent="0.3">
      <c r="A542">
        <v>283720</v>
      </c>
      <c r="B542" t="str">
        <f>VLOOKUP($A542,[1]Export!$G$2:$N$2737,COLUMN(),FALSE)</f>
        <v>SAINT CLAIR SCHOOL DISTRICT</v>
      </c>
      <c r="C542" t="s">
        <v>538</v>
      </c>
      <c r="D542">
        <v>1430033</v>
      </c>
      <c r="E542">
        <v>40.717578000000003</v>
      </c>
      <c r="F542">
        <v>-76.186498</v>
      </c>
    </row>
    <row r="543" spans="1:6" x14ac:dyDescent="0.3">
      <c r="A543">
        <v>343224</v>
      </c>
      <c r="B543" t="str">
        <f>VLOOKUP($A543,[1]Export!$G$2:$N$2737,COLUMN(),FALSE)</f>
        <v>Rutters Farm Store #80</v>
      </c>
      <c r="C543" t="s">
        <v>762</v>
      </c>
      <c r="D543">
        <v>1430023</v>
      </c>
      <c r="E543">
        <v>40.639463999999997</v>
      </c>
      <c r="F543">
        <v>-76.089979</v>
      </c>
    </row>
    <row r="544" spans="1:6" x14ac:dyDescent="0.3">
      <c r="A544">
        <v>415364</v>
      </c>
      <c r="B544" t="str">
        <f>VLOOKUP($A544,[1]Export!$G$2:$N$2737,COLUMN(),FALSE)</f>
        <v>BLUE MOUNTAIN WEST ELEMENTARY</v>
      </c>
      <c r="C544" t="s">
        <v>795</v>
      </c>
      <c r="D544">
        <v>1430033</v>
      </c>
      <c r="E544">
        <v>40.604211999999997</v>
      </c>
      <c r="F544">
        <v>-76.238860000000003</v>
      </c>
    </row>
    <row r="545" spans="1:6" x14ac:dyDescent="0.3">
      <c r="A545">
        <v>415365</v>
      </c>
      <c r="B545" t="str">
        <f>VLOOKUP($A545,[1]Export!$G$2:$N$2737,COLUMN(),FALSE)</f>
        <v>BLUE MOUNTAIN HIGH SCHOOL</v>
      </c>
      <c r="C545" t="s">
        <v>797</v>
      </c>
      <c r="D545">
        <v>1430023</v>
      </c>
      <c r="E545">
        <v>40.650523999999997</v>
      </c>
      <c r="F545">
        <v>-76.137247000000002</v>
      </c>
    </row>
    <row r="546" spans="1:6" x14ac:dyDescent="0.3">
      <c r="A546">
        <v>415366</v>
      </c>
      <c r="B546" t="str">
        <f>VLOOKUP($A546,[1]Export!$G$2:$N$2737,COLUMN(),FALSE)</f>
        <v>BLUE MOUNTAIN MIDDLE SCHOOL</v>
      </c>
      <c r="C546" t="s">
        <v>175</v>
      </c>
      <c r="D546">
        <v>1430023</v>
      </c>
      <c r="E546">
        <v>40.656300999999999</v>
      </c>
      <c r="F546">
        <v>-76.086257000000003</v>
      </c>
    </row>
    <row r="547" spans="1:6" x14ac:dyDescent="0.3">
      <c r="A547">
        <v>471038</v>
      </c>
      <c r="B547" t="str">
        <f>VLOOKUP($A547,[1]Export!$G$2:$N$2737,COLUMN(),FALSE)</f>
        <v>FAIRLANE VILLAGE MALL</v>
      </c>
      <c r="C547" t="s">
        <v>1317</v>
      </c>
      <c r="D547">
        <v>1430023</v>
      </c>
      <c r="E547">
        <v>40.704056000000001</v>
      </c>
      <c r="F547">
        <v>-76.189610000000002</v>
      </c>
    </row>
    <row r="548" spans="1:6" x14ac:dyDescent="0.3">
      <c r="A548">
        <v>471038</v>
      </c>
      <c r="B548" t="str">
        <f>VLOOKUP($A548,[1]Export!$G$2:$N$2737,COLUMN(),FALSE)</f>
        <v>FAIRLANE VILLAGE MALL</v>
      </c>
      <c r="C548" t="s">
        <v>1317</v>
      </c>
      <c r="D548">
        <v>1430023</v>
      </c>
      <c r="E548">
        <v>40.704056000000001</v>
      </c>
      <c r="F548">
        <v>-76.189610000000002</v>
      </c>
    </row>
    <row r="549" spans="1:6" x14ac:dyDescent="0.3">
      <c r="A549">
        <v>471126</v>
      </c>
      <c r="B549" t="str">
        <f>VLOOKUP($A549,[1]Export!$G$2:$N$2737,COLUMN(),FALSE)</f>
        <v>ENVIRONMENTAL - DG POTTSVILLE</v>
      </c>
      <c r="C549" t="s">
        <v>1319</v>
      </c>
      <c r="D549">
        <v>1430033</v>
      </c>
      <c r="E549">
        <v>40.721480999999997</v>
      </c>
      <c r="F549">
        <v>-76.318468999999993</v>
      </c>
    </row>
    <row r="550" spans="1:6" x14ac:dyDescent="0.3">
      <c r="A550">
        <v>474411</v>
      </c>
      <c r="B550" t="str">
        <f>VLOOKUP($A550,[1]Export!$G$2:$N$2737,COLUMN(),FALSE)</f>
        <v>BLUE MOUNTAIN MIDDLE SCHOOL</v>
      </c>
      <c r="C550" t="s">
        <v>175</v>
      </c>
      <c r="D550">
        <v>1430023</v>
      </c>
      <c r="E550">
        <v>40.656300999999999</v>
      </c>
      <c r="F550">
        <v>-76.086257000000003</v>
      </c>
    </row>
    <row r="551" spans="1:6" x14ac:dyDescent="0.3">
      <c r="A551">
        <v>483291</v>
      </c>
      <c r="B551" t="str">
        <f>VLOOKUP($A551,[1]Export!$G$2:$N$2737,COLUMN(),FALSE)</f>
        <v>BYRON ENTERPRISES</v>
      </c>
      <c r="C551" t="s">
        <v>1401</v>
      </c>
      <c r="D551">
        <v>1430023</v>
      </c>
      <c r="E551">
        <v>40.674320999999999</v>
      </c>
      <c r="F551">
        <v>-76.222746999999998</v>
      </c>
    </row>
    <row r="552" spans="1:6" x14ac:dyDescent="0.3">
      <c r="A552">
        <v>239367</v>
      </c>
      <c r="B552" t="str">
        <f>VLOOKUP($A552,[1]Export!$G$2:$N$2737,COLUMN(),FALSE)</f>
        <v>BOYD WILSON PROPERTY#</v>
      </c>
      <c r="C552" t="s">
        <v>12</v>
      </c>
      <c r="D552">
        <v>1430024</v>
      </c>
      <c r="E552">
        <v>40.086520999999998</v>
      </c>
      <c r="F552">
        <v>-76.284153000000003</v>
      </c>
    </row>
    <row r="553" spans="1:6" x14ac:dyDescent="0.3">
      <c r="A553">
        <v>239767</v>
      </c>
      <c r="B553" t="str">
        <f>VLOOKUP($A553,[1]Export!$G$2:$N$2737,COLUMN(),FALSE)</f>
        <v>DAN C WOOLLEY#</v>
      </c>
      <c r="C553" t="s">
        <v>187</v>
      </c>
      <c r="D553">
        <v>1430016</v>
      </c>
      <c r="E553">
        <v>40.141624999999998</v>
      </c>
      <c r="F553">
        <v>-76.290665000000004</v>
      </c>
    </row>
    <row r="554" spans="1:6" x14ac:dyDescent="0.3">
      <c r="A554">
        <v>240707</v>
      </c>
      <c r="B554" t="str">
        <f>VLOOKUP($A554,[1]Export!$G$2:$N$2737,COLUMN(),FALSE)</f>
        <v>LANC AIRPORT AUTHORITY 2*</v>
      </c>
      <c r="C554" t="s">
        <v>241</v>
      </c>
      <c r="D554">
        <v>1430024</v>
      </c>
      <c r="E554">
        <v>40.118400000000001</v>
      </c>
      <c r="F554">
        <v>-76.301630000000003</v>
      </c>
    </row>
    <row r="555" spans="1:6" x14ac:dyDescent="0.3">
      <c r="A555">
        <v>240713</v>
      </c>
      <c r="B555" t="str">
        <f>VLOOKUP($A555,[1]Export!$G$2:$N$2737,COLUMN(),FALSE)</f>
        <v>LANC BIBLE COLLEGE*</v>
      </c>
      <c r="C555" t="s">
        <v>36</v>
      </c>
      <c r="D555">
        <v>1430022</v>
      </c>
      <c r="E555">
        <v>40.073557000000001</v>
      </c>
      <c r="F555">
        <v>-76.288150999999999</v>
      </c>
    </row>
    <row r="556" spans="1:6" x14ac:dyDescent="0.3">
      <c r="A556">
        <v>240814</v>
      </c>
      <c r="B556" t="str">
        <f>VLOOKUP($A556,[1]Export!$G$2:$N$2737,COLUMN(),FALSE)</f>
        <v>LANDIS HOMES RETIREMENTMED#</v>
      </c>
      <c r="C556" t="s">
        <v>253</v>
      </c>
      <c r="D556">
        <v>1430016</v>
      </c>
      <c r="E556">
        <v>40.11204</v>
      </c>
      <c r="F556">
        <v>-76.268609999999995</v>
      </c>
    </row>
    <row r="557" spans="1:6" x14ac:dyDescent="0.3">
      <c r="A557">
        <v>240899</v>
      </c>
      <c r="B557" t="str">
        <f>VLOOKUP($A557,[1]Export!$G$2:$N$2737,COLUMN(),FALSE)</f>
        <v>LITITZ CHURCH OF BRETHREN</v>
      </c>
      <c r="C557" t="s">
        <v>261</v>
      </c>
      <c r="D557">
        <v>1430016</v>
      </c>
      <c r="E557">
        <v>40.153334999999998</v>
      </c>
      <c r="F557">
        <v>-76.314532999999997</v>
      </c>
    </row>
    <row r="558" spans="1:6" x14ac:dyDescent="0.3">
      <c r="A558">
        <v>240902</v>
      </c>
      <c r="B558" t="str">
        <f>VLOOKUP($A558,[1]Export!$G$2:$N$2737,COLUMN(),FALSE)</f>
        <v>LITITZ MORAVIAN CHURCH</v>
      </c>
      <c r="C558" t="s">
        <v>263</v>
      </c>
      <c r="D558">
        <v>1430016</v>
      </c>
      <c r="E558">
        <v>40.155672000000003</v>
      </c>
      <c r="F558">
        <v>-76.302458000000001</v>
      </c>
    </row>
    <row r="559" spans="1:6" x14ac:dyDescent="0.3">
      <c r="A559">
        <v>240906</v>
      </c>
      <c r="B559" t="str">
        <f>VLOOKUP($A559,[1]Export!$G$2:$N$2737,COLUMN(),FALSE)</f>
        <v>LITITZ SPRINGS PARK***</v>
      </c>
      <c r="C559" t="s">
        <v>265</v>
      </c>
      <c r="D559">
        <v>1430016</v>
      </c>
      <c r="E559">
        <v>40.158211999999999</v>
      </c>
      <c r="F559">
        <v>-76.307837000000006</v>
      </c>
    </row>
    <row r="560" spans="1:6" x14ac:dyDescent="0.3">
      <c r="A560">
        <v>241156</v>
      </c>
      <c r="B560" t="str">
        <f>VLOOKUP($A560,[1]Export!$G$2:$N$2737,COLUMN(),FALSE)</f>
        <v>MORAVIAN MANOR#</v>
      </c>
      <c r="C560" t="s">
        <v>273</v>
      </c>
      <c r="D560">
        <v>1430016</v>
      </c>
      <c r="E560">
        <v>40.152245000000001</v>
      </c>
      <c r="F560">
        <v>-76.311851000000004</v>
      </c>
    </row>
    <row r="561" spans="1:6" x14ac:dyDescent="0.3">
      <c r="A561">
        <v>241273</v>
      </c>
      <c r="B561" t="str">
        <f>VLOOKUP($A561,[1]Export!$G$2:$N$2737,COLUMN(),FALSE)</f>
        <v>NORTH STAR MAINTENANCE</v>
      </c>
      <c r="C561" t="s">
        <v>50</v>
      </c>
      <c r="D561">
        <v>1430024</v>
      </c>
      <c r="E561">
        <v>40.103655000000003</v>
      </c>
      <c r="F561">
        <v>-76.291967</v>
      </c>
    </row>
    <row r="562" spans="1:6" x14ac:dyDescent="0.3">
      <c r="A562">
        <v>241646</v>
      </c>
      <c r="B562" t="str">
        <f>VLOOKUP($A562,[1]Export!$G$2:$N$2737,COLUMN(),FALSE)</f>
        <v>THE RUG BEATER#</v>
      </c>
      <c r="C562" t="s">
        <v>295</v>
      </c>
      <c r="D562">
        <v>1430016</v>
      </c>
      <c r="E562">
        <v>40.129190000000001</v>
      </c>
      <c r="F562">
        <v>-76.216041000000004</v>
      </c>
    </row>
    <row r="563" spans="1:6" x14ac:dyDescent="0.3">
      <c r="A563">
        <v>241912</v>
      </c>
      <c r="B563" t="str">
        <f>VLOOKUP($A563,[1]Export!$G$2:$N$2737,COLUMN(),FALSE)</f>
        <v>ST JOHN NEUMANN CHURCH</v>
      </c>
      <c r="C563" t="s">
        <v>60</v>
      </c>
      <c r="D563">
        <v>1430024</v>
      </c>
      <c r="E563">
        <v>40.090249</v>
      </c>
      <c r="F563">
        <v>-76.292522000000005</v>
      </c>
    </row>
    <row r="564" spans="1:6" x14ac:dyDescent="0.3">
      <c r="A564">
        <v>241946</v>
      </c>
      <c r="B564" t="str">
        <f>VLOOKUP($A564,[1]Export!$G$2:$N$2737,COLUMN(),FALSE)</f>
        <v>St Peters Lutheran Church</v>
      </c>
      <c r="C564" t="s">
        <v>64</v>
      </c>
      <c r="D564">
        <v>1430024</v>
      </c>
      <c r="E564">
        <v>40.088082999999997</v>
      </c>
      <c r="F564">
        <v>-76.306348999999997</v>
      </c>
    </row>
    <row r="565" spans="1:6" x14ac:dyDescent="0.3">
      <c r="A565">
        <v>241974</v>
      </c>
      <c r="B565" t="str">
        <f>VLOOKUP($A565,[1]Export!$G$2:$N$2737,COLUMN(),FALSE)</f>
        <v>STEPS TO SUCCESS INC#</v>
      </c>
      <c r="C565" t="s">
        <v>1634</v>
      </c>
      <c r="D565">
        <v>1430021</v>
      </c>
      <c r="E565">
        <v>40.087468000000001</v>
      </c>
      <c r="F565">
        <v>-76.205771999999996</v>
      </c>
    </row>
    <row r="566" spans="1:6" x14ac:dyDescent="0.3">
      <c r="A566">
        <v>242119</v>
      </c>
      <c r="B566" t="str">
        <f>VLOOKUP($A566,[1]Export!$G$2:$N$2737,COLUMN(),FALSE)</f>
        <v>THE WORSHIP CENTER#</v>
      </c>
      <c r="C566" t="s">
        <v>321</v>
      </c>
      <c r="D566">
        <v>1430021</v>
      </c>
      <c r="E566">
        <v>40.082515000000001</v>
      </c>
      <c r="F566">
        <v>-76.229799999999997</v>
      </c>
    </row>
    <row r="567" spans="1:6" x14ac:dyDescent="0.3">
      <c r="A567">
        <v>283078</v>
      </c>
      <c r="B567" t="str">
        <f>VLOOKUP($A567,[1]Export!$G$2:$N$2737,COLUMN(),FALSE)</f>
        <v>GARBER METROLOGY</v>
      </c>
      <c r="C567" t="s">
        <v>536</v>
      </c>
      <c r="D567">
        <v>1430024</v>
      </c>
      <c r="E567">
        <v>40.111051000000003</v>
      </c>
      <c r="F567">
        <v>-76.288878999999994</v>
      </c>
    </row>
    <row r="568" spans="1:6" x14ac:dyDescent="0.3">
      <c r="A568">
        <v>292303</v>
      </c>
      <c r="B568" t="str">
        <f>VLOOKUP($A568,[1]Export!$G$2:$N$2737,COLUMN(),FALSE)</f>
        <v>ST JAMES CATHOLIC CHURCH</v>
      </c>
      <c r="C568" t="s">
        <v>558</v>
      </c>
      <c r="D568">
        <v>1430016</v>
      </c>
      <c r="E568">
        <v>40.145771000000003</v>
      </c>
      <c r="F568">
        <v>-76.31174</v>
      </c>
    </row>
    <row r="569" spans="1:6" x14ac:dyDescent="0.3">
      <c r="A569">
        <v>307286</v>
      </c>
      <c r="B569" t="str">
        <f>VLOOKUP($A569,[1]Export!$G$2:$N$2737,COLUMN(),FALSE)</f>
        <v>MOORES LAUNDROMAT V</v>
      </c>
      <c r="C569" t="s">
        <v>646</v>
      </c>
      <c r="D569">
        <v>1430016</v>
      </c>
      <c r="E569">
        <v>40.145899</v>
      </c>
      <c r="F569">
        <v>-76.298991000000001</v>
      </c>
    </row>
    <row r="570" spans="1:6" x14ac:dyDescent="0.3">
      <c r="A570">
        <v>310018</v>
      </c>
      <c r="B570" t="str">
        <f>VLOOKUP($A570,[1]Export!$G$2:$N$2737,COLUMN(),FALSE)</f>
        <v>RUTTERS FARM STORE #34</v>
      </c>
      <c r="C570" t="s">
        <v>1686</v>
      </c>
      <c r="D570">
        <v>1430021</v>
      </c>
      <c r="E570">
        <v>40.084142</v>
      </c>
      <c r="F570">
        <v>-76.219053000000002</v>
      </c>
    </row>
    <row r="571" spans="1:6" x14ac:dyDescent="0.3">
      <c r="A571">
        <v>343470</v>
      </c>
      <c r="B571" t="str">
        <f>VLOOKUP($A571,[1]Export!$G$2:$N$2737,COLUMN(),FALSE)</f>
        <v>RD CLEANING SERVICES</v>
      </c>
      <c r="C571" t="s">
        <v>766</v>
      </c>
      <c r="D571">
        <v>1430024</v>
      </c>
      <c r="E571">
        <v>40.095570000000002</v>
      </c>
      <c r="F571">
        <v>-76.306619999999995</v>
      </c>
    </row>
    <row r="572" spans="1:6" x14ac:dyDescent="0.3">
      <c r="A572">
        <v>415719</v>
      </c>
      <c r="B572" t="str">
        <f>VLOOKUP($A572,[1]Export!$G$2:$N$2737,COLUMN(),FALSE)</f>
        <v>SKH DELL CORPORATE LITITZ PIKE</v>
      </c>
      <c r="C572" t="s">
        <v>820</v>
      </c>
      <c r="D572">
        <v>1430016</v>
      </c>
      <c r="E572">
        <v>40.139305</v>
      </c>
      <c r="F572">
        <v>-76.302580000000006</v>
      </c>
    </row>
    <row r="573" spans="1:6" x14ac:dyDescent="0.3">
      <c r="A573">
        <v>415723</v>
      </c>
      <c r="B573" t="str">
        <f>VLOOKUP($A573,[1]Export!$G$2:$N$2737,COLUMN(),FALSE)</f>
        <v>SKH Duane Yoder LITITZ</v>
      </c>
      <c r="C573" t="s">
        <v>1703</v>
      </c>
      <c r="D573">
        <v>1430016</v>
      </c>
      <c r="E573">
        <v>40.127992999999996</v>
      </c>
      <c r="F573">
        <v>-76.307530999999997</v>
      </c>
    </row>
    <row r="574" spans="1:6" x14ac:dyDescent="0.3">
      <c r="A574">
        <v>423135</v>
      </c>
      <c r="B574" t="str">
        <f>VLOOKUP($A574,[1]Export!$G$2:$N$2737,COLUMN(),FALSE)</f>
        <v>J E FRITZ ELEMENTARY</v>
      </c>
      <c r="C574" t="s">
        <v>993</v>
      </c>
      <c r="D574">
        <v>1430016</v>
      </c>
      <c r="E574">
        <v>40.076079</v>
      </c>
      <c r="F574">
        <v>-76.241472000000002</v>
      </c>
    </row>
    <row r="575" spans="1:6" x14ac:dyDescent="0.3">
      <c r="A575">
        <v>423136</v>
      </c>
      <c r="B575" t="str">
        <f>VLOOKUP($A575,[1]Export!$G$2:$N$2737,COLUMN(),FALSE)</f>
        <v>LEOLA ELEMENTARY</v>
      </c>
      <c r="C575" t="s">
        <v>995</v>
      </c>
      <c r="D575">
        <v>1430021</v>
      </c>
      <c r="E575">
        <v>40.088470999999998</v>
      </c>
      <c r="F575">
        <v>-76.192857000000004</v>
      </c>
    </row>
    <row r="576" spans="1:6" x14ac:dyDescent="0.3">
      <c r="A576">
        <v>423140</v>
      </c>
      <c r="B576" t="str">
        <f>VLOOKUP($A576,[1]Export!$G$2:$N$2737,COLUMN(),FALSE)</f>
        <v>BROWNSTOWN ELEMENTARY</v>
      </c>
      <c r="C576" t="s">
        <v>999</v>
      </c>
      <c r="D576">
        <v>1430016</v>
      </c>
      <c r="E576">
        <v>40.123569000000003</v>
      </c>
      <c r="F576">
        <v>-76.210605000000001</v>
      </c>
    </row>
    <row r="577" spans="1:6" x14ac:dyDescent="0.3">
      <c r="A577">
        <v>442577</v>
      </c>
      <c r="B577" t="str">
        <f>VLOOKUP($A577,[1]Export!$G$2:$N$2737,COLUMN(),FALSE)</f>
        <v>LUTHERCARE  NURSING BLDG</v>
      </c>
      <c r="C577" t="s">
        <v>1122</v>
      </c>
      <c r="D577">
        <v>1430016</v>
      </c>
      <c r="E577">
        <v>40.152186</v>
      </c>
      <c r="F577">
        <v>-76.292050000000003</v>
      </c>
    </row>
    <row r="578" spans="1:6" x14ac:dyDescent="0.3">
      <c r="A578">
        <v>449739</v>
      </c>
      <c r="B578" t="str">
        <f>VLOOKUP($A578,[1]Export!$G$2:$N$2737,COLUMN(),FALSE)</f>
        <v>MANHEIM TWP HIGH SCHOOL</v>
      </c>
      <c r="C578" t="s">
        <v>1728</v>
      </c>
      <c r="D578">
        <v>1430024</v>
      </c>
      <c r="E578">
        <v>40.102820000000001</v>
      </c>
      <c r="F578">
        <v>-76.299490000000006</v>
      </c>
    </row>
    <row r="579" spans="1:6" x14ac:dyDescent="0.3">
      <c r="A579">
        <v>449766</v>
      </c>
      <c r="B579" t="str">
        <f>VLOOKUP($A579,[1]Export!$G$2:$N$2737,COLUMN(),FALSE)</f>
        <v>LANDIS RUN INTERMEDIATE SCHOOL</v>
      </c>
      <c r="C579" t="s">
        <v>1153</v>
      </c>
      <c r="D579">
        <v>1430024</v>
      </c>
      <c r="E579">
        <v>40.098956000000001</v>
      </c>
      <c r="F579">
        <v>-76.294497000000007</v>
      </c>
    </row>
    <row r="580" spans="1:6" x14ac:dyDescent="0.3">
      <c r="A580">
        <v>449771</v>
      </c>
      <c r="B580" t="str">
        <f>VLOOKUP($A580,[1]Export!$G$2:$N$2737,COLUMN(),FALSE)</f>
        <v>NEFF ELEMENTARY SCHOOL</v>
      </c>
      <c r="C580" t="s">
        <v>1155</v>
      </c>
      <c r="D580">
        <v>1430024</v>
      </c>
      <c r="E580">
        <v>40.100937999999999</v>
      </c>
      <c r="F580">
        <v>-76.304263000000006</v>
      </c>
    </row>
    <row r="581" spans="1:6" x14ac:dyDescent="0.3">
      <c r="A581">
        <v>473996</v>
      </c>
      <c r="B581" t="str">
        <f>VLOOKUP($A581,[1]Export!$G$2:$N$2737,COLUMN(),FALSE)</f>
        <v>Susquehanna Printing Company</v>
      </c>
      <c r="C581" t="s">
        <v>1337</v>
      </c>
      <c r="D581">
        <v>1430022</v>
      </c>
      <c r="E581">
        <v>40.051969999999997</v>
      </c>
      <c r="F581">
        <v>-76.255880000000005</v>
      </c>
    </row>
    <row r="582" spans="1:6" x14ac:dyDescent="0.3">
      <c r="A582">
        <v>479426</v>
      </c>
      <c r="B582" t="str">
        <f>VLOOKUP($A582,[1]Export!$G$2:$N$2737,COLUMN(),FALSE)</f>
        <v>MANHEIM TWP SCHOOL MAINTENANCE</v>
      </c>
      <c r="C582" t="s">
        <v>1351</v>
      </c>
      <c r="D582">
        <v>1430024</v>
      </c>
      <c r="E582">
        <v>40.099919999999997</v>
      </c>
      <c r="F582">
        <v>-76.302239999999998</v>
      </c>
    </row>
    <row r="583" spans="1:6" x14ac:dyDescent="0.3">
      <c r="A583">
        <v>480312</v>
      </c>
      <c r="B583" t="str">
        <f>VLOOKUP($A583,[1]Export!$G$2:$N$2737,COLUMN(),FALSE)</f>
        <v>BCF Group Inc</v>
      </c>
      <c r="C583" t="s">
        <v>165</v>
      </c>
      <c r="D583">
        <v>1430024</v>
      </c>
      <c r="E583">
        <v>40.081429</v>
      </c>
      <c r="F583">
        <v>-76.292536999999996</v>
      </c>
    </row>
    <row r="584" spans="1:6" x14ac:dyDescent="0.3">
      <c r="A584">
        <v>239004</v>
      </c>
      <c r="B584" t="str">
        <f>VLOOKUP($A584,[1]Export!$G$2:$N$2737,COLUMN(),FALSE)</f>
        <v>WILLOW VALLEY MED LKS MNR FLR#</v>
      </c>
      <c r="C584" t="s">
        <v>6</v>
      </c>
      <c r="D584">
        <v>1430021</v>
      </c>
      <c r="E584">
        <v>39.985284999999998</v>
      </c>
      <c r="F584">
        <v>-76.271686000000003</v>
      </c>
    </row>
    <row r="585" spans="1:6" x14ac:dyDescent="0.3">
      <c r="A585">
        <v>239198</v>
      </c>
      <c r="B585" t="str">
        <f>VLOOKUP($A585,[1]Export!$G$2:$N$2737,COLUMN(),FALSE)</f>
        <v>ARCHETYPE</v>
      </c>
      <c r="C585" t="s">
        <v>8</v>
      </c>
      <c r="D585">
        <v>1430022</v>
      </c>
      <c r="E585">
        <v>40.043202999999998</v>
      </c>
      <c r="F585">
        <v>-76.307557000000003</v>
      </c>
    </row>
    <row r="586" spans="1:6" x14ac:dyDescent="0.3">
      <c r="A586">
        <v>239230</v>
      </c>
      <c r="B586" t="str">
        <f>VLOOKUP($A586,[1]Export!$G$2:$N$2737,COLUMN(),FALSE)</f>
        <v>AUTOHAUS LANC INC</v>
      </c>
      <c r="C586" t="s">
        <v>10</v>
      </c>
      <c r="D586">
        <v>1430022</v>
      </c>
      <c r="E586">
        <v>40.069428000000002</v>
      </c>
      <c r="F586">
        <v>-76.330018999999993</v>
      </c>
    </row>
    <row r="587" spans="1:6" x14ac:dyDescent="0.3">
      <c r="A587">
        <v>239466</v>
      </c>
      <c r="B587" t="str">
        <f>VLOOKUP($A587,[1]Export!$G$2:$N$2737,COLUMN(),FALSE)</f>
        <v>CALVARY FELLOWSHIP HOMES APN#</v>
      </c>
      <c r="C587" t="s">
        <v>14</v>
      </c>
      <c r="D587">
        <v>1430022</v>
      </c>
      <c r="E587">
        <v>40.061166</v>
      </c>
      <c r="F587">
        <v>-76.294877</v>
      </c>
    </row>
    <row r="588" spans="1:6" x14ac:dyDescent="0.3">
      <c r="A588">
        <v>239535</v>
      </c>
      <c r="B588" t="str">
        <f>VLOOKUP($A588,[1]Export!$G$2:$N$2737,COLUMN(),FALSE)</f>
        <v>CHAPMAN FORD#</v>
      </c>
      <c r="C588" t="s">
        <v>16</v>
      </c>
      <c r="D588">
        <v>1430022</v>
      </c>
      <c r="E588">
        <v>40.074252000000001</v>
      </c>
      <c r="F588">
        <v>-76.335403999999997</v>
      </c>
    </row>
    <row r="589" spans="1:6" x14ac:dyDescent="0.3">
      <c r="A589">
        <v>240050</v>
      </c>
      <c r="B589" t="str">
        <f>VLOOKUP($A589,[1]Export!$G$2:$N$2737,COLUMN(),FALSE)</f>
        <v>FARM &amp; HOME CENTER#</v>
      </c>
      <c r="C589" t="s">
        <v>24</v>
      </c>
      <c r="D589">
        <v>1430022</v>
      </c>
      <c r="E589">
        <v>40.070067000000002</v>
      </c>
      <c r="F589">
        <v>-76.325703000000004</v>
      </c>
    </row>
    <row r="590" spans="1:6" x14ac:dyDescent="0.3">
      <c r="A590">
        <v>240093</v>
      </c>
      <c r="B590" t="str">
        <f>VLOOKUP($A590,[1]Export!$G$2:$N$2737,COLUMN(),FALSE)</f>
        <v>FIRST UNITED METHODIST CHURCH#</v>
      </c>
      <c r="C590" t="s">
        <v>215</v>
      </c>
      <c r="D590">
        <v>1430022</v>
      </c>
      <c r="E590">
        <v>40.043090999999997</v>
      </c>
      <c r="F590">
        <v>-76.305161999999996</v>
      </c>
    </row>
    <row r="591" spans="1:6" x14ac:dyDescent="0.3">
      <c r="A591">
        <v>240461</v>
      </c>
      <c r="B591" t="str">
        <f>VLOOKUP($A591,[1]Export!$G$2:$N$2737,COLUMN(),FALSE)</f>
        <v>HUNTER KEYSTONE PETERBILT LP</v>
      </c>
      <c r="C591" t="s">
        <v>30</v>
      </c>
      <c r="D591">
        <v>1430022</v>
      </c>
      <c r="E591">
        <v>40.073239999999998</v>
      </c>
      <c r="F591">
        <v>-76.333036000000007</v>
      </c>
    </row>
    <row r="592" spans="1:6" x14ac:dyDescent="0.3">
      <c r="A592">
        <v>240578</v>
      </c>
      <c r="B592" t="str">
        <f>VLOOKUP($A592,[1]Export!$G$2:$N$2737,COLUMN(),FALSE)</f>
        <v>JONES DEALERSHIPS INC</v>
      </c>
      <c r="C592" t="s">
        <v>32</v>
      </c>
      <c r="D592">
        <v>1430022</v>
      </c>
      <c r="E592">
        <v>40.066963999999999</v>
      </c>
      <c r="F592">
        <v>-76.327190999999999</v>
      </c>
    </row>
    <row r="593" spans="1:6" x14ac:dyDescent="0.3">
      <c r="A593">
        <v>240617</v>
      </c>
      <c r="B593" t="str">
        <f>VLOOKUP($A593,[1]Export!$G$2:$N$2737,COLUMN(),FALSE)</f>
        <v>AUTO ONE#</v>
      </c>
      <c r="C593" t="s">
        <v>34</v>
      </c>
      <c r="D593">
        <v>1430022</v>
      </c>
      <c r="E593">
        <v>40.063932000000001</v>
      </c>
      <c r="F593">
        <v>-76.325395999999998</v>
      </c>
    </row>
    <row r="594" spans="1:6" x14ac:dyDescent="0.3">
      <c r="A594">
        <v>240716</v>
      </c>
      <c r="B594" t="str">
        <f>VLOOKUP($A594,[1]Export!$G$2:$N$2737,COLUMN(),FALSE)</f>
        <v>LANC BRETHREN IN CHRIST</v>
      </c>
      <c r="C594" t="s">
        <v>38</v>
      </c>
      <c r="D594">
        <v>1430022</v>
      </c>
      <c r="E594">
        <v>40.073300000000003</v>
      </c>
      <c r="F594">
        <v>-76.318481000000006</v>
      </c>
    </row>
    <row r="595" spans="1:6" x14ac:dyDescent="0.3">
      <c r="A595">
        <v>240722</v>
      </c>
      <c r="B595" t="str">
        <f>VLOOKUP($A595,[1]Export!$G$2:$N$2737,COLUMN(),FALSE)</f>
        <v>LANC COUNTY ASSOC OF REALTORS#</v>
      </c>
      <c r="C595" t="s">
        <v>40</v>
      </c>
      <c r="D595">
        <v>1430022</v>
      </c>
      <c r="E595">
        <v>40.075510000000001</v>
      </c>
      <c r="F595">
        <v>-76.320400000000006</v>
      </c>
    </row>
    <row r="596" spans="1:6" x14ac:dyDescent="0.3">
      <c r="A596">
        <v>240729</v>
      </c>
      <c r="B596" t="str">
        <f>VLOOKUP($A596,[1]Export!$G$2:$N$2737,COLUMN(),FALSE)</f>
        <v>LANC CTY CAREER TECHNOLOG#</v>
      </c>
      <c r="C596" t="s">
        <v>42</v>
      </c>
      <c r="D596">
        <v>1430021</v>
      </c>
      <c r="E596">
        <v>39.984758999999997</v>
      </c>
      <c r="F596">
        <v>-76.266395000000003</v>
      </c>
    </row>
    <row r="597" spans="1:6" x14ac:dyDescent="0.3">
      <c r="A597">
        <v>240746</v>
      </c>
      <c r="B597" t="str">
        <f>VLOOKUP($A597,[1]Export!$G$2:$N$2737,COLUMN(),FALSE)</f>
        <v>LANC HOUSING AUTHORITY</v>
      </c>
      <c r="C597" t="s">
        <v>245</v>
      </c>
      <c r="D597">
        <v>1430022</v>
      </c>
      <c r="E597">
        <v>40.035319000000001</v>
      </c>
      <c r="F597">
        <v>-76.302108000000004</v>
      </c>
    </row>
    <row r="598" spans="1:6" x14ac:dyDescent="0.3">
      <c r="A598">
        <v>240755</v>
      </c>
      <c r="B598" t="str">
        <f>VLOOKUP($A598,[1]Export!$G$2:$N$2737,COLUMN(),FALSE)</f>
        <v>LANC MORAVIAN CHURCH#</v>
      </c>
      <c r="C598" t="s">
        <v>247</v>
      </c>
      <c r="D598">
        <v>1430022</v>
      </c>
      <c r="E598">
        <v>40.041960000000003</v>
      </c>
      <c r="F598">
        <v>-76.306240000000003</v>
      </c>
    </row>
    <row r="599" spans="1:6" x14ac:dyDescent="0.3">
      <c r="A599">
        <v>240798</v>
      </c>
      <c r="B599" t="str">
        <f>VLOOKUP($A599,[1]Export!$G$2:$N$2737,COLUMN(),FALSE)</f>
        <v>LANCASTER LEBANON IU 13</v>
      </c>
      <c r="C599" t="s">
        <v>44</v>
      </c>
      <c r="D599">
        <v>1430022</v>
      </c>
      <c r="E599">
        <v>40.054372999999998</v>
      </c>
      <c r="F599">
        <v>-76.282469000000006</v>
      </c>
    </row>
    <row r="600" spans="1:6" x14ac:dyDescent="0.3">
      <c r="A600">
        <v>241049</v>
      </c>
      <c r="B600" t="str">
        <f>VLOOKUP($A600,[1]Export!$G$2:$N$2737,COLUMN(),FALSE)</f>
        <v>MARY GAULS QUALITY CLEANING#</v>
      </c>
      <c r="C600" t="s">
        <v>48</v>
      </c>
      <c r="D600">
        <v>1430022</v>
      </c>
      <c r="E600">
        <v>40.050809999999998</v>
      </c>
      <c r="F600">
        <v>-76.323750000000004</v>
      </c>
    </row>
    <row r="601" spans="1:6" x14ac:dyDescent="0.3">
      <c r="A601">
        <v>241250</v>
      </c>
      <c r="B601" t="str">
        <f>VLOOKUP($A601,[1]Export!$G$2:$N$2737,COLUMN(),FALSE)</f>
        <v>Mission Church Pennsylvania#</v>
      </c>
      <c r="C601" t="s">
        <v>281</v>
      </c>
      <c r="D601">
        <v>1430022</v>
      </c>
      <c r="E601">
        <v>40.026200000000003</v>
      </c>
      <c r="F601">
        <v>-76.264634999999998</v>
      </c>
    </row>
    <row r="602" spans="1:6" x14ac:dyDescent="0.3">
      <c r="A602">
        <v>241299</v>
      </c>
      <c r="B602" t="str">
        <f>VLOOKUP($A602,[1]Export!$G$2:$N$2737,COLUMN(),FALSE)</f>
        <v>OCCUPATIONAL DEVELOPMENT CENTE</v>
      </c>
      <c r="C602" t="s">
        <v>52</v>
      </c>
      <c r="D602">
        <v>1430022</v>
      </c>
      <c r="E602">
        <v>40.054817999999997</v>
      </c>
      <c r="F602">
        <v>-76.295393000000004</v>
      </c>
    </row>
    <row r="603" spans="1:6" x14ac:dyDescent="0.3">
      <c r="A603">
        <v>241332</v>
      </c>
      <c r="B603" t="str">
        <f>VLOOKUP($A603,[1]Export!$G$2:$N$2737,COLUMN(),FALSE)</f>
        <v>PA COLLEGE OF ART &amp; DESIGN</v>
      </c>
      <c r="C603" t="s">
        <v>289</v>
      </c>
      <c r="D603">
        <v>1430022</v>
      </c>
      <c r="E603">
        <v>40.041241999999997</v>
      </c>
      <c r="F603">
        <v>-76.308729999999997</v>
      </c>
    </row>
    <row r="604" spans="1:6" x14ac:dyDescent="0.3">
      <c r="A604">
        <v>241925</v>
      </c>
      <c r="B604" t="str">
        <f>VLOOKUP($A604,[1]Export!$G$2:$N$2737,COLUMN(),FALSE)</f>
        <v>ST MARYS CHURCH#</v>
      </c>
      <c r="C604" t="s">
        <v>62</v>
      </c>
      <c r="D604">
        <v>1430022</v>
      </c>
      <c r="E604">
        <v>40.035778000000001</v>
      </c>
      <c r="F604">
        <v>-76.307051999999999</v>
      </c>
    </row>
    <row r="605" spans="1:6" x14ac:dyDescent="0.3">
      <c r="A605">
        <v>242080</v>
      </c>
      <c r="B605" t="str">
        <f>VLOOKUP($A605,[1]Export!$G$2:$N$2737,COLUMN(),FALSE)</f>
        <v>THADDEUS STEVENS COLLEGE#</v>
      </c>
      <c r="C605" t="s">
        <v>1635</v>
      </c>
      <c r="D605">
        <v>1430022</v>
      </c>
      <c r="E605">
        <v>40.037987999999999</v>
      </c>
      <c r="F605">
        <v>-76.288775000000001</v>
      </c>
    </row>
    <row r="606" spans="1:6" x14ac:dyDescent="0.3">
      <c r="A606">
        <v>242100</v>
      </c>
      <c r="B606" t="str">
        <f>VLOOKUP($A606,[1]Export!$G$2:$N$2737,COLUMN(),FALSE)</f>
        <v>THE MENNONITE HOME MED</v>
      </c>
      <c r="C606" t="s">
        <v>68</v>
      </c>
      <c r="D606">
        <v>1430022</v>
      </c>
      <c r="E606">
        <v>40.064664999999998</v>
      </c>
      <c r="F606">
        <v>-76.344931000000003</v>
      </c>
    </row>
    <row r="607" spans="1:6" x14ac:dyDescent="0.3">
      <c r="A607">
        <v>242110</v>
      </c>
      <c r="B607" t="str">
        <f>VLOOKUP($A607,[1]Export!$G$2:$N$2737,COLUMN(),FALSE)</f>
        <v>THE SALVATION ARMY#</v>
      </c>
      <c r="C607" t="s">
        <v>70</v>
      </c>
      <c r="D607">
        <v>1430022</v>
      </c>
      <c r="E607">
        <v>40.035533000000001</v>
      </c>
      <c r="F607">
        <v>-76.304686000000004</v>
      </c>
    </row>
    <row r="608" spans="1:6" x14ac:dyDescent="0.3">
      <c r="A608">
        <v>242211</v>
      </c>
      <c r="B608" t="str">
        <f>VLOOKUP($A608,[1]Export!$G$2:$N$2737,COLUMN(),FALSE)</f>
        <v>UNITARIAN UNIVERSALIST#</v>
      </c>
      <c r="C608" t="s">
        <v>74</v>
      </c>
      <c r="D608">
        <v>1430022</v>
      </c>
      <c r="E608">
        <v>40.039841000000003</v>
      </c>
      <c r="F608">
        <v>-76.316721000000001</v>
      </c>
    </row>
    <row r="609" spans="1:6" x14ac:dyDescent="0.3">
      <c r="A609">
        <v>247312</v>
      </c>
      <c r="B609" t="str">
        <f>VLOOKUP($A609,[1]Export!$G$2:$N$2737,COLUMN(),FALSE)</f>
        <v>FLEX CELL PRECISION INC#</v>
      </c>
      <c r="C609" t="s">
        <v>456</v>
      </c>
      <c r="D609">
        <v>1430022</v>
      </c>
      <c r="E609">
        <v>40.026439000000003</v>
      </c>
      <c r="F609">
        <v>-76.288203999999993</v>
      </c>
    </row>
    <row r="610" spans="1:6" x14ac:dyDescent="0.3">
      <c r="A610">
        <v>255873</v>
      </c>
      <c r="B610" t="str">
        <f>VLOOKUP($A610,[1]Export!$G$2:$N$2737,COLUMN(),FALSE)</f>
        <v>SELECT BUILDING SERVICES</v>
      </c>
      <c r="C610" t="s">
        <v>80</v>
      </c>
      <c r="D610">
        <v>1430022</v>
      </c>
      <c r="E610">
        <v>40.045422000000002</v>
      </c>
      <c r="F610">
        <v>-76.310023999999999</v>
      </c>
    </row>
    <row r="611" spans="1:6" x14ac:dyDescent="0.3">
      <c r="A611">
        <v>264275</v>
      </c>
      <c r="B611" t="str">
        <f>VLOOKUP($A611,[1]Export!$G$2:$N$2737,COLUMN(),FALSE)</f>
        <v>JACKSONS WINDOW SHOPPE INC#</v>
      </c>
      <c r="C611" t="s">
        <v>82</v>
      </c>
      <c r="D611">
        <v>1430022</v>
      </c>
      <c r="E611">
        <v>40.085711000000003</v>
      </c>
      <c r="F611">
        <v>-76.339247999999998</v>
      </c>
    </row>
    <row r="612" spans="1:6" x14ac:dyDescent="0.3">
      <c r="A612">
        <v>265980</v>
      </c>
      <c r="B612" t="str">
        <f>VLOOKUP($A612,[1]Export!$G$2:$N$2737,COLUMN(),FALSE)</f>
        <v>PLANET FITNESS - CARERRA#</v>
      </c>
      <c r="C612" t="s">
        <v>88</v>
      </c>
      <c r="D612">
        <v>1430022</v>
      </c>
      <c r="E612">
        <v>40.074435999999999</v>
      </c>
      <c r="F612">
        <v>-76.328029000000001</v>
      </c>
    </row>
    <row r="613" spans="1:6" x14ac:dyDescent="0.3">
      <c r="A613">
        <v>268257</v>
      </c>
      <c r="B613" t="str">
        <f>VLOOKUP($A613,[1]Export!$G$2:$N$2737,COLUMN(),FALSE)</f>
        <v>Lancaster Cty Solid Waste Man</v>
      </c>
      <c r="C613" t="s">
        <v>90</v>
      </c>
      <c r="D613">
        <v>1430022</v>
      </c>
      <c r="E613">
        <v>40.056548999999997</v>
      </c>
      <c r="F613">
        <v>-76.328203999999999</v>
      </c>
    </row>
    <row r="614" spans="1:6" x14ac:dyDescent="0.3">
      <c r="A614">
        <v>273732</v>
      </c>
      <c r="B614" t="str">
        <f>VLOOKUP($A614,[1]Export!$G$2:$N$2737,COLUMN(),FALSE)</f>
        <v>Pete Annick</v>
      </c>
      <c r="C614" t="s">
        <v>92</v>
      </c>
      <c r="D614">
        <v>1430022</v>
      </c>
      <c r="E614">
        <v>40.074733999999999</v>
      </c>
      <c r="F614">
        <v>-76.312886000000006</v>
      </c>
    </row>
    <row r="615" spans="1:6" x14ac:dyDescent="0.3">
      <c r="A615">
        <v>281240</v>
      </c>
      <c r="B615" t="str">
        <f>VLOOKUP($A615,[1]Export!$G$2:$N$2737,COLUMN(),FALSE)</f>
        <v>FRANKLIN &amp; MARSHALL COLLEGE</v>
      </c>
      <c r="C615" t="s">
        <v>1666</v>
      </c>
      <c r="D615">
        <v>1430022</v>
      </c>
      <c r="E615">
        <v>40.048882999999996</v>
      </c>
      <c r="F615">
        <v>-76.315321999999995</v>
      </c>
    </row>
    <row r="616" spans="1:6" x14ac:dyDescent="0.3">
      <c r="A616">
        <v>295619</v>
      </c>
      <c r="B616" t="str">
        <f>VLOOKUP($A616,[1]Export!$G$2:$N$2737,COLUMN(),FALSE)</f>
        <v>NATIONAL NOVELTY BRUSH CO#</v>
      </c>
      <c r="C616" t="s">
        <v>574</v>
      </c>
      <c r="D616">
        <v>1430022</v>
      </c>
      <c r="E616">
        <v>40.043109000000001</v>
      </c>
      <c r="F616">
        <v>-76.295321000000001</v>
      </c>
    </row>
    <row r="617" spans="1:6" x14ac:dyDescent="0.3">
      <c r="A617">
        <v>297630</v>
      </c>
      <c r="B617" t="str">
        <f>VLOOKUP($A617,[1]Export!$G$2:$N$2737,COLUMN(),FALSE)</f>
        <v>KEPIRO COMPANY INC</v>
      </c>
      <c r="C617" t="s">
        <v>592</v>
      </c>
      <c r="D617">
        <v>1430021</v>
      </c>
      <c r="E617">
        <v>39.974575999999999</v>
      </c>
      <c r="F617">
        <v>-76.275036999999998</v>
      </c>
    </row>
    <row r="618" spans="1:6" x14ac:dyDescent="0.3">
      <c r="A618">
        <v>309100</v>
      </c>
      <c r="B618" t="str">
        <f>VLOOKUP($A618,[1]Export!$G$2:$N$2737,COLUMN(),FALSE)</f>
        <v>LANC COUNTY FOOD HUB#</v>
      </c>
      <c r="C618" t="s">
        <v>98</v>
      </c>
      <c r="D618">
        <v>1430025</v>
      </c>
      <c r="E618">
        <v>40.050114999999998</v>
      </c>
      <c r="F618">
        <v>-76.308706000000001</v>
      </c>
    </row>
    <row r="619" spans="1:6" x14ac:dyDescent="0.3">
      <c r="A619">
        <v>310041</v>
      </c>
      <c r="B619" t="str">
        <f>VLOOKUP($A619,[1]Export!$G$2:$N$2737,COLUMN(),FALSE)</f>
        <v>LANCASTER ENTERTAINMENT PARTNE</v>
      </c>
      <c r="C619" t="s">
        <v>100</v>
      </c>
      <c r="D619">
        <v>1430022</v>
      </c>
      <c r="E619">
        <v>40.057926000000002</v>
      </c>
      <c r="F619">
        <v>-76.320066999999995</v>
      </c>
    </row>
    <row r="620" spans="1:6" x14ac:dyDescent="0.3">
      <c r="A620">
        <v>317087</v>
      </c>
      <c r="B620" t="str">
        <f>VLOOKUP($A620,[1]Export!$G$2:$N$2737,COLUMN(),FALSE)</f>
        <v>JESSIS CLEANING SERVICE</v>
      </c>
      <c r="C620" t="s">
        <v>676</v>
      </c>
      <c r="D620">
        <v>1430022</v>
      </c>
      <c r="E620">
        <v>40.069572999999998</v>
      </c>
      <c r="F620">
        <v>-76.304691000000005</v>
      </c>
    </row>
    <row r="621" spans="1:6" x14ac:dyDescent="0.3">
      <c r="A621">
        <v>330034</v>
      </c>
      <c r="B621" t="str">
        <f>VLOOKUP($A621,[1]Export!$G$2:$N$2737,COLUMN(),FALSE)</f>
        <v>JOSE L OTERO</v>
      </c>
      <c r="C621" t="s">
        <v>722</v>
      </c>
      <c r="D621">
        <v>1430024</v>
      </c>
      <c r="E621">
        <v>40.072004999999997</v>
      </c>
      <c r="F621">
        <v>-76.295435999999995</v>
      </c>
    </row>
    <row r="622" spans="1:6" x14ac:dyDescent="0.3">
      <c r="A622">
        <v>415864</v>
      </c>
      <c r="B622" t="str">
        <f>VLOOKUP($A622,[1]Export!$G$2:$N$2737,COLUMN(),FALSE)</f>
        <v>WILLOW VALLEY MANOR NORTH FLR</v>
      </c>
      <c r="C622" t="s">
        <v>108</v>
      </c>
      <c r="D622">
        <v>1430022</v>
      </c>
      <c r="E622">
        <v>39.994439999999997</v>
      </c>
      <c r="F622">
        <v>-76.284270000000006</v>
      </c>
    </row>
    <row r="623" spans="1:6" x14ac:dyDescent="0.3">
      <c r="A623">
        <v>431525</v>
      </c>
      <c r="B623" t="str">
        <f>VLOOKUP($A623,[1]Export!$G$2:$N$2737,COLUMN(),FALSE)</f>
        <v>DART CONTAINER</v>
      </c>
      <c r="C623" t="s">
        <v>1069</v>
      </c>
      <c r="D623">
        <v>1430022</v>
      </c>
      <c r="E623">
        <v>40.04692</v>
      </c>
      <c r="F623">
        <v>-76.272999999999996</v>
      </c>
    </row>
    <row r="624" spans="1:6" x14ac:dyDescent="0.3">
      <c r="A624">
        <v>442170</v>
      </c>
      <c r="B624" t="str">
        <f>VLOOKUP($A624,[1]Export!$G$2:$N$2737,COLUMN(),FALSE)</f>
        <v>LANCASTER HEALTH CENTER WATER</v>
      </c>
      <c r="C624" t="s">
        <v>1118</v>
      </c>
      <c r="D624">
        <v>1430022</v>
      </c>
      <c r="E624">
        <v>40.031813999999997</v>
      </c>
      <c r="F624">
        <v>-76.297065000000003</v>
      </c>
    </row>
    <row r="625" spans="1:6" x14ac:dyDescent="0.3">
      <c r="A625">
        <v>449082</v>
      </c>
      <c r="B625" t="str">
        <f>VLOOKUP($A625,[1]Export!$G$2:$N$2737,COLUMN(),FALSE)</f>
        <v>JL CLARK MFG CO</v>
      </c>
      <c r="C625" t="s">
        <v>1727</v>
      </c>
      <c r="D625">
        <v>1430022</v>
      </c>
      <c r="E625">
        <v>40.043959999999998</v>
      </c>
      <c r="F625">
        <v>-76.297749999999994</v>
      </c>
    </row>
    <row r="626" spans="1:6" x14ac:dyDescent="0.3">
      <c r="A626">
        <v>449754</v>
      </c>
      <c r="B626" t="str">
        <f>VLOOKUP($A626,[1]Export!$G$2:$N$2737,COLUMN(),FALSE)</f>
        <v>BRECHT ELEMENTARY SCHOOL</v>
      </c>
      <c r="C626" t="s">
        <v>113</v>
      </c>
      <c r="D626">
        <v>1430022</v>
      </c>
      <c r="E626">
        <v>40.058912999999997</v>
      </c>
      <c r="F626">
        <v>-76.307192999999998</v>
      </c>
    </row>
    <row r="627" spans="1:6" x14ac:dyDescent="0.3">
      <c r="A627">
        <v>449775</v>
      </c>
      <c r="B627" t="str">
        <f>VLOOKUP($A627,[1]Export!$G$2:$N$2737,COLUMN(),FALSE)</f>
        <v>SCHAEFFER ELEMENTARY SCHOOL</v>
      </c>
      <c r="C627" t="s">
        <v>115</v>
      </c>
      <c r="D627">
        <v>1430022</v>
      </c>
      <c r="E627">
        <v>40.059542999999998</v>
      </c>
      <c r="F627">
        <v>-76.290610999999998</v>
      </c>
    </row>
    <row r="628" spans="1:6" x14ac:dyDescent="0.3">
      <c r="A628">
        <v>456539</v>
      </c>
      <c r="B628" t="str">
        <f>VLOOKUP($A628,[1]Export!$G$2:$N$2737,COLUMN(),FALSE)</f>
        <v>Lanc General Hospital 2</v>
      </c>
      <c r="C628" t="s">
        <v>1729</v>
      </c>
      <c r="D628">
        <v>1430025</v>
      </c>
      <c r="E628">
        <v>40.047649999999997</v>
      </c>
      <c r="F628">
        <v>-76.305864999999997</v>
      </c>
    </row>
    <row r="629" spans="1:6" x14ac:dyDescent="0.3">
      <c r="A629">
        <v>470135</v>
      </c>
      <c r="B629" t="str">
        <f>VLOOKUP($A629,[1]Export!$G$2:$N$2737,COLUMN(),FALSE)</f>
        <v>MILLERSVILLE - PUCILLO GYM</v>
      </c>
      <c r="C629" t="s">
        <v>136</v>
      </c>
      <c r="D629">
        <v>1430022</v>
      </c>
      <c r="E629">
        <v>39.999578</v>
      </c>
      <c r="F629">
        <v>-76.347982999999999</v>
      </c>
    </row>
    <row r="630" spans="1:6" x14ac:dyDescent="0.3">
      <c r="A630">
        <v>470333</v>
      </c>
      <c r="B630" t="str">
        <f>VLOOKUP($A630,[1]Export!$G$2:$N$2737,COLUMN(),FALSE)</f>
        <v>COUNTY OF LANC - FACILITIES MG</v>
      </c>
      <c r="C630" t="s">
        <v>1297</v>
      </c>
      <c r="D630">
        <v>1430022</v>
      </c>
      <c r="E630">
        <v>40.015988999999998</v>
      </c>
      <c r="F630">
        <v>-76.277299999999997</v>
      </c>
    </row>
    <row r="631" spans="1:6" x14ac:dyDescent="0.3">
      <c r="A631">
        <v>471058</v>
      </c>
      <c r="B631" t="str">
        <f>VLOOKUP($A631,[1]Export!$G$2:$N$2737,COLUMN(),FALSE)</f>
        <v>MILLERSVILLE - PALMER</v>
      </c>
      <c r="C631" t="s">
        <v>140</v>
      </c>
      <c r="D631">
        <v>1430022</v>
      </c>
      <c r="E631">
        <v>39.99653</v>
      </c>
      <c r="F631">
        <v>-76.348860000000002</v>
      </c>
    </row>
    <row r="632" spans="1:6" x14ac:dyDescent="0.3">
      <c r="A632">
        <v>471167</v>
      </c>
      <c r="B632" t="str">
        <f>VLOOKUP($A632,[1]Export!$G$2:$N$2737,COLUMN(),FALSE)</f>
        <v>MANORVIEW LLC</v>
      </c>
      <c r="C632" t="s">
        <v>142</v>
      </c>
      <c r="D632">
        <v>1430022</v>
      </c>
      <c r="E632">
        <v>40.031083000000002</v>
      </c>
      <c r="F632">
        <v>-76.320006000000006</v>
      </c>
    </row>
    <row r="633" spans="1:6" x14ac:dyDescent="0.3">
      <c r="A633">
        <v>474973</v>
      </c>
      <c r="B633" t="str">
        <f>VLOOKUP($A633,[1]Export!$G$2:$N$2737,COLUMN(),FALSE)</f>
        <v>Facilities &amp; Operations LSP DD</v>
      </c>
      <c r="C633" t="s">
        <v>161</v>
      </c>
      <c r="D633">
        <v>1430022</v>
      </c>
      <c r="E633">
        <v>40.049410000000002</v>
      </c>
      <c r="F633">
        <v>-76.320229999999995</v>
      </c>
    </row>
    <row r="634" spans="1:6" x14ac:dyDescent="0.3">
      <c r="A634">
        <v>239188</v>
      </c>
      <c r="B634" t="str">
        <f>VLOOKUP($A634,[1]Export!$G$2:$N$2737,COLUMN(),FALSE)</f>
        <v>ANTIETAM SCHOOL DISTRICT</v>
      </c>
      <c r="C634" t="s">
        <v>171</v>
      </c>
      <c r="D634">
        <v>1430026</v>
      </c>
      <c r="E634">
        <v>40.330477999999999</v>
      </c>
      <c r="F634">
        <v>-75.886663999999996</v>
      </c>
    </row>
    <row r="635" spans="1:6" x14ac:dyDescent="0.3">
      <c r="A635">
        <v>239904</v>
      </c>
      <c r="B635" t="str">
        <f>VLOOKUP($A635,[1]Export!$G$2:$N$2737,COLUMN(),FALSE)</f>
        <v>DUTCHWAY FARM MARKET#</v>
      </c>
      <c r="C635" t="s">
        <v>195</v>
      </c>
      <c r="D635">
        <v>1430016</v>
      </c>
      <c r="E635">
        <v>40.302208999999998</v>
      </c>
      <c r="F635">
        <v>-76.307145000000006</v>
      </c>
    </row>
    <row r="636" spans="1:6" x14ac:dyDescent="0.3">
      <c r="A636">
        <v>239905</v>
      </c>
      <c r="B636" t="str">
        <f>VLOOKUP($A636,[1]Export!$G$2:$N$2737,COLUMN(),FALSE)</f>
        <v>DUTCHWAY FARM MARKET#</v>
      </c>
      <c r="C636" t="s">
        <v>1585</v>
      </c>
      <c r="D636">
        <v>1430033</v>
      </c>
      <c r="E636">
        <v>40.384698</v>
      </c>
      <c r="F636">
        <v>-76.289581999999996</v>
      </c>
    </row>
    <row r="637" spans="1:6" x14ac:dyDescent="0.3">
      <c r="A637">
        <v>239963</v>
      </c>
      <c r="B637" t="str">
        <f>VLOOKUP($A637,[1]Export!$G$2:$N$2737,COLUMN(),FALSE)</f>
        <v>ELITE SPORTSWEAR</v>
      </c>
      <c r="C637" t="s">
        <v>1586</v>
      </c>
      <c r="D637">
        <v>1430026</v>
      </c>
      <c r="E637">
        <v>40.369390000000003</v>
      </c>
      <c r="F637">
        <v>-75.912840000000003</v>
      </c>
    </row>
    <row r="638" spans="1:6" x14ac:dyDescent="0.3">
      <c r="A638">
        <v>269640</v>
      </c>
      <c r="B638" t="str">
        <f>VLOOKUP($A638,[1]Export!$G$2:$N$2737,COLUMN(),FALSE)</f>
        <v>BERKS COUNTY INTERMEDIATE UNIT</v>
      </c>
      <c r="C638" t="s">
        <v>490</v>
      </c>
      <c r="D638">
        <v>1430026</v>
      </c>
      <c r="E638">
        <v>40.402709999999999</v>
      </c>
      <c r="F638">
        <v>-75.953890000000001</v>
      </c>
    </row>
    <row r="639" spans="1:6" x14ac:dyDescent="0.3">
      <c r="A639">
        <v>299785</v>
      </c>
      <c r="B639" t="str">
        <f>VLOOKUP($A639,[1]Export!$G$2:$N$2737,COLUMN(),FALSE)</f>
        <v>CONESTOGA CHRISTIAN SCHOOL#</v>
      </c>
      <c r="C639" t="s">
        <v>608</v>
      </c>
      <c r="D639">
        <v>1430016</v>
      </c>
      <c r="E639">
        <v>40.148995999999997</v>
      </c>
      <c r="F639">
        <v>-75.907287999999994</v>
      </c>
    </row>
    <row r="640" spans="1:6" x14ac:dyDescent="0.3">
      <c r="A640">
        <v>303746</v>
      </c>
      <c r="B640" t="str">
        <f>VLOOKUP($A640,[1]Export!$G$2:$N$2737,COLUMN(),FALSE)</f>
        <v>EXETER BIBLE CHURCH</v>
      </c>
      <c r="C640" t="s">
        <v>620</v>
      </c>
      <c r="D640">
        <v>1430016</v>
      </c>
      <c r="E640">
        <v>40.285727999999999</v>
      </c>
      <c r="F640">
        <v>-75.817103000000003</v>
      </c>
    </row>
    <row r="641" spans="1:6" x14ac:dyDescent="0.3">
      <c r="A641">
        <v>312880</v>
      </c>
      <c r="B641" t="str">
        <f>VLOOKUP($A641,[1]Export!$G$2:$N$2737,COLUMN(),FALSE)</f>
        <v>RUTTERS FARM STORES #69</v>
      </c>
      <c r="C641" t="s">
        <v>1690</v>
      </c>
      <c r="D641">
        <v>1430026</v>
      </c>
      <c r="E641">
        <v>40.548909999999999</v>
      </c>
      <c r="F641">
        <v>-75.986991000000003</v>
      </c>
    </row>
    <row r="642" spans="1:6" x14ac:dyDescent="0.3">
      <c r="A642">
        <v>313451</v>
      </c>
      <c r="B642" t="str">
        <f>VLOOKUP($A642,[1]Export!$G$2:$N$2737,COLUMN(),FALSE)</f>
        <v>FLEETWOOD BIBLE CHURCH</v>
      </c>
      <c r="C642" t="s">
        <v>672</v>
      </c>
      <c r="D642">
        <v>1430026</v>
      </c>
      <c r="E642">
        <v>40.462226000000001</v>
      </c>
      <c r="F642">
        <v>-75.819533000000007</v>
      </c>
    </row>
    <row r="643" spans="1:6" x14ac:dyDescent="0.3">
      <c r="A643">
        <v>330579</v>
      </c>
      <c r="B643" t="str">
        <f>VLOOKUP($A643,[1]Export!$G$2:$N$2737,COLUMN(),FALSE)</f>
        <v>RUTTERS FARM STORES #81</v>
      </c>
      <c r="C643" t="s">
        <v>1696</v>
      </c>
      <c r="D643">
        <v>1430026</v>
      </c>
      <c r="E643">
        <v>40.439433000000001</v>
      </c>
      <c r="F643">
        <v>-75.947100000000006</v>
      </c>
    </row>
    <row r="644" spans="1:6" x14ac:dyDescent="0.3">
      <c r="A644">
        <v>330637</v>
      </c>
      <c r="B644" t="str">
        <f>VLOOKUP($A644,[1]Export!$G$2:$N$2737,COLUMN(),FALSE)</f>
        <v>ALBRIGHT COLLEGE</v>
      </c>
      <c r="C644" t="s">
        <v>726</v>
      </c>
      <c r="D644">
        <v>1430026</v>
      </c>
      <c r="E644">
        <v>40.36036</v>
      </c>
      <c r="F644">
        <v>-75.910584999999998</v>
      </c>
    </row>
    <row r="645" spans="1:6" x14ac:dyDescent="0.3">
      <c r="A645">
        <v>423810</v>
      </c>
      <c r="B645" t="str">
        <f>VLOOKUP($A645,[1]Export!$G$2:$N$2737,COLUMN(),FALSE)</f>
        <v>MT PENN PRIMARY CENTER</v>
      </c>
      <c r="C645" t="s">
        <v>1005</v>
      </c>
      <c r="D645">
        <v>1430026</v>
      </c>
      <c r="E645">
        <v>40.330477999999999</v>
      </c>
      <c r="F645">
        <v>-75.886663999999996</v>
      </c>
    </row>
    <row r="646" spans="1:6" x14ac:dyDescent="0.3">
      <c r="A646">
        <v>428611</v>
      </c>
      <c r="B646" t="str">
        <f>VLOOKUP($A646,[1]Export!$G$2:$N$2737,COLUMN(),FALSE)</f>
        <v>CUMRU ELEMENTARY SCHOOL</v>
      </c>
      <c r="C646" t="s">
        <v>1035</v>
      </c>
      <c r="D646">
        <v>1430026</v>
      </c>
      <c r="E646">
        <v>40.300310000000003</v>
      </c>
      <c r="F646">
        <v>-75.954459999999997</v>
      </c>
    </row>
    <row r="647" spans="1:6" x14ac:dyDescent="0.3">
      <c r="A647">
        <v>428612</v>
      </c>
      <c r="B647" t="str">
        <f>VLOOKUP($A647,[1]Export!$G$2:$N$2737,COLUMN(),FALSE)</f>
        <v>INTERMEDIATE SCHOOL</v>
      </c>
      <c r="C647" t="s">
        <v>1107</v>
      </c>
      <c r="D647">
        <v>1430026</v>
      </c>
      <c r="E647">
        <v>40.301245999999999</v>
      </c>
      <c r="F647">
        <v>-75.953639999999993</v>
      </c>
    </row>
    <row r="648" spans="1:6" x14ac:dyDescent="0.3">
      <c r="A648">
        <v>428613</v>
      </c>
      <c r="B648" t="str">
        <f>VLOOKUP($A648,[1]Export!$G$2:$N$2737,COLUMN(),FALSE)</f>
        <v>GOVERNOR MIFFLIN MIDDLE SCHOOL</v>
      </c>
      <c r="C648" t="s">
        <v>1037</v>
      </c>
      <c r="D648">
        <v>1430026</v>
      </c>
      <c r="E648">
        <v>40.304687999999999</v>
      </c>
      <c r="F648">
        <v>-75.963521</v>
      </c>
    </row>
    <row r="649" spans="1:6" x14ac:dyDescent="0.3">
      <c r="A649">
        <v>428614</v>
      </c>
      <c r="B649" t="str">
        <f>VLOOKUP($A649,[1]Export!$G$2:$N$2737,COLUMN(),FALSE)</f>
        <v>GOVERNOR MIFFLIN HIGH SCHOOL</v>
      </c>
      <c r="C649" t="s">
        <v>1039</v>
      </c>
      <c r="D649">
        <v>1430026</v>
      </c>
      <c r="E649">
        <v>40.303694</v>
      </c>
      <c r="F649">
        <v>-75.959986999999998</v>
      </c>
    </row>
    <row r="650" spans="1:6" x14ac:dyDescent="0.3">
      <c r="A650">
        <v>439742</v>
      </c>
      <c r="B650" t="str">
        <f>VLOOKUP($A650,[1]Export!$G$2:$N$2737,COLUMN(),FALSE)</f>
        <v>GOVERNOR MIFFLIN Maintenance B</v>
      </c>
      <c r="C650" t="s">
        <v>1107</v>
      </c>
      <c r="D650">
        <v>1430026</v>
      </c>
      <c r="E650">
        <v>40.301245999999999</v>
      </c>
      <c r="F650">
        <v>-75.953639999999993</v>
      </c>
    </row>
    <row r="651" spans="1:6" x14ac:dyDescent="0.3">
      <c r="A651">
        <v>450409</v>
      </c>
      <c r="B651" t="str">
        <f>VLOOKUP($A651,[1]Export!$G$2:$N$2737,COLUMN(),FALSE)</f>
        <v>MUHLENBERG ELEMENTARY CENTER</v>
      </c>
      <c r="C651" t="s">
        <v>1159</v>
      </c>
      <c r="D651">
        <v>1430026</v>
      </c>
      <c r="E651">
        <v>40.392861000000003</v>
      </c>
      <c r="F651">
        <v>-75.921497000000002</v>
      </c>
    </row>
    <row r="652" spans="1:6" x14ac:dyDescent="0.3">
      <c r="A652">
        <v>456608</v>
      </c>
      <c r="B652" t="str">
        <f>VLOOKUP($A652,[1]Export!$G$2:$N$2737,COLUMN(),FALSE)</f>
        <v>OLEY VALLEY ELEMENTARY SCHOOL</v>
      </c>
      <c r="C652" t="s">
        <v>1188</v>
      </c>
      <c r="D652">
        <v>1430026</v>
      </c>
      <c r="E652">
        <v>40.381200999999997</v>
      </c>
      <c r="F652">
        <v>-75.798646000000005</v>
      </c>
    </row>
    <row r="653" spans="1:6" x14ac:dyDescent="0.3">
      <c r="A653">
        <v>460379</v>
      </c>
      <c r="B653" t="str">
        <f>VLOOKUP($A653,[1]Export!$G$2:$N$2737,COLUMN(),FALSE)</f>
        <v>CAN CORPORATION OF AMERICA</v>
      </c>
      <c r="C653" t="s">
        <v>1733</v>
      </c>
      <c r="D653">
        <v>1430026</v>
      </c>
      <c r="E653">
        <v>40.443173000000002</v>
      </c>
      <c r="F653">
        <v>-75.897407000000001</v>
      </c>
    </row>
    <row r="654" spans="1:6" x14ac:dyDescent="0.3">
      <c r="A654">
        <v>460390</v>
      </c>
      <c r="B654" t="str">
        <f>VLOOKUP($A654,[1]Export!$G$2:$N$2737,COLUMN(),FALSE)</f>
        <v>CAN BERKS CORPORATION OF AMERI</v>
      </c>
      <c r="C654" t="s">
        <v>1209</v>
      </c>
      <c r="D654">
        <v>1430026</v>
      </c>
      <c r="E654">
        <v>40.391190000000002</v>
      </c>
      <c r="F654">
        <v>-75.934380000000004</v>
      </c>
    </row>
    <row r="655" spans="1:6" x14ac:dyDescent="0.3">
      <c r="A655">
        <v>464463</v>
      </c>
      <c r="B655" t="str">
        <f>VLOOKUP($A655,[1]Export!$G$2:$N$2737,COLUMN(),FALSE)</f>
        <v>ENGINEERED MATERIALS SOLUTIONS</v>
      </c>
      <c r="C655" t="s">
        <v>1237</v>
      </c>
      <c r="D655">
        <v>1430026</v>
      </c>
      <c r="E655">
        <v>40.570515999999998</v>
      </c>
      <c r="F655">
        <v>-75.956416000000004</v>
      </c>
    </row>
    <row r="656" spans="1:6" x14ac:dyDescent="0.3">
      <c r="A656">
        <v>464836</v>
      </c>
      <c r="B656" t="str">
        <f>VLOOKUP($A656,[1]Export!$G$2:$N$2737,COLUMN(),FALSE)</f>
        <v>WITMANS CLEANING SERVICE LLC</v>
      </c>
      <c r="C656" t="s">
        <v>1239</v>
      </c>
      <c r="D656">
        <v>1430026</v>
      </c>
      <c r="E656">
        <v>40.388449999999999</v>
      </c>
      <c r="F656">
        <v>-75.917379999999994</v>
      </c>
    </row>
    <row r="657" spans="1:6" x14ac:dyDescent="0.3">
      <c r="A657">
        <v>468426</v>
      </c>
      <c r="B657" t="str">
        <f>VLOOKUP($A657,[1]Export!$G$2:$N$2737,COLUMN(),FALSE)</f>
        <v>ENVIRONMENTAL - DOLLAR GENERAL</v>
      </c>
      <c r="C657" t="s">
        <v>1738</v>
      </c>
      <c r="D657">
        <v>1430033</v>
      </c>
      <c r="E657">
        <v>40.474831000000002</v>
      </c>
      <c r="F657">
        <v>-76.311628999999996</v>
      </c>
    </row>
    <row r="658" spans="1:6" x14ac:dyDescent="0.3">
      <c r="A658">
        <v>471296</v>
      </c>
      <c r="B658" t="str">
        <f>VLOOKUP($A658,[1]Export!$G$2:$N$2737,COLUMN(),FALSE)</f>
        <v>GOVERNOR MIFFLIN PARK ELEMENTA</v>
      </c>
      <c r="C658" t="s">
        <v>1321</v>
      </c>
      <c r="D658">
        <v>1430026</v>
      </c>
      <c r="E658">
        <v>40.301031000000002</v>
      </c>
      <c r="F658">
        <v>-75.955254999999994</v>
      </c>
    </row>
    <row r="659" spans="1:6" x14ac:dyDescent="0.3">
      <c r="A659">
        <v>472591</v>
      </c>
      <c r="B659" t="str">
        <f>VLOOKUP($A659,[1]Export!$G$2:$N$2737,COLUMN(),FALSE)</f>
        <v>ALBRIGHT COLLEGE</v>
      </c>
      <c r="C659" t="s">
        <v>1330</v>
      </c>
      <c r="D659">
        <v>1430026</v>
      </c>
      <c r="E659">
        <v>40.362859</v>
      </c>
      <c r="F659">
        <v>-75.912953999999999</v>
      </c>
    </row>
    <row r="660" spans="1:6" x14ac:dyDescent="0.3">
      <c r="A660">
        <v>473955</v>
      </c>
      <c r="B660" t="str">
        <f>VLOOKUP($A660,[1]Export!$G$2:$N$2737,COLUMN(),FALSE)</f>
        <v>TOM MASANO AUTO GROUP</v>
      </c>
      <c r="C660" t="s">
        <v>1335</v>
      </c>
      <c r="D660">
        <v>1430026</v>
      </c>
      <c r="E660">
        <v>40.319811000000001</v>
      </c>
      <c r="F660">
        <v>-75.937168</v>
      </c>
    </row>
    <row r="661" spans="1:6" x14ac:dyDescent="0.3">
      <c r="A661">
        <v>483389</v>
      </c>
      <c r="B661" t="str">
        <f>VLOOKUP($A661,[1]Export!$G$2:$N$2737,COLUMN(),FALSE)</f>
        <v>ELITE SPORTSWEAR</v>
      </c>
      <c r="C661" t="s">
        <v>1403</v>
      </c>
      <c r="D661">
        <v>1430026</v>
      </c>
      <c r="E661">
        <v>40.373707000000003</v>
      </c>
      <c r="F661">
        <v>-75.910218999999998</v>
      </c>
    </row>
    <row r="662" spans="1:6" x14ac:dyDescent="0.3">
      <c r="A662">
        <v>240117</v>
      </c>
      <c r="B662" t="str">
        <f>VLOOKUP($A662,[1]Export!$G$2:$N$2737,COLUMN(),FALSE)</f>
        <v>SUNRISE LOGISTICS#</v>
      </c>
      <c r="C662" t="s">
        <v>217</v>
      </c>
      <c r="D662">
        <v>1430027</v>
      </c>
      <c r="E662">
        <v>40.206859999999999</v>
      </c>
      <c r="F662">
        <v>-76.146119999999996</v>
      </c>
    </row>
    <row r="663" spans="1:6" x14ac:dyDescent="0.3">
      <c r="A663">
        <v>240169</v>
      </c>
      <c r="B663" t="str">
        <f>VLOOKUP($A663,[1]Export!$G$2:$N$2737,COLUMN(),FALSE)</f>
        <v>GARDEN SPOT VILLAGE APN</v>
      </c>
      <c r="C663" t="s">
        <v>1589</v>
      </c>
      <c r="D663">
        <v>1430016</v>
      </c>
      <c r="E663">
        <v>40.100132000000002</v>
      </c>
      <c r="F663">
        <v>-76.073537999999999</v>
      </c>
    </row>
    <row r="664" spans="1:6" x14ac:dyDescent="0.3">
      <c r="A664">
        <v>242605</v>
      </c>
      <c r="B664" t="str">
        <f>VLOOKUP($A664,[1]Export!$G$2:$N$2737,COLUMN(),FALSE)</f>
        <v>FOUR SEASONS PRODUCE#</v>
      </c>
      <c r="C664" t="s">
        <v>339</v>
      </c>
      <c r="D664">
        <v>1430016</v>
      </c>
      <c r="E664">
        <v>40.207270000000001</v>
      </c>
      <c r="F664">
        <v>-76.153278</v>
      </c>
    </row>
    <row r="665" spans="1:6" x14ac:dyDescent="0.3">
      <c r="A665">
        <v>311031</v>
      </c>
      <c r="B665" t="str">
        <f>VLOOKUP($A665,[1]Export!$G$2:$N$2737,COLUMN(),FALSE)</f>
        <v>CC ST JOHNS UNITED CHURCH OF C</v>
      </c>
      <c r="C665" t="s">
        <v>660</v>
      </c>
      <c r="D665">
        <v>1430027</v>
      </c>
      <c r="E665">
        <v>40.227424999999997</v>
      </c>
      <c r="F665">
        <v>-76.145608999999993</v>
      </c>
    </row>
    <row r="666" spans="1:6" x14ac:dyDescent="0.3">
      <c r="A666">
        <v>428610</v>
      </c>
      <c r="B666" t="str">
        <f>VLOOKUP($A666,[1]Export!$G$2:$N$2737,COLUMN(),FALSE)</f>
        <v>BRECKNOCK ELEMENTARY</v>
      </c>
      <c r="C666" t="s">
        <v>1033</v>
      </c>
      <c r="D666">
        <v>1430016</v>
      </c>
      <c r="E666">
        <v>40.243031999999999</v>
      </c>
      <c r="F666">
        <v>-75.996081000000004</v>
      </c>
    </row>
    <row r="667" spans="1:6" x14ac:dyDescent="0.3">
      <c r="A667">
        <v>457278</v>
      </c>
      <c r="B667" t="str">
        <f>VLOOKUP($A667,[1]Export!$G$2:$N$2737,COLUMN(),FALSE)</f>
        <v>COCALICO SERVICE CENTER</v>
      </c>
      <c r="C667" t="s">
        <v>1730</v>
      </c>
      <c r="D667">
        <v>1430027</v>
      </c>
      <c r="E667">
        <v>40.225873</v>
      </c>
      <c r="F667">
        <v>-76.156390999999999</v>
      </c>
    </row>
    <row r="668" spans="1:6" x14ac:dyDescent="0.3">
      <c r="A668">
        <v>465969</v>
      </c>
      <c r="B668" t="str">
        <f>VLOOKUP($A668,[1]Export!$G$2:$N$2737,COLUMN(),FALSE)</f>
        <v>CARON MED TREATMENT CENTERS</v>
      </c>
      <c r="C668" t="s">
        <v>1254</v>
      </c>
      <c r="D668">
        <v>1430026</v>
      </c>
      <c r="E668">
        <v>40.307782000000003</v>
      </c>
      <c r="F668">
        <v>-76.096750999999998</v>
      </c>
    </row>
    <row r="669" spans="1:6" x14ac:dyDescent="0.3">
      <c r="A669">
        <v>470561</v>
      </c>
      <c r="B669" t="str">
        <f>VLOOKUP($A669,[1]Export!$G$2:$N$2737,COLUMN(),FALSE)</f>
        <v>ADAMSTOWN ELEMENTARY</v>
      </c>
      <c r="C669" t="s">
        <v>1741</v>
      </c>
      <c r="D669">
        <v>1430016</v>
      </c>
      <c r="E669">
        <v>40.240180000000002</v>
      </c>
      <c r="F669">
        <v>-76.063119999999998</v>
      </c>
    </row>
    <row r="670" spans="1:6" x14ac:dyDescent="0.3">
      <c r="A670">
        <v>470562</v>
      </c>
      <c r="B670" t="str">
        <f>VLOOKUP($A670,[1]Export!$G$2:$N$2737,COLUMN(),FALSE)</f>
        <v>REAMSTOWN ELEMENTARY</v>
      </c>
      <c r="C670" t="s">
        <v>1303</v>
      </c>
      <c r="D670">
        <v>1430016</v>
      </c>
      <c r="E670">
        <v>40.208120000000001</v>
      </c>
      <c r="F670">
        <v>-76.125958999999995</v>
      </c>
    </row>
    <row r="671" spans="1:6" x14ac:dyDescent="0.3">
      <c r="A671">
        <v>470563</v>
      </c>
      <c r="B671" t="str">
        <f>VLOOKUP($A671,[1]Export!$G$2:$N$2737,COLUMN(),FALSE)</f>
        <v>DENVER ELEMENTARY</v>
      </c>
      <c r="C671" t="s">
        <v>1305</v>
      </c>
      <c r="D671">
        <v>1430027</v>
      </c>
      <c r="E671">
        <v>40.228349999999999</v>
      </c>
      <c r="F671">
        <v>-76.146688999999995</v>
      </c>
    </row>
    <row r="672" spans="1:6" x14ac:dyDescent="0.3">
      <c r="A672">
        <v>470564</v>
      </c>
      <c r="B672" t="str">
        <f>VLOOKUP($A672,[1]Export!$G$2:$N$2737,COLUMN(),FALSE)</f>
        <v>COCALICO MIDDLE SCHOOL</v>
      </c>
      <c r="C672" t="s">
        <v>1307</v>
      </c>
      <c r="D672">
        <v>1430027</v>
      </c>
      <c r="E672">
        <v>40.229179999999999</v>
      </c>
      <c r="F672">
        <v>-76.148070000000004</v>
      </c>
    </row>
    <row r="673" spans="1:6" x14ac:dyDescent="0.3">
      <c r="A673">
        <v>470565</v>
      </c>
      <c r="B673" t="str">
        <f>VLOOKUP($A673,[1]Export!$G$2:$N$2737,COLUMN(),FALSE)</f>
        <v>COCALICO HIGH SCHOOL</v>
      </c>
      <c r="C673" t="s">
        <v>1309</v>
      </c>
      <c r="D673">
        <v>1430027</v>
      </c>
      <c r="E673">
        <v>40.226542000000002</v>
      </c>
      <c r="F673">
        <v>-76.154449999999997</v>
      </c>
    </row>
    <row r="674" spans="1:6" x14ac:dyDescent="0.3">
      <c r="A674">
        <v>240825</v>
      </c>
      <c r="B674" t="str">
        <f>VLOOKUP($A674,[1]Export!$G$2:$N$2737,COLUMN(),FALSE)</f>
        <v>LAUREL MALL OFFICE</v>
      </c>
      <c r="C674" t="s">
        <v>255</v>
      </c>
      <c r="D674">
        <v>1430033</v>
      </c>
      <c r="E674">
        <v>40.986735000000003</v>
      </c>
      <c r="F674">
        <v>-76.012500000000003</v>
      </c>
    </row>
    <row r="675" spans="1:6" x14ac:dyDescent="0.3">
      <c r="A675">
        <v>480258</v>
      </c>
      <c r="B675" t="str">
        <f>VLOOKUP($A675,[1]Export!$G$2:$N$2737,COLUMN(),FALSE)</f>
        <v>LANC COUNTY BIBLE CLARKS SUMMI</v>
      </c>
      <c r="C675" t="s">
        <v>1358</v>
      </c>
      <c r="D675">
        <v>1430033</v>
      </c>
      <c r="E675">
        <v>41.509740000000001</v>
      </c>
      <c r="F675">
        <v>-75.699714</v>
      </c>
    </row>
    <row r="676" spans="1:6" x14ac:dyDescent="0.3">
      <c r="A676">
        <v>241528</v>
      </c>
      <c r="B676" t="str">
        <f>VLOOKUP($A676,[1]Export!$G$2:$N$2737,COLUMN(),FALSE)</f>
        <v>READING BAKERY SYSTEMS#</v>
      </c>
      <c r="C676" t="s">
        <v>1595</v>
      </c>
      <c r="D676">
        <v>1430029</v>
      </c>
      <c r="E676">
        <v>40.346545999999996</v>
      </c>
      <c r="F676">
        <v>-76.123367999999999</v>
      </c>
    </row>
    <row r="677" spans="1:6" x14ac:dyDescent="0.3">
      <c r="A677">
        <v>264939</v>
      </c>
      <c r="B677" t="str">
        <f>VLOOKUP($A677,[1]Export!$G$2:$N$2737,COLUMN(),FALSE)</f>
        <v>THE LOOMIS COMPANY</v>
      </c>
      <c r="C677" t="s">
        <v>472</v>
      </c>
      <c r="D677">
        <v>1430026</v>
      </c>
      <c r="E677">
        <v>40.346986000000001</v>
      </c>
      <c r="F677">
        <v>-75.959635000000006</v>
      </c>
    </row>
    <row r="678" spans="1:6" x14ac:dyDescent="0.3">
      <c r="A678">
        <v>324955</v>
      </c>
      <c r="B678" t="str">
        <f>VLOOKUP($A678,[1]Export!$G$2:$N$2737,COLUMN(),FALSE)</f>
        <v>Suburban Testing Labs Inc.#</v>
      </c>
      <c r="C678" t="s">
        <v>712</v>
      </c>
      <c r="D678">
        <v>1430026</v>
      </c>
      <c r="E678">
        <v>40.37865</v>
      </c>
      <c r="F678">
        <v>-75.974695999999994</v>
      </c>
    </row>
    <row r="679" spans="1:6" x14ac:dyDescent="0.3">
      <c r="A679">
        <v>330198</v>
      </c>
      <c r="B679" t="str">
        <f>VLOOKUP($A679,[1]Export!$G$2:$N$2737,COLUMN(),FALSE)</f>
        <v>GROSFILLEX INC#</v>
      </c>
      <c r="C679" t="s">
        <v>724</v>
      </c>
      <c r="D679">
        <v>1430029</v>
      </c>
      <c r="E679">
        <v>40.343335000000003</v>
      </c>
      <c r="F679">
        <v>-76.122056999999998</v>
      </c>
    </row>
    <row r="680" spans="1:6" x14ac:dyDescent="0.3">
      <c r="A680">
        <v>415425</v>
      </c>
      <c r="B680" t="str">
        <f>VLOOKUP($A680,[1]Export!$G$2:$N$2737,COLUMN(),FALSE)</f>
        <v>CONRAD WEISER MIDDLE SCHOOL</v>
      </c>
      <c r="C680" t="s">
        <v>802</v>
      </c>
      <c r="D680">
        <v>1430026</v>
      </c>
      <c r="E680">
        <v>40.350006</v>
      </c>
      <c r="F680">
        <v>-76.123938999999993</v>
      </c>
    </row>
    <row r="681" spans="1:6" x14ac:dyDescent="0.3">
      <c r="A681">
        <v>438125</v>
      </c>
      <c r="B681" t="str">
        <f>VLOOKUP($A681,[1]Export!$G$2:$N$2737,COLUMN(),FALSE)</f>
        <v>WILSON SCHOOL RECEIVING DEPT</v>
      </c>
      <c r="C681" t="s">
        <v>1102</v>
      </c>
      <c r="D681">
        <v>1430026</v>
      </c>
      <c r="E681">
        <v>40.310065000000002</v>
      </c>
      <c r="F681">
        <v>-75.991479999999996</v>
      </c>
    </row>
    <row r="682" spans="1:6" x14ac:dyDescent="0.3">
      <c r="A682">
        <v>453620</v>
      </c>
      <c r="B682" t="str">
        <f>VLOOKUP($A682,[1]Export!$G$2:$N$2737,COLUMN(),FALSE)</f>
        <v>CONRAD WEISER HIGH SCHOOL</v>
      </c>
      <c r="C682" t="s">
        <v>1174</v>
      </c>
      <c r="D682">
        <v>1430026</v>
      </c>
      <c r="E682">
        <v>40.348287999999997</v>
      </c>
      <c r="F682">
        <v>-76.119124999999997</v>
      </c>
    </row>
    <row r="683" spans="1:6" x14ac:dyDescent="0.3">
      <c r="A683">
        <v>294691</v>
      </c>
      <c r="B683" t="str">
        <f>VLOOKUP($A683,[1]Export!$G$2:$N$2737,COLUMN(),FALSE)</f>
        <v>CAMP CURTIN YMCA#</v>
      </c>
      <c r="C683" t="s">
        <v>1672</v>
      </c>
      <c r="D683">
        <v>1430045</v>
      </c>
      <c r="E683">
        <v>40.281816999999997</v>
      </c>
      <c r="F683">
        <v>-76.890668000000005</v>
      </c>
    </row>
    <row r="684" spans="1:6" x14ac:dyDescent="0.3">
      <c r="A684">
        <v>480659</v>
      </c>
      <c r="B684" t="str">
        <f>VLOOKUP($A684,[1]Export!$G$2:$N$2737,COLUMN(),FALSE)</f>
        <v>ENVIRONMENTAL - Members 1st</v>
      </c>
      <c r="C684" t="s">
        <v>1749</v>
      </c>
      <c r="D684">
        <v>1430045</v>
      </c>
      <c r="E684">
        <v>40.294559999999997</v>
      </c>
      <c r="F684">
        <v>-76.977520999999996</v>
      </c>
    </row>
    <row r="685" spans="1:6" x14ac:dyDescent="0.3">
      <c r="A685">
        <v>241353</v>
      </c>
      <c r="B685" t="str">
        <f>VLOOKUP($A685,[1]Export!$G$2:$N$2737,COLUMN(),FALSE)</f>
        <v>PALMYRA AREA SCHOOL DISTRICT</v>
      </c>
      <c r="C685" t="s">
        <v>291</v>
      </c>
      <c r="D685">
        <v>1430032</v>
      </c>
      <c r="E685">
        <v>40.300103</v>
      </c>
      <c r="F685">
        <v>-76.586326</v>
      </c>
    </row>
    <row r="686" spans="1:6" x14ac:dyDescent="0.3">
      <c r="A686">
        <v>297875</v>
      </c>
      <c r="B686" t="str">
        <f>VLOOKUP($A686,[1]Export!$G$2:$N$2737,COLUMN(),FALSE)</f>
        <v>SUMMIT INTERNATIONAL SCHOOL</v>
      </c>
      <c r="C686" t="s">
        <v>596</v>
      </c>
      <c r="D686">
        <v>1430033</v>
      </c>
      <c r="E686">
        <v>40.412700000000001</v>
      </c>
      <c r="F686">
        <v>-76.600313999999997</v>
      </c>
    </row>
    <row r="687" spans="1:6" x14ac:dyDescent="0.3">
      <c r="A687">
        <v>429486</v>
      </c>
      <c r="B687" t="str">
        <f>VLOOKUP($A687,[1]Export!$G$2:$N$2737,COLUMN(),FALSE)</f>
        <v>PALMYRA AREA SD WAREHOUSE</v>
      </c>
      <c r="C687" t="s">
        <v>291</v>
      </c>
      <c r="D687">
        <v>1430032</v>
      </c>
      <c r="E687">
        <v>40.300103</v>
      </c>
      <c r="F687">
        <v>-76.586326</v>
      </c>
    </row>
    <row r="688" spans="1:6" x14ac:dyDescent="0.3">
      <c r="A688">
        <v>242598</v>
      </c>
      <c r="B688" t="str">
        <f>VLOOKUP($A688,[1]Export!$G$2:$N$2737,COLUMN(),FALSE)</f>
        <v>COMPANION ANIMAL HOSPITAL#</v>
      </c>
      <c r="C688" t="s">
        <v>337</v>
      </c>
      <c r="D688">
        <v>1430033</v>
      </c>
      <c r="E688">
        <v>40.785711999999997</v>
      </c>
      <c r="F688">
        <v>-76.869398000000004</v>
      </c>
    </row>
    <row r="689" spans="1:6" x14ac:dyDescent="0.3">
      <c r="A689">
        <v>294629</v>
      </c>
      <c r="B689" t="str">
        <f>VLOOKUP($A689,[1]Export!$G$2:$N$2737,COLUMN(),FALSE)</f>
        <v>BERWICK AREA YMCA#</v>
      </c>
      <c r="C689" t="s">
        <v>566</v>
      </c>
      <c r="D689">
        <v>1430033</v>
      </c>
      <c r="E689">
        <v>41.054820999999997</v>
      </c>
      <c r="F689">
        <v>-76.238000999999997</v>
      </c>
    </row>
    <row r="690" spans="1:6" x14ac:dyDescent="0.3">
      <c r="A690">
        <v>341662</v>
      </c>
      <c r="B690" t="str">
        <f>VLOOKUP($A690,[1]Export!$G$2:$N$2737,COLUMN(),FALSE)</f>
        <v>Mike Mussina</v>
      </c>
      <c r="C690" t="s">
        <v>752</v>
      </c>
      <c r="D690">
        <v>1430033</v>
      </c>
      <c r="E690">
        <v>41.266019999999997</v>
      </c>
      <c r="F690">
        <v>-76.851200000000006</v>
      </c>
    </row>
    <row r="691" spans="1:6" x14ac:dyDescent="0.3">
      <c r="A691">
        <v>415358</v>
      </c>
      <c r="B691" t="str">
        <f>VLOOKUP($A691,[1]Export!$G$2:$N$2737,COLUMN(),FALSE)</f>
        <v>BERWICK AREA SCHOOL DIST</v>
      </c>
      <c r="C691" t="s">
        <v>793</v>
      </c>
      <c r="D691">
        <v>1430033</v>
      </c>
      <c r="E691">
        <v>41.062010000000001</v>
      </c>
      <c r="F691">
        <v>-76.244399999999999</v>
      </c>
    </row>
    <row r="692" spans="1:6" x14ac:dyDescent="0.3">
      <c r="A692">
        <v>452133</v>
      </c>
      <c r="B692" t="str">
        <f>VLOOKUP($A692,[1]Export!$G$2:$N$2737,COLUMN(),FALSE)</f>
        <v>WILLIAMSPORT AREA SCHOOL DIST</v>
      </c>
      <c r="C692" t="s">
        <v>1164</v>
      </c>
      <c r="D692">
        <v>1430033</v>
      </c>
      <c r="E692">
        <v>41.237642000000001</v>
      </c>
      <c r="F692">
        <v>-77.036161000000007</v>
      </c>
    </row>
    <row r="693" spans="1:6" x14ac:dyDescent="0.3">
      <c r="A693">
        <v>464926</v>
      </c>
      <c r="B693" t="str">
        <f>VLOOKUP($A693,[1]Export!$G$2:$N$2737,COLUMN(),FALSE)</f>
        <v>LANC COUNTY BIBLE BLOOMSBURG</v>
      </c>
      <c r="C693" t="s">
        <v>1242</v>
      </c>
      <c r="D693">
        <v>1430033</v>
      </c>
      <c r="E693">
        <v>41.013111000000002</v>
      </c>
      <c r="F693">
        <v>-76.414354000000003</v>
      </c>
    </row>
    <row r="694" spans="1:6" x14ac:dyDescent="0.3">
      <c r="A694">
        <v>465579</v>
      </c>
      <c r="B694" t="str">
        <f>VLOOKUP($A694,[1]Export!$G$2:$N$2737,COLUMN(),FALSE)</f>
        <v>OAKLYN ELEMENTARY SCHOOL</v>
      </c>
      <c r="C694" t="s">
        <v>1250</v>
      </c>
      <c r="D694">
        <v>1430033</v>
      </c>
      <c r="E694">
        <v>40.857309999999998</v>
      </c>
      <c r="F694">
        <v>-76.759293999999997</v>
      </c>
    </row>
    <row r="695" spans="1:6" x14ac:dyDescent="0.3">
      <c r="A695">
        <v>465798</v>
      </c>
      <c r="B695" t="str">
        <f>VLOOKUP($A695,[1]Export!$G$2:$N$2737,COLUMN(),FALSE)</f>
        <v>SHIKELLAMY SCHOOL - WHSE/MAINT</v>
      </c>
      <c r="C695" t="s">
        <v>1252</v>
      </c>
      <c r="D695">
        <v>1430033</v>
      </c>
      <c r="E695">
        <v>40.856399000000003</v>
      </c>
      <c r="F695">
        <v>-76.789415000000005</v>
      </c>
    </row>
    <row r="696" spans="1:6" x14ac:dyDescent="0.3">
      <c r="A696">
        <v>470549</v>
      </c>
      <c r="B696" t="str">
        <f>VLOOKUP($A696,[1]Export!$G$2:$N$2737,COLUMN(),FALSE)</f>
        <v>WARRIOR RUN MIDDLE SCHOOL</v>
      </c>
      <c r="C696" t="s">
        <v>1301</v>
      </c>
      <c r="D696">
        <v>1430033</v>
      </c>
      <c r="E696">
        <v>41.104092999999999</v>
      </c>
      <c r="F696">
        <v>-76.802824000000001</v>
      </c>
    </row>
    <row r="697" spans="1:6" x14ac:dyDescent="0.3">
      <c r="A697">
        <v>470636</v>
      </c>
      <c r="B697" t="str">
        <f>VLOOKUP($A697,[1]Export!$G$2:$N$2737,COLUMN(),FALSE)</f>
        <v>DANVILLE AREA SCHOOL DIST</v>
      </c>
      <c r="C697" t="s">
        <v>1313</v>
      </c>
      <c r="D697">
        <v>1430033</v>
      </c>
      <c r="E697">
        <v>40.956420000000001</v>
      </c>
      <c r="F697">
        <v>-76.603449999999995</v>
      </c>
    </row>
    <row r="698" spans="1:6" x14ac:dyDescent="0.3">
      <c r="A698">
        <v>471593</v>
      </c>
      <c r="B698" t="str">
        <f>VLOOKUP($A698,[1]Export!$G$2:$N$2737,COLUMN(),FALSE)</f>
        <v>LOYALSOCK HIGH SCHOOL</v>
      </c>
      <c r="C698" t="s">
        <v>1323</v>
      </c>
      <c r="D698">
        <v>1430033</v>
      </c>
      <c r="E698">
        <v>41.260804</v>
      </c>
      <c r="F698">
        <v>-76.968125000000001</v>
      </c>
    </row>
    <row r="699" spans="1:6" x14ac:dyDescent="0.3">
      <c r="A699">
        <v>471593</v>
      </c>
      <c r="B699" t="str">
        <f>VLOOKUP($A699,[1]Export!$G$2:$N$2737,COLUMN(),FALSE)</f>
        <v>LOYALSOCK HIGH SCHOOL</v>
      </c>
      <c r="C699" t="s">
        <v>1323</v>
      </c>
      <c r="D699">
        <v>1430033</v>
      </c>
      <c r="E699">
        <v>41.260804</v>
      </c>
      <c r="F699">
        <v>-76.968125000000001</v>
      </c>
    </row>
    <row r="700" spans="1:6" x14ac:dyDescent="0.3">
      <c r="A700">
        <v>472845</v>
      </c>
      <c r="B700" t="str">
        <f>VLOOKUP($A700,[1]Export!$G$2:$N$2737,COLUMN(),FALSE)</f>
        <v>SHIKELLAMY HIGH SCHOOL</v>
      </c>
      <c r="C700" t="s">
        <v>1252</v>
      </c>
      <c r="D700">
        <v>1430033</v>
      </c>
      <c r="E700">
        <v>40.856399000000003</v>
      </c>
      <c r="F700">
        <v>-76.789415000000005</v>
      </c>
    </row>
    <row r="701" spans="1:6" x14ac:dyDescent="0.3">
      <c r="A701">
        <v>482194</v>
      </c>
      <c r="B701" t="str">
        <f>VLOOKUP($A701,[1]Export!$G$2:$N$2737,COLUMN(),FALSE)</f>
        <v>Henry Company</v>
      </c>
      <c r="C701" t="s">
        <v>1386</v>
      </c>
      <c r="D701">
        <v>1430033</v>
      </c>
      <c r="E701">
        <v>41.10539</v>
      </c>
      <c r="F701">
        <v>-78.387559999999993</v>
      </c>
    </row>
    <row r="702" spans="1:6" x14ac:dyDescent="0.3">
      <c r="A702">
        <v>483025</v>
      </c>
      <c r="B702" t="str">
        <f>VLOOKUP($A702,[1]Export!$G$2:$N$2737,COLUMN(),FALSE)</f>
        <v>Hughesville JR/SR High School</v>
      </c>
      <c r="C702" t="s">
        <v>1397</v>
      </c>
      <c r="D702">
        <v>1430033</v>
      </c>
      <c r="E702">
        <v>41.240130999999998</v>
      </c>
      <c r="F702">
        <v>-76.732847000000007</v>
      </c>
    </row>
    <row r="703" spans="1:6" x14ac:dyDescent="0.3">
      <c r="A703">
        <v>483026</v>
      </c>
      <c r="B703" t="str">
        <f>VLOOKUP($A703,[1]Export!$G$2:$N$2737,COLUMN(),FALSE)</f>
        <v>Askar Elementary School</v>
      </c>
      <c r="C703" t="s">
        <v>1399</v>
      </c>
      <c r="D703">
        <v>1430033</v>
      </c>
      <c r="E703">
        <v>41.237029999999997</v>
      </c>
      <c r="F703">
        <v>-76.734054</v>
      </c>
    </row>
    <row r="704" spans="1:6" x14ac:dyDescent="0.3">
      <c r="A704">
        <v>239504</v>
      </c>
      <c r="B704" t="str">
        <f>VLOOKUP($A704,[1]Export!$G$2:$N$2737,COLUMN(),FALSE)</f>
        <v>CASSELS SIGN SHOP</v>
      </c>
      <c r="C704" t="s">
        <v>181</v>
      </c>
      <c r="D704">
        <v>1430016</v>
      </c>
      <c r="E704">
        <v>40.136780000000002</v>
      </c>
      <c r="F704">
        <v>-76.349351999999996</v>
      </c>
    </row>
    <row r="705" spans="1:6" x14ac:dyDescent="0.3">
      <c r="A705">
        <v>239922</v>
      </c>
      <c r="B705" t="str">
        <f>VLOOKUP($A705,[1]Export!$G$2:$N$2737,COLUMN(),FALSE)</f>
        <v>East Fairview Church of Brethr</v>
      </c>
      <c r="C705" t="s">
        <v>197</v>
      </c>
      <c r="D705">
        <v>1430035</v>
      </c>
      <c r="E705">
        <v>40.163252</v>
      </c>
      <c r="F705">
        <v>-76.445222000000001</v>
      </c>
    </row>
    <row r="706" spans="1:6" x14ac:dyDescent="0.3">
      <c r="A706">
        <v>239985</v>
      </c>
      <c r="B706" t="str">
        <f>VLOOKUP($A706,[1]Export!$G$2:$N$2737,COLUMN(),FALSE)</f>
        <v>Environmental Cleaning Solutio</v>
      </c>
      <c r="C706" t="s">
        <v>203</v>
      </c>
      <c r="D706">
        <v>1430035</v>
      </c>
      <c r="E706">
        <v>40.292920000000002</v>
      </c>
      <c r="F706">
        <v>-76.549980000000005</v>
      </c>
    </row>
    <row r="707" spans="1:6" x14ac:dyDescent="0.3">
      <c r="A707">
        <v>240462</v>
      </c>
      <c r="B707" t="str">
        <f>VLOOKUP($A707,[1]Export!$G$2:$N$2737,COLUMN(),FALSE)</f>
        <v>HVAC DISTRIBUTORS INC#</v>
      </c>
      <c r="C707" t="s">
        <v>235</v>
      </c>
      <c r="D707">
        <v>1430035</v>
      </c>
      <c r="E707">
        <v>40.111637000000002</v>
      </c>
      <c r="F707">
        <v>-76.503679000000005</v>
      </c>
    </row>
    <row r="708" spans="1:6" x14ac:dyDescent="0.3">
      <c r="A708">
        <v>240499</v>
      </c>
      <c r="B708" t="str">
        <f>VLOOKUP($A708,[1]Export!$G$2:$N$2737,COLUMN(),FALSE)</f>
        <v>PAVLIKS CARPET CLEANING#</v>
      </c>
      <c r="C708" t="s">
        <v>239</v>
      </c>
      <c r="D708">
        <v>1430035</v>
      </c>
      <c r="E708">
        <v>40.229277000000003</v>
      </c>
      <c r="F708">
        <v>-76.455629000000002</v>
      </c>
    </row>
    <row r="709" spans="1:6" x14ac:dyDescent="0.3">
      <c r="A709">
        <v>240723</v>
      </c>
      <c r="B709" t="str">
        <f>VLOOKUP($A709,[1]Export!$G$2:$N$2737,COLUMN(),FALSE)</f>
        <v>LANC COUNTY BIBLE CHURCH#</v>
      </c>
      <c r="C709" t="s">
        <v>1590</v>
      </c>
      <c r="D709">
        <v>1430035</v>
      </c>
      <c r="E709">
        <v>40.129150000000003</v>
      </c>
      <c r="F709">
        <v>-76.454710000000006</v>
      </c>
    </row>
    <row r="710" spans="1:6" x14ac:dyDescent="0.3">
      <c r="A710">
        <v>240727</v>
      </c>
      <c r="B710" t="str">
        <f>VLOOKUP($A710,[1]Export!$G$2:$N$2737,COLUMN(),FALSE)</f>
        <v>LANC COUNTYWIDE COMMUNICATIONS</v>
      </c>
      <c r="C710" t="s">
        <v>243</v>
      </c>
      <c r="D710">
        <v>1430035</v>
      </c>
      <c r="E710">
        <v>40.161990000000003</v>
      </c>
      <c r="F710">
        <v>-76.396389999999997</v>
      </c>
    </row>
    <row r="711" spans="1:6" x14ac:dyDescent="0.3">
      <c r="A711">
        <v>240844</v>
      </c>
      <c r="B711" t="str">
        <f>VLOOKUP($A711,[1]Export!$G$2:$N$2737,COLUMN(),FALSE)</f>
        <v>LEBANON SCHOOL DISTRICT</v>
      </c>
      <c r="C711" t="s">
        <v>257</v>
      </c>
      <c r="D711">
        <v>1430035</v>
      </c>
      <c r="E711">
        <v>40.326377999999998</v>
      </c>
      <c r="F711">
        <v>-76.421484000000007</v>
      </c>
    </row>
    <row r="712" spans="1:6" x14ac:dyDescent="0.3">
      <c r="A712">
        <v>240847</v>
      </c>
      <c r="B712" t="str">
        <f>VLOOKUP($A712,[1]Export!$G$2:$N$2737,COLUMN(),FALSE)</f>
        <v>LEBANON VALLEY EXPO</v>
      </c>
      <c r="C712" t="s">
        <v>259</v>
      </c>
      <c r="D712">
        <v>1430035</v>
      </c>
      <c r="E712">
        <v>40.302691000000003</v>
      </c>
      <c r="F712">
        <v>-76.413039999999995</v>
      </c>
    </row>
    <row r="713" spans="1:6" x14ac:dyDescent="0.3">
      <c r="A713">
        <v>241277</v>
      </c>
      <c r="B713" t="str">
        <f>VLOOKUP($A713,[1]Export!$G$2:$N$2737,COLUMN(),FALSE)</f>
        <v>NORTHERN LEBANON SCHOOL DIST#</v>
      </c>
      <c r="C713" t="s">
        <v>1592</v>
      </c>
      <c r="D713">
        <v>1430033</v>
      </c>
      <c r="E713">
        <v>40.434973999999997</v>
      </c>
      <c r="F713">
        <v>-76.447858999999994</v>
      </c>
    </row>
    <row r="714" spans="1:6" x14ac:dyDescent="0.3">
      <c r="A714">
        <v>241454</v>
      </c>
      <c r="B714" t="str">
        <f>VLOOKUP($A714,[1]Export!$G$2:$N$2737,COLUMN(),FALSE)</f>
        <v>PLEASANT VIEW RETIREMENT MED#</v>
      </c>
      <c r="C714" t="s">
        <v>293</v>
      </c>
      <c r="D714">
        <v>1430035</v>
      </c>
      <c r="E714">
        <v>40.183365999999999</v>
      </c>
      <c r="F714">
        <v>-76.377803</v>
      </c>
    </row>
    <row r="715" spans="1:6" x14ac:dyDescent="0.3">
      <c r="A715">
        <v>242421</v>
      </c>
      <c r="B715" t="str">
        <f>VLOOKUP($A715,[1]Export!$G$2:$N$2737,COLUMN(),FALSE)</f>
        <v>WISSLER MOTORS INC</v>
      </c>
      <c r="C715" t="s">
        <v>333</v>
      </c>
      <c r="D715">
        <v>1430035</v>
      </c>
      <c r="E715">
        <v>40.118029</v>
      </c>
      <c r="F715">
        <v>-76.533852999999993</v>
      </c>
    </row>
    <row r="716" spans="1:6" x14ac:dyDescent="0.3">
      <c r="A716">
        <v>246796</v>
      </c>
      <c r="B716" t="str">
        <f>VLOOKUP($A716,[1]Export!$G$2:$N$2737,COLUMN(),FALSE)</f>
        <v>FAITH BAPTIST CHURCH#</v>
      </c>
      <c r="C716" t="s">
        <v>452</v>
      </c>
      <c r="D716">
        <v>1430035</v>
      </c>
      <c r="E716">
        <v>40.332465999999997</v>
      </c>
      <c r="F716">
        <v>-76.450291000000007</v>
      </c>
    </row>
    <row r="717" spans="1:6" x14ac:dyDescent="0.3">
      <c r="A717">
        <v>264813</v>
      </c>
      <c r="B717" t="str">
        <f>VLOOKUP($A717,[1]Export!$G$2:$N$2737,COLUMN(),FALSE)</f>
        <v>Forrest Russell</v>
      </c>
      <c r="C717" t="s">
        <v>470</v>
      </c>
      <c r="D717">
        <v>1430035</v>
      </c>
      <c r="E717">
        <v>40.164630000000002</v>
      </c>
      <c r="F717">
        <v>-76.391649999999998</v>
      </c>
    </row>
    <row r="718" spans="1:6" x14ac:dyDescent="0.3">
      <c r="A718">
        <v>267169</v>
      </c>
      <c r="B718" t="str">
        <f>VLOOKUP($A718,[1]Export!$G$2:$N$2737,COLUMN(),FALSE)</f>
        <v>LEBANON GASKET &amp; SEAL INC</v>
      </c>
      <c r="C718" t="s">
        <v>482</v>
      </c>
      <c r="D718">
        <v>1430035</v>
      </c>
      <c r="E718">
        <v>40.286605999999999</v>
      </c>
      <c r="F718">
        <v>-76.469474000000005</v>
      </c>
    </row>
    <row r="719" spans="1:6" x14ac:dyDescent="0.3">
      <c r="A719">
        <v>272805</v>
      </c>
      <c r="B719" t="str">
        <f>VLOOKUP($A719,[1]Export!$G$2:$N$2737,COLUMN(),FALSE)</f>
        <v>Allen M Hurst Jr Clean Sweep</v>
      </c>
      <c r="C719" t="s">
        <v>508</v>
      </c>
      <c r="D719">
        <v>1430035</v>
      </c>
      <c r="E719">
        <v>40.169840000000001</v>
      </c>
      <c r="F719">
        <v>-76.542580000000001</v>
      </c>
    </row>
    <row r="720" spans="1:6" x14ac:dyDescent="0.3">
      <c r="A720">
        <v>281065</v>
      </c>
      <c r="B720" t="str">
        <f>VLOOKUP($A720,[1]Export!$G$2:$N$2737,COLUMN(),FALSE)</f>
        <v>NEW COVENANT CHRISTIAN SCHOOL</v>
      </c>
      <c r="C720" t="s">
        <v>528</v>
      </c>
      <c r="D720">
        <v>1430035</v>
      </c>
      <c r="E720">
        <v>40.360900000000001</v>
      </c>
      <c r="F720">
        <v>-76.460909999999998</v>
      </c>
    </row>
    <row r="721" spans="1:6" x14ac:dyDescent="0.3">
      <c r="A721">
        <v>286415</v>
      </c>
      <c r="B721" t="str">
        <f>VLOOKUP($A721,[1]Export!$G$2:$N$2737,COLUMN(),FALSE)</f>
        <v>LEBANON VALLEY HOME#</v>
      </c>
      <c r="C721" t="s">
        <v>552</v>
      </c>
      <c r="D721">
        <v>1430035</v>
      </c>
      <c r="E721">
        <v>40.330288000000003</v>
      </c>
      <c r="F721">
        <v>-76.505615000000006</v>
      </c>
    </row>
    <row r="722" spans="1:6" x14ac:dyDescent="0.3">
      <c r="A722">
        <v>306344</v>
      </c>
      <c r="B722" t="str">
        <f>VLOOKUP($A722,[1]Export!$G$2:$N$2737,COLUMN(),FALSE)</f>
        <v>ADCOCK BROTHERS SERVICE CENTER</v>
      </c>
      <c r="C722" t="s">
        <v>634</v>
      </c>
      <c r="D722">
        <v>1430016</v>
      </c>
      <c r="E722">
        <v>40.140965999999999</v>
      </c>
      <c r="F722">
        <v>-76.381367999999995</v>
      </c>
    </row>
    <row r="723" spans="1:6" x14ac:dyDescent="0.3">
      <c r="A723">
        <v>316190</v>
      </c>
      <c r="B723" t="str">
        <f>VLOOKUP($A723,[1]Export!$G$2:$N$2737,COLUMN(),FALSE)</f>
        <v>RUTTERS FARM STORES #68</v>
      </c>
      <c r="C723" t="s">
        <v>1692</v>
      </c>
      <c r="D723">
        <v>1430035</v>
      </c>
      <c r="E723">
        <v>40.323675000000001</v>
      </c>
      <c r="F723">
        <v>-76.539492999999993</v>
      </c>
    </row>
    <row r="724" spans="1:6" x14ac:dyDescent="0.3">
      <c r="A724">
        <v>323231</v>
      </c>
      <c r="B724" t="str">
        <f>VLOOKUP($A724,[1]Export!$G$2:$N$2737,COLUMN(),FALSE)</f>
        <v>Rock Lititz Pod 2#</v>
      </c>
      <c r="C724" t="s">
        <v>704</v>
      </c>
      <c r="D724">
        <v>1430016</v>
      </c>
      <c r="E724">
        <v>40.175379999999997</v>
      </c>
      <c r="F724">
        <v>-76.313230000000004</v>
      </c>
    </row>
    <row r="725" spans="1:6" x14ac:dyDescent="0.3">
      <c r="A725">
        <v>330648</v>
      </c>
      <c r="B725" t="str">
        <f>VLOOKUP($A725,[1]Export!$G$2:$N$2737,COLUMN(),FALSE)</f>
        <v>RUTTERS FARM STORES #41</v>
      </c>
      <c r="C725" t="s">
        <v>1697</v>
      </c>
      <c r="D725">
        <v>1430035</v>
      </c>
      <c r="E725">
        <v>40.338852000000003</v>
      </c>
      <c r="F725">
        <v>-76.440584999999999</v>
      </c>
    </row>
    <row r="726" spans="1:6" x14ac:dyDescent="0.3">
      <c r="A726">
        <v>342427</v>
      </c>
      <c r="B726" t="str">
        <f>VLOOKUP($A726,[1]Export!$G$2:$N$2737,COLUMN(),FALSE)</f>
        <v>FAITH BIBLE CHURCH</v>
      </c>
      <c r="C726" t="s">
        <v>754</v>
      </c>
      <c r="D726">
        <v>1430035</v>
      </c>
      <c r="E726">
        <v>40.129075999999998</v>
      </c>
      <c r="F726">
        <v>-76.562849999999997</v>
      </c>
    </row>
    <row r="727" spans="1:6" x14ac:dyDescent="0.3">
      <c r="A727">
        <v>415635</v>
      </c>
      <c r="B727" t="str">
        <f>VLOOKUP($A727,[1]Export!$G$2:$N$2737,COLUMN(),FALSE)</f>
        <v>NORTHWEST SCHOOL STORAGE</v>
      </c>
      <c r="C727" t="s">
        <v>816</v>
      </c>
      <c r="D727">
        <v>1430035</v>
      </c>
      <c r="E727">
        <v>40.347822999999998</v>
      </c>
      <c r="F727">
        <v>-76.437899999999999</v>
      </c>
    </row>
    <row r="728" spans="1:6" x14ac:dyDescent="0.3">
      <c r="A728">
        <v>433738</v>
      </c>
      <c r="B728" t="str">
        <f>VLOOKUP($A728,[1]Export!$G$2:$N$2737,COLUMN(),FALSE)</f>
        <v>CORNWALL LEBANON SD - WAREHOUS</v>
      </c>
      <c r="C728" t="s">
        <v>1721</v>
      </c>
      <c r="D728">
        <v>1430035</v>
      </c>
      <c r="E728">
        <v>40.314036000000002</v>
      </c>
      <c r="F728">
        <v>-76.391999999999996</v>
      </c>
    </row>
    <row r="729" spans="1:6" x14ac:dyDescent="0.3">
      <c r="A729">
        <v>449185</v>
      </c>
      <c r="B729" t="str">
        <f>VLOOKUP($A729,[1]Export!$G$2:$N$2737,COLUMN(),FALSE)</f>
        <v>DONEGAL HIGH SCHOOL</v>
      </c>
      <c r="C729" t="s">
        <v>1149</v>
      </c>
      <c r="D729">
        <v>1430035</v>
      </c>
      <c r="E729">
        <v>40.096471999999999</v>
      </c>
      <c r="F729">
        <v>-76.512857999999994</v>
      </c>
    </row>
    <row r="730" spans="1:6" x14ac:dyDescent="0.3">
      <c r="A730">
        <v>453125</v>
      </c>
      <c r="B730" t="str">
        <f>VLOOKUP($A730,[1]Export!$G$2:$N$2737,COLUMN(),FALSE)</f>
        <v>Northern Lebanon Secondary Sch</v>
      </c>
      <c r="C730" t="s">
        <v>1592</v>
      </c>
      <c r="D730">
        <v>1430033</v>
      </c>
      <c r="E730">
        <v>40.434973999999997</v>
      </c>
      <c r="F730">
        <v>-76.447858999999994</v>
      </c>
    </row>
    <row r="731" spans="1:6" x14ac:dyDescent="0.3">
      <c r="A731">
        <v>455107</v>
      </c>
      <c r="B731" t="str">
        <f>VLOOKUP($A731,[1]Export!$G$2:$N$2737,COLUMN(),FALSE)</f>
        <v>ENVIRONMENTAL CLEANING</v>
      </c>
      <c r="C731" t="s">
        <v>1180</v>
      </c>
      <c r="D731">
        <v>1430035</v>
      </c>
      <c r="E731">
        <v>40.295611999999998</v>
      </c>
      <c r="F731">
        <v>-76.490622999999999</v>
      </c>
    </row>
    <row r="732" spans="1:6" x14ac:dyDescent="0.3">
      <c r="A732">
        <v>462866</v>
      </c>
      <c r="B732" t="str">
        <f>VLOOKUP($A732,[1]Export!$G$2:$N$2737,COLUMN(),FALSE)</f>
        <v>LITITZ REC CENTER</v>
      </c>
      <c r="C732" t="s">
        <v>1218</v>
      </c>
      <c r="D732">
        <v>1430016</v>
      </c>
      <c r="E732">
        <v>40.175379999999997</v>
      </c>
      <c r="F732">
        <v>-76.313230000000004</v>
      </c>
    </row>
    <row r="733" spans="1:6" x14ac:dyDescent="0.3">
      <c r="A733">
        <v>468380</v>
      </c>
      <c r="B733" t="str">
        <f>VLOOKUP($A733,[1]Export!$G$2:$N$2737,COLUMN(),FALSE)</f>
        <v>DONEGAL SCHOOL MAINTENANCE SHO</v>
      </c>
      <c r="C733" t="s">
        <v>1279</v>
      </c>
      <c r="D733">
        <v>1430035</v>
      </c>
      <c r="E733">
        <v>40.096249999999998</v>
      </c>
      <c r="F733">
        <v>-76.515519999999995</v>
      </c>
    </row>
    <row r="734" spans="1:6" x14ac:dyDescent="0.3">
      <c r="A734">
        <v>480178</v>
      </c>
      <c r="B734" t="str">
        <f>VLOOKUP($A734,[1]Export!$G$2:$N$2737,COLUMN(),FALSE)</f>
        <v>ATOMIC DESIGN INC#</v>
      </c>
      <c r="C734" t="s">
        <v>704</v>
      </c>
      <c r="D734">
        <v>1430016</v>
      </c>
      <c r="E734">
        <v>40.175379999999997</v>
      </c>
      <c r="F734">
        <v>-76.313230000000004</v>
      </c>
    </row>
    <row r="735" spans="1:6" x14ac:dyDescent="0.3">
      <c r="A735">
        <v>481877</v>
      </c>
      <c r="B735" t="str">
        <f>VLOOKUP($A735,[1]Export!$G$2:$N$2737,COLUMN(),FALSE)</f>
        <v>Donegal-DHS Food Service</v>
      </c>
      <c r="C735" t="s">
        <v>1149</v>
      </c>
      <c r="D735">
        <v>1430035</v>
      </c>
      <c r="E735">
        <v>40.096471999999999</v>
      </c>
      <c r="F735">
        <v>-76.512857999999994</v>
      </c>
    </row>
    <row r="736" spans="1:6" x14ac:dyDescent="0.3">
      <c r="A736">
        <v>483571</v>
      </c>
      <c r="B736" t="str">
        <f>VLOOKUP($A736,[1]Export!$G$2:$N$2737,COLUMN(),FALSE)</f>
        <v>ECS Corporate Support Center</v>
      </c>
      <c r="C736" t="s">
        <v>1405</v>
      </c>
      <c r="D736">
        <v>1430035</v>
      </c>
      <c r="E736">
        <v>40.286802000000002</v>
      </c>
      <c r="F736">
        <v>-76.567274999999995</v>
      </c>
    </row>
    <row r="737" spans="1:6" x14ac:dyDescent="0.3">
      <c r="A737">
        <v>241778</v>
      </c>
      <c r="B737" t="str">
        <f>VLOOKUP($A737,[1]Export!$G$2:$N$2737,COLUMN(),FALSE)</f>
        <v>SHALOM CHRISTIAN ACADEMY</v>
      </c>
      <c r="C737" t="s">
        <v>307</v>
      </c>
      <c r="D737">
        <v>1430044</v>
      </c>
      <c r="E737">
        <v>39.873358000000003</v>
      </c>
      <c r="F737">
        <v>-77.691616999999994</v>
      </c>
    </row>
    <row r="738" spans="1:6" x14ac:dyDescent="0.3">
      <c r="A738">
        <v>468494</v>
      </c>
      <c r="B738" t="str">
        <f>VLOOKUP($A738,[1]Export!$G$2:$N$2737,COLUMN(),FALSE)</f>
        <v>FRANKLIN LEARNING CENTER</v>
      </c>
      <c r="C738" t="s">
        <v>1285</v>
      </c>
      <c r="D738">
        <v>1430044</v>
      </c>
      <c r="E738">
        <v>39.898392000000001</v>
      </c>
      <c r="F738">
        <v>-77.687361999999993</v>
      </c>
    </row>
    <row r="739" spans="1:6" x14ac:dyDescent="0.3">
      <c r="A739">
        <v>240274</v>
      </c>
      <c r="B739" t="str">
        <f>VLOOKUP($A739,[1]Export!$G$2:$N$2737,COLUMN(),FALSE)</f>
        <v>GREENWOOD SCHOOL DISTRICT</v>
      </c>
      <c r="C739" t="s">
        <v>229</v>
      </c>
      <c r="D739">
        <v>1430033</v>
      </c>
      <c r="E739">
        <v>40.551862999999997</v>
      </c>
      <c r="F739">
        <v>-77.152263000000005</v>
      </c>
    </row>
    <row r="740" spans="1:6" x14ac:dyDescent="0.3">
      <c r="A740">
        <v>285279</v>
      </c>
      <c r="B740" t="str">
        <f>VLOOKUP($A740,[1]Export!$G$2:$N$2737,COLUMN(),FALSE)</f>
        <v>MIFFLIN COUNTY SCHOOL DISTRICT</v>
      </c>
      <c r="C740" t="s">
        <v>548</v>
      </c>
      <c r="D740">
        <v>1430038</v>
      </c>
      <c r="E740">
        <v>40.594425000000001</v>
      </c>
      <c r="F740">
        <v>-77.56841</v>
      </c>
    </row>
    <row r="741" spans="1:6" x14ac:dyDescent="0.3">
      <c r="A741">
        <v>311693</v>
      </c>
      <c r="B741" t="str">
        <f>VLOOKUP($A741,[1]Export!$G$2:$N$2737,COLUMN(),FALSE)</f>
        <v>RUTTERS FARM STORE  #37</v>
      </c>
      <c r="C741" t="s">
        <v>1688</v>
      </c>
      <c r="D741">
        <v>1430033</v>
      </c>
      <c r="E741">
        <v>40.546923</v>
      </c>
      <c r="F741">
        <v>-77.369364000000004</v>
      </c>
    </row>
    <row r="742" spans="1:6" x14ac:dyDescent="0.3">
      <c r="A742">
        <v>441976</v>
      </c>
      <c r="B742" t="str">
        <f>VLOOKUP($A742,[1]Export!$G$2:$N$2737,COLUMN(),FALSE)</f>
        <v>MIFFLIN COUNTY SCHOOL DISTRICT</v>
      </c>
      <c r="C742" t="s">
        <v>548</v>
      </c>
      <c r="D742">
        <v>1430038</v>
      </c>
      <c r="E742">
        <v>40.594425000000001</v>
      </c>
      <c r="F742">
        <v>-77.56841</v>
      </c>
    </row>
    <row r="743" spans="1:6" x14ac:dyDescent="0.3">
      <c r="A743">
        <v>442018</v>
      </c>
      <c r="B743" t="str">
        <f>VLOOKUP($A743,[1]Export!$G$2:$N$2737,COLUMN(),FALSE)</f>
        <v>MIFFLIN COUNTY MIDDLE SCHOOL</v>
      </c>
      <c r="C743" t="s">
        <v>1116</v>
      </c>
      <c r="D743">
        <v>1430038</v>
      </c>
      <c r="E743">
        <v>40.594239000000002</v>
      </c>
      <c r="F743">
        <v>-77.561092000000002</v>
      </c>
    </row>
    <row r="744" spans="1:6" x14ac:dyDescent="0.3">
      <c r="A744">
        <v>442019</v>
      </c>
      <c r="B744" t="str">
        <f>VLOOKUP($A744,[1]Export!$G$2:$N$2737,COLUMN(),FALSE)</f>
        <v>Lewistown Elementary School</v>
      </c>
      <c r="C744" t="s">
        <v>1726</v>
      </c>
      <c r="D744">
        <v>1430038</v>
      </c>
      <c r="E744">
        <v>40.595016999999999</v>
      </c>
      <c r="F744">
        <v>-77.559965000000005</v>
      </c>
    </row>
    <row r="745" spans="1:6" x14ac:dyDescent="0.3">
      <c r="A745">
        <v>445817</v>
      </c>
      <c r="B745" t="str">
        <f>VLOOKUP($A745,[1]Export!$G$2:$N$2737,COLUMN(),FALSE)</f>
        <v>East Derry Elementary School</v>
      </c>
      <c r="C745" t="s">
        <v>1124</v>
      </c>
      <c r="D745">
        <v>1430038</v>
      </c>
      <c r="E745">
        <v>40.630906000000003</v>
      </c>
      <c r="F745">
        <v>-77.498953999999998</v>
      </c>
    </row>
    <row r="746" spans="1:6" x14ac:dyDescent="0.3">
      <c r="A746">
        <v>445819</v>
      </c>
      <c r="B746" t="str">
        <f>VLOOKUP($A746,[1]Export!$G$2:$N$2737,COLUMN(),FALSE)</f>
        <v>MIFFLIN COUNTY JUNIOR HIGH</v>
      </c>
      <c r="C746" t="s">
        <v>1126</v>
      </c>
      <c r="D746">
        <v>1430038</v>
      </c>
      <c r="E746">
        <v>40.623237000000003</v>
      </c>
      <c r="F746">
        <v>-77.568104000000005</v>
      </c>
    </row>
    <row r="747" spans="1:6" x14ac:dyDescent="0.3">
      <c r="A747">
        <v>445820</v>
      </c>
      <c r="B747" t="str">
        <f>VLOOKUP($A747,[1]Export!$G$2:$N$2737,COLUMN(),FALSE)</f>
        <v>Mifflin County High School</v>
      </c>
      <c r="C747" t="s">
        <v>1128</v>
      </c>
      <c r="D747">
        <v>1430038</v>
      </c>
      <c r="E747">
        <v>40.625081999999999</v>
      </c>
      <c r="F747">
        <v>-77.570041000000003</v>
      </c>
    </row>
    <row r="748" spans="1:6" x14ac:dyDescent="0.3">
      <c r="A748">
        <v>445821</v>
      </c>
      <c r="B748" t="str">
        <f>VLOOKUP($A748,[1]Export!$G$2:$N$2737,COLUMN(),FALSE)</f>
        <v>INDIAN VALLEY CENTER</v>
      </c>
      <c r="C748" t="s">
        <v>1130</v>
      </c>
      <c r="D748">
        <v>1430033</v>
      </c>
      <c r="E748">
        <v>40.689225</v>
      </c>
      <c r="F748">
        <v>-77.594041000000004</v>
      </c>
    </row>
    <row r="749" spans="1:6" x14ac:dyDescent="0.3">
      <c r="A749">
        <v>445822</v>
      </c>
      <c r="B749" t="str">
        <f>VLOOKUP($A749,[1]Export!$G$2:$N$2737,COLUMN(),FALSE)</f>
        <v>LEWISTOWN INTERMEDIATE SCHOOL</v>
      </c>
      <c r="C749" t="s">
        <v>1132</v>
      </c>
      <c r="D749">
        <v>1430038</v>
      </c>
      <c r="E749">
        <v>40.594164999999997</v>
      </c>
      <c r="F749">
        <v>-77.566210999999996</v>
      </c>
    </row>
    <row r="750" spans="1:6" x14ac:dyDescent="0.3">
      <c r="A750">
        <v>445823</v>
      </c>
      <c r="B750" t="str">
        <f>VLOOKUP($A750,[1]Export!$G$2:$N$2737,COLUMN(),FALSE)</f>
        <v>LEWISTOWN STRODES MILLS ELEMEN</v>
      </c>
      <c r="C750" t="s">
        <v>1134</v>
      </c>
      <c r="D750">
        <v>1430038</v>
      </c>
      <c r="E750">
        <v>40.546633999999997</v>
      </c>
      <c r="F750">
        <v>-77.671332000000007</v>
      </c>
    </row>
    <row r="751" spans="1:6" x14ac:dyDescent="0.3">
      <c r="A751">
        <v>448130</v>
      </c>
      <c r="B751" t="str">
        <f>VLOOKUP($A751,[1]Export!$G$2:$N$2737,COLUMN(),FALSE)</f>
        <v>NEWPORT ELEMENTARY SCHOOL</v>
      </c>
      <c r="C751" t="s">
        <v>1142</v>
      </c>
      <c r="D751">
        <v>1430033</v>
      </c>
      <c r="E751">
        <v>40.483857999999998</v>
      </c>
      <c r="F751">
        <v>-77.139868000000007</v>
      </c>
    </row>
    <row r="752" spans="1:6" x14ac:dyDescent="0.3">
      <c r="A752">
        <v>240202</v>
      </c>
      <c r="B752" t="str">
        <f>VLOOKUP($A752,[1]Export!$G$2:$N$2737,COLUMN(),FALSE)</f>
        <v>GETTYSBURG COLLEGE</v>
      </c>
      <c r="C752" t="s">
        <v>221</v>
      </c>
      <c r="D752">
        <v>1430044</v>
      </c>
      <c r="E752">
        <v>39.834147000000002</v>
      </c>
      <c r="F752">
        <v>-77.233689999999996</v>
      </c>
    </row>
    <row r="753" spans="1:6" x14ac:dyDescent="0.3">
      <c r="A753">
        <v>240204</v>
      </c>
      <c r="B753" t="str">
        <f>VLOOKUP($A753,[1]Export!$G$2:$N$2737,COLUMN(),FALSE)</f>
        <v>GETTYSBURG SCHOOL DISTRICT***</v>
      </c>
      <c r="C753" t="s">
        <v>223</v>
      </c>
      <c r="D753">
        <v>1430044</v>
      </c>
      <c r="E753">
        <v>39.849545999999997</v>
      </c>
      <c r="F753">
        <v>-77.234336999999996</v>
      </c>
    </row>
    <row r="754" spans="1:6" x14ac:dyDescent="0.3">
      <c r="A754">
        <v>240911</v>
      </c>
      <c r="B754" t="str">
        <f>VLOOKUP($A754,[1]Export!$G$2:$N$2737,COLUMN(),FALSE)</f>
        <v>Littlestown Area School Distri</v>
      </c>
      <c r="C754" t="s">
        <v>267</v>
      </c>
      <c r="D754">
        <v>1430044</v>
      </c>
      <c r="E754">
        <v>39.752392</v>
      </c>
      <c r="F754">
        <v>-77.088627000000002</v>
      </c>
    </row>
    <row r="755" spans="1:6" x14ac:dyDescent="0.3">
      <c r="A755">
        <v>241657</v>
      </c>
      <c r="B755" t="str">
        <f>VLOOKUP($A755,[1]Export!$G$2:$N$2737,COLUMN(),FALSE)</f>
        <v>RUTTERS FARM STORE #52</v>
      </c>
      <c r="C755" t="s">
        <v>1602</v>
      </c>
      <c r="D755">
        <v>1430039</v>
      </c>
      <c r="E755">
        <v>39.772196999999998</v>
      </c>
      <c r="F755">
        <v>-76.957617999999997</v>
      </c>
    </row>
    <row r="756" spans="1:6" x14ac:dyDescent="0.3">
      <c r="A756">
        <v>241676</v>
      </c>
      <c r="B756" t="str">
        <f>VLOOKUP($A756,[1]Export!$G$2:$N$2737,COLUMN(),FALSE)</f>
        <v>RUTTERS FARM STORES #33</v>
      </c>
      <c r="C756" t="s">
        <v>297</v>
      </c>
      <c r="D756">
        <v>1430039</v>
      </c>
      <c r="E756">
        <v>39.811762000000002</v>
      </c>
      <c r="F756">
        <v>-76.976827</v>
      </c>
    </row>
    <row r="757" spans="1:6" x14ac:dyDescent="0.3">
      <c r="A757">
        <v>269479</v>
      </c>
      <c r="B757" t="str">
        <f>VLOOKUP($A757,[1]Export!$G$2:$N$2737,COLUMN(),FALSE)</f>
        <v>LINCOLN INTERMEDIATE UNIT #12</v>
      </c>
      <c r="C757" t="s">
        <v>488</v>
      </c>
      <c r="D757">
        <v>1430044</v>
      </c>
      <c r="E757">
        <v>39.868074999999997</v>
      </c>
      <c r="F757">
        <v>-77.046175000000005</v>
      </c>
    </row>
    <row r="758" spans="1:6" x14ac:dyDescent="0.3">
      <c r="A758">
        <v>272622</v>
      </c>
      <c r="B758" t="str">
        <f>VLOOKUP($A758,[1]Export!$G$2:$N$2737,COLUMN(),FALSE)</f>
        <v>RUTTERS FARM STORES #6</v>
      </c>
      <c r="C758" t="s">
        <v>1664</v>
      </c>
      <c r="D758">
        <v>1430039</v>
      </c>
      <c r="E758">
        <v>39.800930000000001</v>
      </c>
      <c r="F758">
        <v>-76.955016000000001</v>
      </c>
    </row>
    <row r="759" spans="1:6" x14ac:dyDescent="0.3">
      <c r="A759">
        <v>296618</v>
      </c>
      <c r="B759" t="str">
        <f>VLOOKUP($A759,[1]Export!$G$2:$N$2737,COLUMN(),FALSE)</f>
        <v>HANOVER AREA YMCA#</v>
      </c>
      <c r="C759" t="s">
        <v>582</v>
      </c>
      <c r="D759">
        <v>1430039</v>
      </c>
      <c r="E759">
        <v>39.819155000000002</v>
      </c>
      <c r="F759">
        <v>-76.978606999999997</v>
      </c>
    </row>
    <row r="760" spans="1:6" x14ac:dyDescent="0.3">
      <c r="A760">
        <v>415353</v>
      </c>
      <c r="B760" t="str">
        <f>VLOOKUP($A760,[1]Export!$G$2:$N$2737,COLUMN(),FALSE)</f>
        <v>Baresville Elementary School</v>
      </c>
      <c r="C760" t="s">
        <v>791</v>
      </c>
      <c r="D760">
        <v>1430039</v>
      </c>
      <c r="E760">
        <v>39.803339999999999</v>
      </c>
      <c r="F760">
        <v>-76.965220000000002</v>
      </c>
    </row>
    <row r="761" spans="1:6" x14ac:dyDescent="0.3">
      <c r="A761">
        <v>415504</v>
      </c>
      <c r="B761" t="str">
        <f>VLOOKUP($A761,[1]Export!$G$2:$N$2737,COLUMN(),FALSE)</f>
        <v>HANOVER PUBLIC SCHOOL DISTRICT</v>
      </c>
      <c r="C761" t="s">
        <v>814</v>
      </c>
      <c r="D761">
        <v>1430039</v>
      </c>
      <c r="E761">
        <v>39.824086000000001</v>
      </c>
      <c r="F761">
        <v>-76.968598</v>
      </c>
    </row>
    <row r="762" spans="1:6" x14ac:dyDescent="0.3">
      <c r="A762">
        <v>423942</v>
      </c>
      <c r="B762" t="str">
        <f>VLOOKUP($A762,[1]Export!$G$2:$N$2737,COLUMN(),FALSE)</f>
        <v>South Western High School</v>
      </c>
      <c r="C762" t="s">
        <v>1007</v>
      </c>
      <c r="D762">
        <v>1430039</v>
      </c>
      <c r="E762">
        <v>39.787089000000002</v>
      </c>
      <c r="F762">
        <v>-76.959456000000003</v>
      </c>
    </row>
    <row r="763" spans="1:6" x14ac:dyDescent="0.3">
      <c r="A763">
        <v>424469</v>
      </c>
      <c r="B763" t="str">
        <f>VLOOKUP($A763,[1]Export!$G$2:$N$2737,COLUMN(),FALSE)</f>
        <v>West Manheim Elementary School</v>
      </c>
      <c r="C763" t="s">
        <v>1011</v>
      </c>
      <c r="D763">
        <v>1430039</v>
      </c>
      <c r="E763">
        <v>39.760095</v>
      </c>
      <c r="F763">
        <v>-76.954802999999998</v>
      </c>
    </row>
    <row r="764" spans="1:6" x14ac:dyDescent="0.3">
      <c r="A764">
        <v>425399</v>
      </c>
      <c r="B764" t="str">
        <f>VLOOKUP($A764,[1]Export!$G$2:$N$2737,COLUMN(),FALSE)</f>
        <v>Park Hills Elementary School</v>
      </c>
      <c r="C764" t="s">
        <v>1029</v>
      </c>
      <c r="D764">
        <v>1430039</v>
      </c>
      <c r="E764">
        <v>39.789310999999998</v>
      </c>
      <c r="F764">
        <v>-76.982517000000001</v>
      </c>
    </row>
    <row r="765" spans="1:6" x14ac:dyDescent="0.3">
      <c r="A765">
        <v>460014</v>
      </c>
      <c r="B765" t="str">
        <f>VLOOKUP($A765,[1]Export!$G$2:$N$2737,COLUMN(),FALSE)</f>
        <v>Littlestown Area School Distri</v>
      </c>
      <c r="C765" t="s">
        <v>1207</v>
      </c>
      <c r="D765">
        <v>1430044</v>
      </c>
      <c r="E765">
        <v>39.750225</v>
      </c>
      <c r="F765">
        <v>-77.090033000000005</v>
      </c>
    </row>
    <row r="766" spans="1:6" x14ac:dyDescent="0.3">
      <c r="A766">
        <v>467732</v>
      </c>
      <c r="B766" t="str">
        <f>VLOOKUP($A766,[1]Export!$G$2:$N$2737,COLUMN(),FALSE)</f>
        <v>Emory H. Markle Middle School</v>
      </c>
      <c r="C766" t="s">
        <v>1271</v>
      </c>
      <c r="D766">
        <v>1430039</v>
      </c>
      <c r="E766">
        <v>39.784830999999997</v>
      </c>
      <c r="F766">
        <v>-76.962096000000003</v>
      </c>
    </row>
    <row r="767" spans="1:6" x14ac:dyDescent="0.3">
      <c r="A767">
        <v>479015</v>
      </c>
      <c r="B767" t="str">
        <f>VLOOKUP($A767,[1]Export!$G$2:$N$2737,COLUMN(),FALSE)</f>
        <v>Facilities Garage</v>
      </c>
      <c r="C767" t="s">
        <v>1343</v>
      </c>
      <c r="D767">
        <v>1430044</v>
      </c>
      <c r="E767">
        <v>39.833674000000002</v>
      </c>
      <c r="F767">
        <v>-77.237110000000001</v>
      </c>
    </row>
    <row r="768" spans="1:6" x14ac:dyDescent="0.3">
      <c r="A768">
        <v>241660</v>
      </c>
      <c r="B768" t="str">
        <f>VLOOKUP($A768,[1]Export!$G$2:$N$2737,COLUMN(),FALSE)</f>
        <v>RUTTERS FARM STORES #1</v>
      </c>
      <c r="C768" t="s">
        <v>1605</v>
      </c>
      <c r="D768">
        <v>1430040</v>
      </c>
      <c r="E768">
        <v>39.958832000000001</v>
      </c>
      <c r="F768">
        <v>-76.681518999999994</v>
      </c>
    </row>
    <row r="769" spans="1:6" x14ac:dyDescent="0.3">
      <c r="A769">
        <v>241671</v>
      </c>
      <c r="B769" t="str">
        <f>VLOOKUP($A769,[1]Export!$G$2:$N$2737,COLUMN(),FALSE)</f>
        <v>RUTTERS FARM STORES #28</v>
      </c>
      <c r="C769" t="s">
        <v>1614</v>
      </c>
      <c r="D769">
        <v>1430048</v>
      </c>
      <c r="E769">
        <v>39.90607</v>
      </c>
      <c r="F769">
        <v>-76.611468000000002</v>
      </c>
    </row>
    <row r="770" spans="1:6" x14ac:dyDescent="0.3">
      <c r="A770">
        <v>241680</v>
      </c>
      <c r="B770" t="str">
        <f>VLOOKUP($A770,[1]Export!$G$2:$N$2737,COLUMN(),FALSE)</f>
        <v>RUTTERS FARM STORES #39</v>
      </c>
      <c r="C770" t="s">
        <v>1619</v>
      </c>
      <c r="D770">
        <v>1430048</v>
      </c>
      <c r="E770">
        <v>39.913159999999998</v>
      </c>
      <c r="F770">
        <v>-76.589359999999999</v>
      </c>
    </row>
    <row r="771" spans="1:6" x14ac:dyDescent="0.3">
      <c r="A771">
        <v>241701</v>
      </c>
      <c r="B771" t="str">
        <f>VLOOKUP($A771,[1]Export!$G$2:$N$2737,COLUMN(),FALSE)</f>
        <v>RUTTERS FARM STORES #9</v>
      </c>
      <c r="C771" t="s">
        <v>1632</v>
      </c>
      <c r="D771">
        <v>1430048</v>
      </c>
      <c r="E771">
        <v>39.902028000000001</v>
      </c>
      <c r="F771">
        <v>-76.580331000000001</v>
      </c>
    </row>
    <row r="772" spans="1:6" x14ac:dyDescent="0.3">
      <c r="A772">
        <v>242001</v>
      </c>
      <c r="B772" t="str">
        <f>VLOOKUP($A772,[1]Export!$G$2:$N$2737,COLUMN(),FALSE)</f>
        <v>YORK SUBURBAN SCHOOL DISTRICT</v>
      </c>
      <c r="C772" t="s">
        <v>319</v>
      </c>
      <c r="D772">
        <v>1430040</v>
      </c>
      <c r="E772">
        <v>39.947811000000002</v>
      </c>
      <c r="F772">
        <v>-76.694263000000007</v>
      </c>
    </row>
    <row r="773" spans="1:6" x14ac:dyDescent="0.3">
      <c r="A773">
        <v>270040</v>
      </c>
      <c r="B773" t="str">
        <f>VLOOKUP($A773,[1]Export!$G$2:$N$2737,COLUMN(),FALSE)</f>
        <v>RUTTERS FARM STORES #11</v>
      </c>
      <c r="C773" t="s">
        <v>1660</v>
      </c>
      <c r="D773">
        <v>1430046</v>
      </c>
      <c r="E773">
        <v>39.976990000000001</v>
      </c>
      <c r="F773">
        <v>-76.695269999999994</v>
      </c>
    </row>
    <row r="774" spans="1:6" x14ac:dyDescent="0.3">
      <c r="A774">
        <v>270587</v>
      </c>
      <c r="B774" t="str">
        <f>VLOOKUP($A774,[1]Export!$G$2:$N$2737,COLUMN(),FALSE)</f>
        <v>RUTTERS FARM STORES #3</v>
      </c>
      <c r="C774" t="s">
        <v>1661</v>
      </c>
      <c r="D774">
        <v>1430048</v>
      </c>
      <c r="E774">
        <v>39.945349999999998</v>
      </c>
      <c r="F774">
        <v>-76.647480999999999</v>
      </c>
    </row>
    <row r="775" spans="1:6" x14ac:dyDescent="0.3">
      <c r="A775">
        <v>345514</v>
      </c>
      <c r="B775" t="str">
        <f>VLOOKUP($A775,[1]Export!$G$2:$N$2737,COLUMN(),FALSE)</f>
        <v>LSC Communications LLC Brands</v>
      </c>
      <c r="C775" t="s">
        <v>783</v>
      </c>
      <c r="D775">
        <v>1430048</v>
      </c>
      <c r="E775">
        <v>39.95872</v>
      </c>
      <c r="F775">
        <v>-76.65155</v>
      </c>
    </row>
    <row r="776" spans="1:6" x14ac:dyDescent="0.3">
      <c r="A776">
        <v>345514</v>
      </c>
      <c r="B776" t="str">
        <f>VLOOKUP($A776,[1]Export!$G$2:$N$2737,COLUMN(),FALSE)</f>
        <v>LSC Communications LLC Brands</v>
      </c>
      <c r="C776" t="s">
        <v>783</v>
      </c>
      <c r="D776">
        <v>1430048</v>
      </c>
      <c r="E776">
        <v>39.95872</v>
      </c>
      <c r="F776">
        <v>-76.65155</v>
      </c>
    </row>
    <row r="777" spans="1:6" x14ac:dyDescent="0.3">
      <c r="A777">
        <v>415454</v>
      </c>
      <c r="B777" t="str">
        <f>VLOOKUP($A777,[1]Export!$G$2:$N$2737,COLUMN(),FALSE)</f>
        <v>END OF THE RAINBOW</v>
      </c>
      <c r="C777" t="s">
        <v>812</v>
      </c>
      <c r="D777">
        <v>1430048</v>
      </c>
      <c r="E777">
        <v>39.924272000000002</v>
      </c>
      <c r="F777">
        <v>-76.632469999999998</v>
      </c>
    </row>
    <row r="778" spans="1:6" x14ac:dyDescent="0.3">
      <c r="A778">
        <v>415848</v>
      </c>
      <c r="B778" t="str">
        <f>VLOOKUP($A778,[1]Export!$G$2:$N$2737,COLUMN(),FALSE)</f>
        <v>WEST YORK SCHOOL WAREHOUSE</v>
      </c>
      <c r="C778" t="s">
        <v>828</v>
      </c>
      <c r="D778">
        <v>1430040</v>
      </c>
      <c r="E778">
        <v>39.959600000000002</v>
      </c>
      <c r="F778">
        <v>-76.740080000000006</v>
      </c>
    </row>
    <row r="779" spans="1:6" x14ac:dyDescent="0.3">
      <c r="A779">
        <v>429484</v>
      </c>
      <c r="B779" t="str">
        <f>VLOOKUP($A779,[1]Export!$G$2:$N$2737,COLUMN(),FALSE)</f>
        <v>William Penn High School</v>
      </c>
      <c r="C779" t="s">
        <v>1041</v>
      </c>
      <c r="D779">
        <v>1430040</v>
      </c>
      <c r="E779">
        <v>39.957614999999997</v>
      </c>
      <c r="F779">
        <v>-76.729228000000006</v>
      </c>
    </row>
    <row r="780" spans="1:6" x14ac:dyDescent="0.3">
      <c r="A780">
        <v>435642</v>
      </c>
      <c r="B780" t="str">
        <f>VLOOKUP($A780,[1]Export!$G$2:$N$2737,COLUMN(),FALSE)</f>
        <v>CITY OF YORK - ROOSELVELT WHSE</v>
      </c>
      <c r="C780" t="s">
        <v>1723</v>
      </c>
      <c r="D780">
        <v>1430046</v>
      </c>
      <c r="E780">
        <v>39.973616</v>
      </c>
      <c r="F780">
        <v>-76.708670999999995</v>
      </c>
    </row>
    <row r="781" spans="1:6" x14ac:dyDescent="0.3">
      <c r="A781">
        <v>466115</v>
      </c>
      <c r="B781" t="str">
        <f>VLOOKUP($A781,[1]Export!$G$2:$N$2737,COLUMN(),FALSE)</f>
        <v>EAST YORK ELEMENTARY</v>
      </c>
      <c r="C781" t="s">
        <v>1256</v>
      </c>
      <c r="D781">
        <v>1430040</v>
      </c>
      <c r="E781">
        <v>39.964401000000002</v>
      </c>
      <c r="F781">
        <v>-76.678921000000003</v>
      </c>
    </row>
    <row r="782" spans="1:6" x14ac:dyDescent="0.3">
      <c r="A782">
        <v>467002</v>
      </c>
      <c r="B782" t="str">
        <f>VLOOKUP($A782,[1]Export!$G$2:$N$2737,COLUMN(),FALSE)</f>
        <v>VALLEY VIEW ELEMENTARY</v>
      </c>
      <c r="C782" t="s">
        <v>1258</v>
      </c>
      <c r="D782">
        <v>1430040</v>
      </c>
      <c r="E782">
        <v>39.948121999999998</v>
      </c>
      <c r="F782">
        <v>-76.695294000000004</v>
      </c>
    </row>
    <row r="783" spans="1:6" x14ac:dyDescent="0.3">
      <c r="A783">
        <v>467004</v>
      </c>
      <c r="B783" t="str">
        <f>VLOOKUP($A783,[1]Export!$G$2:$N$2737,COLUMN(),FALSE)</f>
        <v>YORK SUBURBAN MIDDLE SCHOOL</v>
      </c>
      <c r="C783" t="s">
        <v>1260</v>
      </c>
      <c r="D783">
        <v>1430048</v>
      </c>
      <c r="E783">
        <v>39.967340999999998</v>
      </c>
      <c r="F783">
        <v>-76.672015000000002</v>
      </c>
    </row>
    <row r="784" spans="1:6" x14ac:dyDescent="0.3">
      <c r="A784">
        <v>467025</v>
      </c>
      <c r="B784" t="str">
        <f>VLOOKUP($A784,[1]Export!$G$2:$N$2737,COLUMN(),FALSE)</f>
        <v>YORK SUBURBAN HIGH SCHOOL</v>
      </c>
      <c r="C784" t="s">
        <v>319</v>
      </c>
      <c r="D784">
        <v>1430040</v>
      </c>
      <c r="E784">
        <v>39.947811000000002</v>
      </c>
      <c r="F784">
        <v>-76.694263000000007</v>
      </c>
    </row>
    <row r="785" spans="1:6" x14ac:dyDescent="0.3">
      <c r="A785">
        <v>473044</v>
      </c>
      <c r="B785" t="str">
        <f>VLOOKUP($A785,[1]Export!$G$2:$N$2737,COLUMN(),FALSE)</f>
        <v>YORK HOSPITAL RECEIVING DOCK</v>
      </c>
      <c r="C785" t="s">
        <v>1744</v>
      </c>
      <c r="D785">
        <v>1430047</v>
      </c>
      <c r="E785">
        <v>39.946672999999997</v>
      </c>
      <c r="F785">
        <v>-76.719453999999999</v>
      </c>
    </row>
    <row r="786" spans="1:6" x14ac:dyDescent="0.3">
      <c r="A786">
        <v>240035</v>
      </c>
      <c r="B786" t="str">
        <f>VLOOKUP($A786,[1]Export!$G$2:$N$2737,COLUMN(),FALSE)</f>
        <v>FAIRFIELD AREA SCHOOL DISTRICT</v>
      </c>
      <c r="C786" t="s">
        <v>1588</v>
      </c>
      <c r="D786">
        <v>1430044</v>
      </c>
      <c r="E786">
        <v>39.781998000000002</v>
      </c>
      <c r="F786">
        <v>-77.375039000000001</v>
      </c>
    </row>
    <row r="787" spans="1:6" x14ac:dyDescent="0.3">
      <c r="A787">
        <v>240272</v>
      </c>
      <c r="B787" t="str">
        <f>VLOOKUP($A787,[1]Export!$G$2:$N$2737,COLUMN(),FALSE)</f>
        <v>GREENCASTLE ANTRIM SCHOOL DIST</v>
      </c>
      <c r="C787" t="s">
        <v>227</v>
      </c>
      <c r="D787">
        <v>1430044</v>
      </c>
      <c r="E787">
        <v>39.780793000000003</v>
      </c>
      <c r="F787">
        <v>-77.720669000000001</v>
      </c>
    </row>
    <row r="788" spans="1:6" x14ac:dyDescent="0.3">
      <c r="A788">
        <v>241654</v>
      </c>
      <c r="B788" t="str">
        <f>VLOOKUP($A788,[1]Export!$G$2:$N$2737,COLUMN(),FALSE)</f>
        <v>RUTTERS FARM STORE #17</v>
      </c>
      <c r="C788" t="s">
        <v>1599</v>
      </c>
      <c r="D788">
        <v>1430044</v>
      </c>
      <c r="E788">
        <v>39.938276000000002</v>
      </c>
      <c r="F788">
        <v>-77.061797999999996</v>
      </c>
    </row>
    <row r="789" spans="1:6" x14ac:dyDescent="0.3">
      <c r="A789">
        <v>241697</v>
      </c>
      <c r="B789" t="str">
        <f>VLOOKUP($A789,[1]Export!$G$2:$N$2737,COLUMN(),FALSE)</f>
        <v>RUTTERS FARM STORES #74</v>
      </c>
      <c r="C789" t="s">
        <v>1629</v>
      </c>
      <c r="D789">
        <v>1430044</v>
      </c>
      <c r="E789">
        <v>39.910027999999997</v>
      </c>
      <c r="F789">
        <v>-77.560140000000004</v>
      </c>
    </row>
    <row r="790" spans="1:6" x14ac:dyDescent="0.3">
      <c r="A790">
        <v>241699</v>
      </c>
      <c r="B790" t="str">
        <f>VLOOKUP($A790,[1]Export!$G$2:$N$2737,COLUMN(),FALSE)</f>
        <v>RUTTERS FARM STORES #78</v>
      </c>
      <c r="C790" t="s">
        <v>1630</v>
      </c>
      <c r="D790">
        <v>1430044</v>
      </c>
      <c r="E790">
        <v>39.820675999999999</v>
      </c>
      <c r="F790">
        <v>-77.571378999999993</v>
      </c>
    </row>
    <row r="791" spans="1:6" x14ac:dyDescent="0.3">
      <c r="A791">
        <v>247490</v>
      </c>
      <c r="B791" t="str">
        <f>VLOOKUP($A791,[1]Export!$G$2:$N$2737,COLUMN(),FALSE)</f>
        <v>RUTTERS FARM STORE #63</v>
      </c>
      <c r="C791" t="s">
        <v>1651</v>
      </c>
      <c r="D791">
        <v>1430044</v>
      </c>
      <c r="E791">
        <v>39.753878999999998</v>
      </c>
      <c r="F791">
        <v>-77.582014000000001</v>
      </c>
    </row>
    <row r="792" spans="1:6" x14ac:dyDescent="0.3">
      <c r="A792">
        <v>256146</v>
      </c>
      <c r="B792" t="str">
        <f>VLOOKUP($A792,[1]Export!$G$2:$N$2737,COLUMN(),FALSE)</f>
        <v>RUTTERS FARM STORES #31</v>
      </c>
      <c r="C792" t="s">
        <v>1655</v>
      </c>
      <c r="D792">
        <v>1430044</v>
      </c>
      <c r="E792">
        <v>40.058497000000003</v>
      </c>
      <c r="F792">
        <v>-77.496514000000005</v>
      </c>
    </row>
    <row r="793" spans="1:6" x14ac:dyDescent="0.3">
      <c r="A793">
        <v>272563</v>
      </c>
      <c r="B793" t="str">
        <f>VLOOKUP($A793,[1]Export!$G$2:$N$2737,COLUMN(),FALSE)</f>
        <v>RUTTERS FARM STORES #65</v>
      </c>
      <c r="C793" t="s">
        <v>1663</v>
      </c>
      <c r="D793">
        <v>1430044</v>
      </c>
      <c r="E793">
        <v>39.913693000000002</v>
      </c>
      <c r="F793">
        <v>-77.669263000000001</v>
      </c>
    </row>
    <row r="794" spans="1:6" x14ac:dyDescent="0.3">
      <c r="A794">
        <v>286684</v>
      </c>
      <c r="B794" t="str">
        <f>VLOOKUP($A794,[1]Export!$G$2:$N$2737,COLUMN(),FALSE)</f>
        <v>RUTTERS FARM STORE #5</v>
      </c>
      <c r="C794" t="s">
        <v>1669</v>
      </c>
      <c r="D794">
        <v>1430044</v>
      </c>
      <c r="E794">
        <v>39.906922999999999</v>
      </c>
      <c r="F794">
        <v>-77.520538000000002</v>
      </c>
    </row>
    <row r="795" spans="1:6" x14ac:dyDescent="0.3">
      <c r="A795">
        <v>309493</v>
      </c>
      <c r="B795" t="str">
        <f>VLOOKUP($A795,[1]Export!$G$2:$N$2737,COLUMN(),FALSE)</f>
        <v>RUTTERS FARM STORES #36</v>
      </c>
      <c r="C795" t="s">
        <v>1685</v>
      </c>
      <c r="D795">
        <v>1430044</v>
      </c>
      <c r="E795">
        <v>39.949582999999997</v>
      </c>
      <c r="F795">
        <v>-77.136792</v>
      </c>
    </row>
    <row r="796" spans="1:6" x14ac:dyDescent="0.3">
      <c r="A796">
        <v>312571</v>
      </c>
      <c r="B796" t="str">
        <f>VLOOKUP($A796,[1]Export!$G$2:$N$2737,COLUMN(),FALSE)</f>
        <v>RUTTERS FARM STORES #67</v>
      </c>
      <c r="C796" t="s">
        <v>1689</v>
      </c>
      <c r="D796">
        <v>1430044</v>
      </c>
      <c r="E796">
        <v>39.835990000000002</v>
      </c>
      <c r="F796">
        <v>-77.904717000000005</v>
      </c>
    </row>
    <row r="797" spans="1:6" x14ac:dyDescent="0.3">
      <c r="A797">
        <v>319219</v>
      </c>
      <c r="B797" t="str">
        <f>VLOOKUP($A797,[1]Export!$G$2:$N$2737,COLUMN(),FALSE)</f>
        <v>RUTTERS FARM STORES #72</v>
      </c>
      <c r="C797" t="s">
        <v>1694</v>
      </c>
      <c r="D797">
        <v>1430044</v>
      </c>
      <c r="E797">
        <v>39.925699999999999</v>
      </c>
      <c r="F797">
        <v>-77.746211000000002</v>
      </c>
    </row>
    <row r="798" spans="1:6" x14ac:dyDescent="0.3">
      <c r="A798">
        <v>319928</v>
      </c>
      <c r="B798" t="str">
        <f>VLOOKUP($A798,[1]Export!$G$2:$N$2737,COLUMN(),FALSE)</f>
        <v>YB WELDING INC</v>
      </c>
      <c r="C798" t="s">
        <v>686</v>
      </c>
      <c r="D798">
        <v>1430044</v>
      </c>
      <c r="E798">
        <v>39.920952</v>
      </c>
      <c r="F798">
        <v>-77.667518999999999</v>
      </c>
    </row>
    <row r="799" spans="1:6" x14ac:dyDescent="0.3">
      <c r="A799">
        <v>434902</v>
      </c>
      <c r="B799" t="str">
        <f>VLOOKUP($A799,[1]Export!$G$2:$N$2737,COLUMN(),FALSE)</f>
        <v>GREENCASTLE HIGH SCHOOL</v>
      </c>
      <c r="C799" t="s">
        <v>1722</v>
      </c>
      <c r="D799">
        <v>1430044</v>
      </c>
      <c r="E799">
        <v>39.784267</v>
      </c>
      <c r="F799">
        <v>-77.723552999999995</v>
      </c>
    </row>
    <row r="800" spans="1:6" x14ac:dyDescent="0.3">
      <c r="A800">
        <v>453081</v>
      </c>
      <c r="B800" t="str">
        <f>VLOOKUP($A800,[1]Export!$G$2:$N$2737,COLUMN(),FALSE)</f>
        <v>FAIRVIEW ELEMENTARY SCHOOL</v>
      </c>
      <c r="C800" t="s">
        <v>1172</v>
      </c>
      <c r="D800">
        <v>1430044</v>
      </c>
      <c r="E800">
        <v>39.756141</v>
      </c>
      <c r="F800">
        <v>-77.590289999999996</v>
      </c>
    </row>
    <row r="801" spans="1:6" x14ac:dyDescent="0.3">
      <c r="A801">
        <v>453081</v>
      </c>
      <c r="B801" t="str">
        <f>VLOOKUP($A801,[1]Export!$G$2:$N$2737,COLUMN(),FALSE)</f>
        <v>FAIRVIEW ELEMENTARY SCHOOL</v>
      </c>
      <c r="C801" t="s">
        <v>1172</v>
      </c>
      <c r="D801">
        <v>1430044</v>
      </c>
      <c r="E801">
        <v>39.756141</v>
      </c>
      <c r="F801">
        <v>-77.590289999999996</v>
      </c>
    </row>
    <row r="802" spans="1:6" x14ac:dyDescent="0.3">
      <c r="A802">
        <v>468100</v>
      </c>
      <c r="B802" t="str">
        <f>VLOOKUP($A802,[1]Export!$G$2:$N$2737,COLUMN(),FALSE)</f>
        <v>CHAMBERSBURG AREA SCHOOL DISTR</v>
      </c>
      <c r="C802" t="s">
        <v>1277</v>
      </c>
      <c r="D802">
        <v>1430044</v>
      </c>
      <c r="E802">
        <v>39.925595000000001</v>
      </c>
      <c r="F802">
        <v>-77.652209999999997</v>
      </c>
    </row>
    <row r="803" spans="1:6" x14ac:dyDescent="0.3">
      <c r="A803">
        <v>475017</v>
      </c>
      <c r="B803" t="str">
        <f>VLOOKUP($A803,[1]Export!$G$2:$N$2737,COLUMN(),FALSE)</f>
        <v>CHAMBERSBURG HOSPITAL</v>
      </c>
      <c r="C803" t="s">
        <v>1341</v>
      </c>
      <c r="D803">
        <v>1430044</v>
      </c>
      <c r="E803">
        <v>39.93403</v>
      </c>
      <c r="F803">
        <v>-77.646445999999997</v>
      </c>
    </row>
    <row r="804" spans="1:6" x14ac:dyDescent="0.3">
      <c r="A804">
        <v>239516</v>
      </c>
      <c r="B804" t="str">
        <f>VLOOKUP($A804,[1]Export!$G$2:$N$2737,COLUMN(),FALSE)</f>
        <v>CENTRAL DAUPHIN SCHOOL#</v>
      </c>
      <c r="C804" t="s">
        <v>1581</v>
      </c>
      <c r="D804">
        <v>1430045</v>
      </c>
      <c r="E804">
        <v>40.282400000000003</v>
      </c>
      <c r="F804">
        <v>-76.798143999999994</v>
      </c>
    </row>
    <row r="805" spans="1:6" x14ac:dyDescent="0.3">
      <c r="A805">
        <v>239966</v>
      </c>
      <c r="B805" t="str">
        <f>VLOOKUP($A805,[1]Export!$G$2:$N$2737,COLUMN(),FALSE)</f>
        <v>ELIZABETHTOWN BRETHREN IN CHRI</v>
      </c>
      <c r="C805" t="s">
        <v>201</v>
      </c>
      <c r="D805">
        <v>1430045</v>
      </c>
      <c r="E805">
        <v>40.161842</v>
      </c>
      <c r="F805">
        <v>-76.581665000000001</v>
      </c>
    </row>
    <row r="806" spans="1:6" x14ac:dyDescent="0.3">
      <c r="A806">
        <v>239970</v>
      </c>
      <c r="B806" t="str">
        <f>VLOOKUP($A806,[1]Export!$G$2:$N$2737,COLUMN(),FALSE)</f>
        <v>Elizabethtown College *V*</v>
      </c>
      <c r="C806" t="s">
        <v>1587</v>
      </c>
      <c r="D806">
        <v>1430045</v>
      </c>
      <c r="E806">
        <v>40.14922</v>
      </c>
      <c r="F806">
        <v>-76.593249999999998</v>
      </c>
    </row>
    <row r="807" spans="1:6" x14ac:dyDescent="0.3">
      <c r="A807">
        <v>240170</v>
      </c>
      <c r="B807" t="str">
        <f>VLOOKUP($A807,[1]Export!$G$2:$N$2737,COLUMN(),FALSE)</f>
        <v>GARROD HYDRAULICS#</v>
      </c>
      <c r="C807" t="s">
        <v>219</v>
      </c>
      <c r="D807">
        <v>1430045</v>
      </c>
      <c r="E807">
        <v>40.062598999999999</v>
      </c>
      <c r="F807">
        <v>-76.747210999999993</v>
      </c>
    </row>
    <row r="808" spans="1:6" x14ac:dyDescent="0.3">
      <c r="A808">
        <v>240464</v>
      </c>
      <c r="B808" t="str">
        <f>VLOOKUP($A808,[1]Export!$G$2:$N$2737,COLUMN(),FALSE)</f>
        <v>HY LINE NORTH AMERICAN LLC</v>
      </c>
      <c r="C808" t="s">
        <v>237</v>
      </c>
      <c r="D808">
        <v>1430045</v>
      </c>
      <c r="E808">
        <v>40.163789999999999</v>
      </c>
      <c r="F808">
        <v>-76.649079999999998</v>
      </c>
    </row>
    <row r="809" spans="1:6" x14ac:dyDescent="0.3">
      <c r="A809">
        <v>240929</v>
      </c>
      <c r="B809" t="str">
        <f>VLOOKUP($A809,[1]Export!$G$2:$N$2737,COLUMN(),FALSE)</f>
        <v>LONGENECKERS HATCHERY INC</v>
      </c>
      <c r="C809" t="s">
        <v>269</v>
      </c>
      <c r="D809">
        <v>1430045</v>
      </c>
      <c r="E809">
        <v>40.141185</v>
      </c>
      <c r="F809">
        <v>-76.593603000000002</v>
      </c>
    </row>
    <row r="810" spans="1:6" x14ac:dyDescent="0.3">
      <c r="A810">
        <v>241278</v>
      </c>
      <c r="B810" t="str">
        <f>VLOOKUP($A810,[1]Export!$G$2:$N$2737,COLUMN(),FALSE)</f>
        <v>NORTHERN YORK SCHOOL DIST</v>
      </c>
      <c r="C810" t="s">
        <v>1593</v>
      </c>
      <c r="D810">
        <v>1430045</v>
      </c>
      <c r="E810">
        <v>40.096220000000002</v>
      </c>
      <c r="F810">
        <v>-77.033415000000005</v>
      </c>
    </row>
    <row r="811" spans="1:6" x14ac:dyDescent="0.3">
      <c r="A811">
        <v>241282</v>
      </c>
      <c r="B811" t="str">
        <f>VLOOKUP($A811,[1]Export!$G$2:$N$2737,COLUMN(),FALSE)</f>
        <v>MUNICIPAL EMERG SERVICE AUTHOR</v>
      </c>
      <c r="C811" t="s">
        <v>285</v>
      </c>
      <c r="D811">
        <v>1430045</v>
      </c>
      <c r="E811">
        <v>40.14443</v>
      </c>
      <c r="F811">
        <v>-76.608362999999997</v>
      </c>
    </row>
    <row r="812" spans="1:6" x14ac:dyDescent="0.3">
      <c r="A812">
        <v>241653</v>
      </c>
      <c r="B812" t="str">
        <f>VLOOKUP($A812,[1]Export!$G$2:$N$2737,COLUMN(),FALSE)</f>
        <v>RUTTERS FARM STORE #14</v>
      </c>
      <c r="C812" t="s">
        <v>1598</v>
      </c>
      <c r="D812">
        <v>1430045</v>
      </c>
      <c r="E812">
        <v>40.132022999999997</v>
      </c>
      <c r="F812">
        <v>-77.019881999999996</v>
      </c>
    </row>
    <row r="813" spans="1:6" x14ac:dyDescent="0.3">
      <c r="A813">
        <v>241658</v>
      </c>
      <c r="B813" t="str">
        <f>VLOOKUP($A813,[1]Export!$G$2:$N$2737,COLUMN(),FALSE)</f>
        <v>RUTTERS FARM STORE #53</v>
      </c>
      <c r="C813" t="s">
        <v>1603</v>
      </c>
      <c r="D813">
        <v>1430045</v>
      </c>
      <c r="E813">
        <v>40.130920000000003</v>
      </c>
      <c r="F813">
        <v>-76.794799999999995</v>
      </c>
    </row>
    <row r="814" spans="1:6" x14ac:dyDescent="0.3">
      <c r="A814">
        <v>241666</v>
      </c>
      <c r="B814" t="str">
        <f>VLOOKUP($A814,[1]Export!$G$2:$N$2737,COLUMN(),FALSE)</f>
        <v>RUTTERS FARM STORES #21</v>
      </c>
      <c r="C814" t="s">
        <v>1610</v>
      </c>
      <c r="D814">
        <v>1430045</v>
      </c>
      <c r="E814">
        <v>40.059216999999997</v>
      </c>
      <c r="F814">
        <v>-76.720733999999993</v>
      </c>
    </row>
    <row r="815" spans="1:6" x14ac:dyDescent="0.3">
      <c r="A815">
        <v>241677</v>
      </c>
      <c r="B815" t="str">
        <f>VLOOKUP($A815,[1]Export!$G$2:$N$2737,COLUMN(),FALSE)</f>
        <v>RUTTERS FARM STORES #35</v>
      </c>
      <c r="C815" t="s">
        <v>1617</v>
      </c>
      <c r="D815">
        <v>1430045</v>
      </c>
      <c r="E815">
        <v>40.153672999999998</v>
      </c>
      <c r="F815">
        <v>-76.816708000000006</v>
      </c>
    </row>
    <row r="816" spans="1:6" x14ac:dyDescent="0.3">
      <c r="A816">
        <v>241692</v>
      </c>
      <c r="B816" t="str">
        <f>VLOOKUP($A816,[1]Export!$G$2:$N$2737,COLUMN(),FALSE)</f>
        <v>RUTTERS FARM STORES #54</v>
      </c>
      <c r="C816" t="s">
        <v>1625</v>
      </c>
      <c r="D816">
        <v>1430045</v>
      </c>
      <c r="E816">
        <v>40.081018</v>
      </c>
      <c r="F816">
        <v>-76.765576999999993</v>
      </c>
    </row>
    <row r="817" spans="1:6" x14ac:dyDescent="0.3">
      <c r="A817">
        <v>241973</v>
      </c>
      <c r="B817" t="str">
        <f>VLOOKUP($A817,[1]Export!$G$2:$N$2737,COLUMN(),FALSE)</f>
        <v>STEPHENSON EQUIPMENT#</v>
      </c>
      <c r="C817" t="s">
        <v>1633</v>
      </c>
      <c r="D817">
        <v>1430045</v>
      </c>
      <c r="E817">
        <v>40.259709999999998</v>
      </c>
      <c r="F817">
        <v>-76.767505</v>
      </c>
    </row>
    <row r="818" spans="1:6" x14ac:dyDescent="0.3">
      <c r="A818">
        <v>242371</v>
      </c>
      <c r="B818" t="str">
        <f>VLOOKUP($A818,[1]Export!$G$2:$N$2737,COLUMN(),FALSE)</f>
        <v>West Shore Evangelical Free Ch</v>
      </c>
      <c r="C818" t="s">
        <v>325</v>
      </c>
      <c r="D818">
        <v>1430045</v>
      </c>
      <c r="E818">
        <v>40.169888</v>
      </c>
      <c r="F818">
        <v>-77.022773999999998</v>
      </c>
    </row>
    <row r="819" spans="1:6" x14ac:dyDescent="0.3">
      <c r="A819">
        <v>242373</v>
      </c>
      <c r="B819" t="str">
        <f>VLOOKUP($A819,[1]Export!$G$2:$N$2737,COLUMN(),FALSE)</f>
        <v>WEST SHORE SCHOOL DISTRICT</v>
      </c>
      <c r="C819" t="s">
        <v>327</v>
      </c>
      <c r="D819">
        <v>1430045</v>
      </c>
      <c r="E819">
        <v>40.181465000000003</v>
      </c>
      <c r="F819">
        <v>-76.841682000000006</v>
      </c>
    </row>
    <row r="820" spans="1:6" x14ac:dyDescent="0.3">
      <c r="A820">
        <v>242391</v>
      </c>
      <c r="B820" t="str">
        <f>VLOOKUP($A820,[1]Export!$G$2:$N$2737,COLUMN(),FALSE)</f>
        <v>WHITE OAK MILLS#</v>
      </c>
      <c r="C820" t="s">
        <v>329</v>
      </c>
      <c r="D820">
        <v>1430045</v>
      </c>
      <c r="E820">
        <v>40.151308999999998</v>
      </c>
      <c r="F820">
        <v>-76.613938000000005</v>
      </c>
    </row>
    <row r="821" spans="1:6" x14ac:dyDescent="0.3">
      <c r="A821">
        <v>242720</v>
      </c>
      <c r="B821" t="str">
        <f>VLOOKUP($A821,[1]Export!$G$2:$N$2737,COLUMN(),FALSE)</f>
        <v>DAYBREAK CHURCH#</v>
      </c>
      <c r="C821" t="s">
        <v>341</v>
      </c>
      <c r="D821">
        <v>1430045</v>
      </c>
      <c r="E821">
        <v>40.176848999999997</v>
      </c>
      <c r="F821">
        <v>-76.990376999999995</v>
      </c>
    </row>
    <row r="822" spans="1:6" x14ac:dyDescent="0.3">
      <c r="A822">
        <v>270588</v>
      </c>
      <c r="B822" t="str">
        <f>VLOOKUP($A822,[1]Export!$G$2:$N$2737,COLUMN(),FALSE)</f>
        <v>RUTTERS FARM STORES #27</v>
      </c>
      <c r="C822" t="s">
        <v>1662</v>
      </c>
      <c r="D822">
        <v>1430045</v>
      </c>
      <c r="E822">
        <v>40.268500000000003</v>
      </c>
      <c r="F822">
        <v>-76.747900000000001</v>
      </c>
    </row>
    <row r="823" spans="1:6" x14ac:dyDescent="0.3">
      <c r="A823">
        <v>272562</v>
      </c>
      <c r="B823" t="str">
        <f>VLOOKUP($A823,[1]Export!$G$2:$N$2737,COLUMN(),FALSE)</f>
        <v>RUTTERS FARM STORES #64</v>
      </c>
      <c r="C823" t="s">
        <v>506</v>
      </c>
      <c r="D823">
        <v>1430045</v>
      </c>
      <c r="E823">
        <v>40.227364999999999</v>
      </c>
      <c r="F823">
        <v>-77.153627999999998</v>
      </c>
    </row>
    <row r="824" spans="1:6" x14ac:dyDescent="0.3">
      <c r="A824">
        <v>273310</v>
      </c>
      <c r="B824" t="str">
        <f>VLOOKUP($A824,[1]Export!$G$2:$N$2737,COLUMN(),FALSE)</f>
        <v>RUTTERS FARM STORES #56</v>
      </c>
      <c r="C824" t="s">
        <v>514</v>
      </c>
      <c r="D824">
        <v>1430045</v>
      </c>
      <c r="E824">
        <v>40.206986000000001</v>
      </c>
      <c r="F824">
        <v>-76.874409999999997</v>
      </c>
    </row>
    <row r="825" spans="1:6" x14ac:dyDescent="0.3">
      <c r="A825">
        <v>273937</v>
      </c>
      <c r="B825" t="str">
        <f>VLOOKUP($A825,[1]Export!$G$2:$N$2737,COLUMN(),FALSE)</f>
        <v>ST THERESA SCHOOL</v>
      </c>
      <c r="C825" t="s">
        <v>516</v>
      </c>
      <c r="D825">
        <v>1430045</v>
      </c>
      <c r="E825">
        <v>40.232663000000002</v>
      </c>
      <c r="F825">
        <v>-76.874761000000007</v>
      </c>
    </row>
    <row r="826" spans="1:6" x14ac:dyDescent="0.3">
      <c r="A826">
        <v>284027</v>
      </c>
      <c r="B826" t="str">
        <f>VLOOKUP($A826,[1]Export!$G$2:$N$2737,COLUMN(),FALSE)</f>
        <v>RUTTERS FARM STORES #66</v>
      </c>
      <c r="C826" t="s">
        <v>1668</v>
      </c>
      <c r="D826">
        <v>1430045</v>
      </c>
      <c r="E826">
        <v>40.16198</v>
      </c>
      <c r="F826">
        <v>-77.097669999999994</v>
      </c>
    </row>
    <row r="827" spans="1:6" x14ac:dyDescent="0.3">
      <c r="A827">
        <v>296306</v>
      </c>
      <c r="B827" t="str">
        <f>VLOOKUP($A827,[1]Export!$G$2:$N$2737,COLUMN(),FALSE)</f>
        <v>HAMILTON HEALTH CENTER INC#</v>
      </c>
      <c r="C827" t="s">
        <v>1674</v>
      </c>
      <c r="D827">
        <v>1430045</v>
      </c>
      <c r="E827">
        <v>40.265461999999999</v>
      </c>
      <c r="F827">
        <v>-76.864806000000002</v>
      </c>
    </row>
    <row r="828" spans="1:6" x14ac:dyDescent="0.3">
      <c r="A828">
        <v>303136</v>
      </c>
      <c r="B828" t="str">
        <f>VLOOKUP($A828,[1]Export!$G$2:$N$2737,COLUMN(),FALSE)</f>
        <v>RUTTERS FARM STORES #29</v>
      </c>
      <c r="C828" t="s">
        <v>1679</v>
      </c>
      <c r="D828">
        <v>1430045</v>
      </c>
      <c r="E828">
        <v>40.209415999999997</v>
      </c>
      <c r="F828">
        <v>-77.022873000000004</v>
      </c>
    </row>
    <row r="829" spans="1:6" x14ac:dyDescent="0.3">
      <c r="A829">
        <v>304710</v>
      </c>
      <c r="B829" t="str">
        <f>VLOOKUP($A829,[1]Export!$G$2:$N$2737,COLUMN(),FALSE)</f>
        <v>RUTTERS FARM STORES #20</v>
      </c>
      <c r="C829" t="s">
        <v>1680</v>
      </c>
      <c r="D829">
        <v>1430045</v>
      </c>
      <c r="E829">
        <v>40.223056</v>
      </c>
      <c r="F829">
        <v>-76.717827</v>
      </c>
    </row>
    <row r="830" spans="1:6" x14ac:dyDescent="0.3">
      <c r="A830">
        <v>306550</v>
      </c>
      <c r="B830" t="str">
        <f>VLOOKUP($A830,[1]Export!$G$2:$N$2737,COLUMN(),FALSE)</f>
        <v>ENGEL MACHINERY INC#</v>
      </c>
      <c r="C830" t="s">
        <v>638</v>
      </c>
      <c r="D830">
        <v>1430045</v>
      </c>
      <c r="E830">
        <v>40.037199999999999</v>
      </c>
      <c r="F830">
        <v>-76.739626000000001</v>
      </c>
    </row>
    <row r="831" spans="1:6" x14ac:dyDescent="0.3">
      <c r="A831">
        <v>321198</v>
      </c>
      <c r="B831" t="str">
        <f>VLOOKUP($A831,[1]Export!$G$2:$N$2737,COLUMN(),FALSE)</f>
        <v>Paramount SR Living at Maytown</v>
      </c>
      <c r="C831" t="s">
        <v>694</v>
      </c>
      <c r="D831">
        <v>1430016</v>
      </c>
      <c r="E831">
        <v>40.079864000000001</v>
      </c>
      <c r="F831">
        <v>-76.583090999999996</v>
      </c>
    </row>
    <row r="832" spans="1:6" x14ac:dyDescent="0.3">
      <c r="A832">
        <v>324316</v>
      </c>
      <c r="B832" t="str">
        <f>VLOOKUP($A832,[1]Export!$G$2:$N$2737,COLUMN(),FALSE)</f>
        <v>RUTTERS FARM STORES #77</v>
      </c>
      <c r="C832" t="s">
        <v>710</v>
      </c>
      <c r="D832">
        <v>1430033</v>
      </c>
      <c r="E832">
        <v>40.415042</v>
      </c>
      <c r="F832">
        <v>-77.012775000000005</v>
      </c>
    </row>
    <row r="833" spans="1:6" x14ac:dyDescent="0.3">
      <c r="A833">
        <v>325982</v>
      </c>
      <c r="B833" t="str">
        <f>VLOOKUP($A833,[1]Export!$G$2:$N$2737,COLUMN(),FALSE)</f>
        <v>MASONIC VILLAGE MED LANDSCAPE#</v>
      </c>
      <c r="C833" t="s">
        <v>718</v>
      </c>
      <c r="D833">
        <v>1430045</v>
      </c>
      <c r="E833">
        <v>40.132570000000001</v>
      </c>
      <c r="F833">
        <v>-76.625410000000002</v>
      </c>
    </row>
    <row r="834" spans="1:6" x14ac:dyDescent="0.3">
      <c r="A834">
        <v>334433</v>
      </c>
      <c r="B834" t="str">
        <f>VLOOKUP($A834,[1]Export!$G$2:$N$2737,COLUMN(),FALSE)</f>
        <v>Holy Name Of Jesus Parish &amp; Sc</v>
      </c>
      <c r="C834" t="s">
        <v>736</v>
      </c>
      <c r="D834">
        <v>1430045</v>
      </c>
      <c r="E834">
        <v>40.326079999999997</v>
      </c>
      <c r="F834">
        <v>-76.785617000000002</v>
      </c>
    </row>
    <row r="835" spans="1:6" x14ac:dyDescent="0.3">
      <c r="A835">
        <v>340912</v>
      </c>
      <c r="B835" t="str">
        <f>VLOOKUP($A835,[1]Export!$G$2:$N$2737,COLUMN(),FALSE)</f>
        <v>FRIENDSHIP YMCA</v>
      </c>
      <c r="C835" t="s">
        <v>746</v>
      </c>
      <c r="D835">
        <v>1430045</v>
      </c>
      <c r="E835">
        <v>40.310088</v>
      </c>
      <c r="F835">
        <v>-76.808723999999998</v>
      </c>
    </row>
    <row r="836" spans="1:6" x14ac:dyDescent="0.3">
      <c r="A836">
        <v>341368</v>
      </c>
      <c r="B836" t="str">
        <f>VLOOKUP($A836,[1]Export!$G$2:$N$2737,COLUMN(),FALSE)</f>
        <v>COLUMBIA COTTAGE LINGLESTOWN</v>
      </c>
      <c r="C836" t="s">
        <v>1700</v>
      </c>
      <c r="D836">
        <v>1430045</v>
      </c>
      <c r="E836">
        <v>40.333170000000003</v>
      </c>
      <c r="F836">
        <v>-76.846299999999999</v>
      </c>
    </row>
    <row r="837" spans="1:6" x14ac:dyDescent="0.3">
      <c r="A837">
        <v>341917</v>
      </c>
      <c r="B837" t="str">
        <f>VLOOKUP($A837,[1]Export!$G$2:$N$2737,COLUMN(),FALSE)</f>
        <v>MASONIC VILLAGES OF THE GRAND</v>
      </c>
      <c r="C837" t="s">
        <v>1702</v>
      </c>
      <c r="D837">
        <v>1430045</v>
      </c>
      <c r="E837">
        <v>40.138500000000001</v>
      </c>
      <c r="F837">
        <v>-76.62285</v>
      </c>
    </row>
    <row r="838" spans="1:6" x14ac:dyDescent="0.3">
      <c r="A838">
        <v>415451</v>
      </c>
      <c r="B838" t="str">
        <f>VLOOKUP($A838,[1]Export!$G$2:$N$2737,COLUMN(),FALSE)</f>
        <v>ELIZABETHTOWN AREA SCHOOLS</v>
      </c>
      <c r="C838" t="s">
        <v>810</v>
      </c>
      <c r="D838">
        <v>1430045</v>
      </c>
      <c r="E838">
        <v>40.155960999999998</v>
      </c>
      <c r="F838">
        <v>-76.594376999999994</v>
      </c>
    </row>
    <row r="839" spans="1:6" x14ac:dyDescent="0.3">
      <c r="A839">
        <v>415724</v>
      </c>
      <c r="B839" t="str">
        <f>VLOOKUP($A839,[1]Export!$G$2:$N$2737,COLUMN(),FALSE)</f>
        <v>SKH N/OUTLET HBURG</v>
      </c>
      <c r="C839" t="s">
        <v>822</v>
      </c>
      <c r="D839">
        <v>1430045</v>
      </c>
      <c r="E839">
        <v>40.340649999999997</v>
      </c>
      <c r="F839">
        <v>-76.810456000000002</v>
      </c>
    </row>
    <row r="840" spans="1:6" x14ac:dyDescent="0.3">
      <c r="A840">
        <v>429860</v>
      </c>
      <c r="B840" t="str">
        <f>VLOOKUP($A840,[1]Export!$G$2:$N$2737,COLUMN(),FALSE)</f>
        <v>STEELTON HIGHSPIRE HIGH SCHOOL</v>
      </c>
      <c r="C840" t="s">
        <v>1046</v>
      </c>
      <c r="D840">
        <v>1430045</v>
      </c>
      <c r="E840">
        <v>40.238970000000002</v>
      </c>
      <c r="F840">
        <v>-76.830456999999996</v>
      </c>
    </row>
    <row r="841" spans="1:6" x14ac:dyDescent="0.3">
      <c r="A841">
        <v>431345</v>
      </c>
      <c r="B841" t="str">
        <f>VLOOKUP($A841,[1]Export!$G$2:$N$2737,COLUMN(),FALSE)</f>
        <v>SKH    NURSERY HUMMELSTOWN</v>
      </c>
      <c r="C841" t="s">
        <v>1068</v>
      </c>
      <c r="D841">
        <v>1430045</v>
      </c>
      <c r="E841">
        <v>40.236801999999997</v>
      </c>
      <c r="F841">
        <v>-76.712873999999999</v>
      </c>
    </row>
    <row r="842" spans="1:6" x14ac:dyDescent="0.3">
      <c r="A842">
        <v>432281</v>
      </c>
      <c r="B842" t="str">
        <f>VLOOKUP($A842,[1]Export!$G$2:$N$2737,COLUMN(),FALSE)</f>
        <v>SKH    NURSERY MECH</v>
      </c>
      <c r="C842" t="s">
        <v>1075</v>
      </c>
      <c r="D842">
        <v>1430045</v>
      </c>
      <c r="E842">
        <v>40.185071999999998</v>
      </c>
      <c r="F842">
        <v>-76.983555999999993</v>
      </c>
    </row>
    <row r="843" spans="1:6" x14ac:dyDescent="0.3">
      <c r="A843">
        <v>432281</v>
      </c>
      <c r="B843" t="str">
        <f>VLOOKUP($A843,[1]Export!$G$2:$N$2737,COLUMN(),FALSE)</f>
        <v>SKH    NURSERY MECH</v>
      </c>
      <c r="C843" t="s">
        <v>1075</v>
      </c>
      <c r="D843">
        <v>1430045</v>
      </c>
      <c r="E843">
        <v>40.185071999999998</v>
      </c>
      <c r="F843">
        <v>-76.983555999999993</v>
      </c>
    </row>
    <row r="844" spans="1:6" x14ac:dyDescent="0.3">
      <c r="A844">
        <v>438555</v>
      </c>
      <c r="B844" t="str">
        <f>VLOOKUP($A844,[1]Export!$G$2:$N$2737,COLUMN(),FALSE)</f>
        <v>WEST SHORE SCHOOL DISTRICT</v>
      </c>
      <c r="C844" t="s">
        <v>1103</v>
      </c>
      <c r="D844">
        <v>1430045</v>
      </c>
      <c r="E844">
        <v>40.181465000000003</v>
      </c>
      <c r="F844">
        <v>-76.841682000000006</v>
      </c>
    </row>
    <row r="845" spans="1:6" x14ac:dyDescent="0.3">
      <c r="A845">
        <v>448878</v>
      </c>
      <c r="B845" t="str">
        <f>VLOOKUP($A845,[1]Export!$G$2:$N$2737,COLUMN(),FALSE)</f>
        <v>MILTON S HERSHEY MEDICAL CENTE</v>
      </c>
      <c r="C845" t="s">
        <v>1145</v>
      </c>
      <c r="D845">
        <v>1430045</v>
      </c>
      <c r="E845">
        <v>40.263972000000003</v>
      </c>
      <c r="F845">
        <v>-76.676153999999997</v>
      </c>
    </row>
    <row r="846" spans="1:6" x14ac:dyDescent="0.3">
      <c r="A846">
        <v>464194</v>
      </c>
      <c r="B846" t="str">
        <f>VLOOKUP($A846,[1]Export!$G$2:$N$2737,COLUMN(),FALSE)</f>
        <v>CENTRAL DAUPHIN EAST HIGH SCHO</v>
      </c>
      <c r="C846" t="s">
        <v>1231</v>
      </c>
      <c r="D846">
        <v>1430045</v>
      </c>
      <c r="E846">
        <v>40.284641999999998</v>
      </c>
      <c r="F846">
        <v>-76.799093999999997</v>
      </c>
    </row>
    <row r="847" spans="1:6" x14ac:dyDescent="0.3">
      <c r="A847">
        <v>464201</v>
      </c>
      <c r="B847" t="str">
        <f>VLOOKUP($A847,[1]Export!$G$2:$N$2737,COLUMN(),FALSE)</f>
        <v>CENTRAL DAUPHIN EAST MIDDLE SC</v>
      </c>
      <c r="C847" t="s">
        <v>1233</v>
      </c>
      <c r="D847">
        <v>1430045</v>
      </c>
      <c r="E847">
        <v>40.284230000000001</v>
      </c>
      <c r="F847">
        <v>-76.801450000000003</v>
      </c>
    </row>
    <row r="848" spans="1:6" x14ac:dyDescent="0.3">
      <c r="A848">
        <v>464202</v>
      </c>
      <c r="B848" t="str">
        <f>VLOOKUP($A848,[1]Export!$G$2:$N$2737,COLUMN(),FALSE)</f>
        <v>CENTRAL DAUPHIN MIDDLE SCHOOL</v>
      </c>
      <c r="C848" t="s">
        <v>1235</v>
      </c>
      <c r="D848">
        <v>1430045</v>
      </c>
      <c r="E848">
        <v>40.293886999999998</v>
      </c>
      <c r="F848">
        <v>-76.810676000000001</v>
      </c>
    </row>
    <row r="849" spans="1:6" x14ac:dyDescent="0.3">
      <c r="A849">
        <v>467831</v>
      </c>
      <c r="B849" t="str">
        <f>VLOOKUP($A849,[1]Export!$G$2:$N$2737,COLUMN(),FALSE)</f>
        <v>ENVIRONMENTAL - HARRISBURG EAS</v>
      </c>
      <c r="C849" t="s">
        <v>1273</v>
      </c>
      <c r="D849">
        <v>1430045</v>
      </c>
      <c r="E849">
        <v>40.252319</v>
      </c>
      <c r="F849">
        <v>-76.829927999999995</v>
      </c>
    </row>
    <row r="850" spans="1:6" x14ac:dyDescent="0.3">
      <c r="A850">
        <v>468468</v>
      </c>
      <c r="B850" t="str">
        <f>VLOOKUP($A850,[1]Export!$G$2:$N$2737,COLUMN(),FALSE)</f>
        <v>CEDAR CLIFF HIGH SCHOOL</v>
      </c>
      <c r="C850" t="s">
        <v>1281</v>
      </c>
      <c r="D850">
        <v>1430045</v>
      </c>
      <c r="E850">
        <v>40.228839999999998</v>
      </c>
      <c r="F850">
        <v>-76.896569999999997</v>
      </c>
    </row>
    <row r="851" spans="1:6" x14ac:dyDescent="0.3">
      <c r="A851">
        <v>468469</v>
      </c>
      <c r="B851" t="str">
        <f>VLOOKUP($A851,[1]Export!$G$2:$N$2737,COLUMN(),FALSE)</f>
        <v>RED LAND HIGH SCHOOL</v>
      </c>
      <c r="C851" t="s">
        <v>1283</v>
      </c>
      <c r="D851">
        <v>1430045</v>
      </c>
      <c r="E851">
        <v>40.176783</v>
      </c>
      <c r="F851">
        <v>-76.847786999999997</v>
      </c>
    </row>
    <row r="852" spans="1:6" x14ac:dyDescent="0.3">
      <c r="A852">
        <v>479887</v>
      </c>
      <c r="B852" t="str">
        <f>VLOOKUP($A852,[1]Export!$G$2:$N$2737,COLUMN(),FALSE)</f>
        <v>Rossmoyne Elementary</v>
      </c>
      <c r="C852" t="s">
        <v>1353</v>
      </c>
      <c r="D852">
        <v>1430045</v>
      </c>
      <c r="E852">
        <v>40.202559999999998</v>
      </c>
      <c r="F852">
        <v>-76.952376999999998</v>
      </c>
    </row>
    <row r="853" spans="1:6" x14ac:dyDescent="0.3">
      <c r="A853">
        <v>480632</v>
      </c>
      <c r="B853" t="str">
        <f>VLOOKUP($A853,[1]Export!$G$2:$N$2737,COLUMN(),FALSE)</f>
        <v>Masonic Village Transportation</v>
      </c>
      <c r="C853" t="s">
        <v>1748</v>
      </c>
      <c r="D853">
        <v>1430045</v>
      </c>
      <c r="E853">
        <v>40.139678000000004</v>
      </c>
      <c r="F853">
        <v>-76.617538999999994</v>
      </c>
    </row>
    <row r="854" spans="1:6" x14ac:dyDescent="0.3">
      <c r="A854">
        <v>481570</v>
      </c>
      <c r="B854" t="str">
        <f>VLOOKUP($A854,[1]Export!$G$2:$N$2737,COLUMN(),FALSE)</f>
        <v>Mold Base Industries</v>
      </c>
      <c r="C854" t="s">
        <v>1380</v>
      </c>
      <c r="D854">
        <v>1430045</v>
      </c>
      <c r="E854">
        <v>40.265748000000002</v>
      </c>
      <c r="F854">
        <v>-76.757998000000001</v>
      </c>
    </row>
    <row r="855" spans="1:6" x14ac:dyDescent="0.3">
      <c r="A855">
        <v>239557</v>
      </c>
      <c r="B855" t="str">
        <f>VLOOKUP($A855,[1]Export!$G$2:$N$2737,COLUMN(),FALSE)</f>
        <v>CHR CORPORATION#</v>
      </c>
      <c r="C855" t="s">
        <v>1582</v>
      </c>
      <c r="D855">
        <v>1430046</v>
      </c>
      <c r="E855">
        <v>39.997371999999999</v>
      </c>
      <c r="F855">
        <v>-76.744962000000001</v>
      </c>
    </row>
    <row r="856" spans="1:6" x14ac:dyDescent="0.3">
      <c r="A856">
        <v>241231</v>
      </c>
      <c r="B856" t="str">
        <f>VLOOKUP($A856,[1]Export!$G$2:$N$2737,COLUMN(),FALSE)</f>
        <v>NEW CONCEPT MFG LLC#</v>
      </c>
      <c r="C856" t="s">
        <v>277</v>
      </c>
      <c r="D856">
        <v>1430046</v>
      </c>
      <c r="E856">
        <v>40.018439999999998</v>
      </c>
      <c r="F856">
        <v>-76.719620000000006</v>
      </c>
    </row>
    <row r="857" spans="1:6" x14ac:dyDescent="0.3">
      <c r="A857">
        <v>241656</v>
      </c>
      <c r="B857" t="str">
        <f>VLOOKUP($A857,[1]Export!$G$2:$N$2737,COLUMN(),FALSE)</f>
        <v>Rutters Farm Store # 47</v>
      </c>
      <c r="C857" t="s">
        <v>1601</v>
      </c>
      <c r="D857">
        <v>1430046</v>
      </c>
      <c r="E857">
        <v>39.981909999999999</v>
      </c>
      <c r="F857">
        <v>-76.761714999999995</v>
      </c>
    </row>
    <row r="858" spans="1:6" x14ac:dyDescent="0.3">
      <c r="A858">
        <v>241662</v>
      </c>
      <c r="B858" t="str">
        <f>VLOOKUP($A858,[1]Export!$G$2:$N$2737,COLUMN(),FALSE)</f>
        <v>RUTTERS FARM STORES #15</v>
      </c>
      <c r="C858" t="s">
        <v>1607</v>
      </c>
      <c r="D858">
        <v>1430046</v>
      </c>
      <c r="E858">
        <v>39.990205000000003</v>
      </c>
      <c r="F858">
        <v>-76.741106000000002</v>
      </c>
    </row>
    <row r="859" spans="1:6" x14ac:dyDescent="0.3">
      <c r="A859">
        <v>241663</v>
      </c>
      <c r="B859" t="str">
        <f>VLOOKUP($A859,[1]Export!$G$2:$N$2737,COLUMN(),FALSE)</f>
        <v>RUTTERS FARM STORES #18</v>
      </c>
      <c r="C859" t="s">
        <v>1608</v>
      </c>
      <c r="D859">
        <v>1430046</v>
      </c>
      <c r="E859">
        <v>39.982976000000001</v>
      </c>
      <c r="F859">
        <v>-76.708331999999999</v>
      </c>
    </row>
    <row r="860" spans="1:6" x14ac:dyDescent="0.3">
      <c r="A860">
        <v>241667</v>
      </c>
      <c r="B860" t="str">
        <f>VLOOKUP($A860,[1]Export!$G$2:$N$2737,COLUMN(),FALSE)</f>
        <v>RUTTERS FARM STORES #22</v>
      </c>
      <c r="C860" t="s">
        <v>1611</v>
      </c>
      <c r="D860">
        <v>1430046</v>
      </c>
      <c r="E860">
        <v>40.003194999999998</v>
      </c>
      <c r="F860">
        <v>-76.848817999999994</v>
      </c>
    </row>
    <row r="861" spans="1:6" x14ac:dyDescent="0.3">
      <c r="A861">
        <v>241669</v>
      </c>
      <c r="B861" t="str">
        <f>VLOOKUP($A861,[1]Export!$G$2:$N$2737,COLUMN(),FALSE)</f>
        <v>RUTTERS FARM STORES #25</v>
      </c>
      <c r="C861" t="s">
        <v>1612</v>
      </c>
      <c r="D861">
        <v>1430046</v>
      </c>
      <c r="E861">
        <v>39.981057999999997</v>
      </c>
      <c r="F861">
        <v>-76.745431999999994</v>
      </c>
    </row>
    <row r="862" spans="1:6" x14ac:dyDescent="0.3">
      <c r="A862">
        <v>241679</v>
      </c>
      <c r="B862" t="str">
        <f>VLOOKUP($A862,[1]Export!$G$2:$N$2737,COLUMN(),FALSE)</f>
        <v>RUTTERS FARM STORES #38</v>
      </c>
      <c r="C862" t="s">
        <v>1618</v>
      </c>
      <c r="D862">
        <v>1430046</v>
      </c>
      <c r="E862">
        <v>40.001244999999997</v>
      </c>
      <c r="F862">
        <v>-76.617225000000005</v>
      </c>
    </row>
    <row r="863" spans="1:6" x14ac:dyDescent="0.3">
      <c r="A863">
        <v>241684</v>
      </c>
      <c r="B863" t="str">
        <f>VLOOKUP($A863,[1]Export!$G$2:$N$2737,COLUMN(),FALSE)</f>
        <v>RUTTERS FARM STORES #43</v>
      </c>
      <c r="C863" t="s">
        <v>1621</v>
      </c>
      <c r="D863">
        <v>1430046</v>
      </c>
      <c r="E863">
        <v>39.976483999999999</v>
      </c>
      <c r="F863">
        <v>-76.770251000000002</v>
      </c>
    </row>
    <row r="864" spans="1:6" x14ac:dyDescent="0.3">
      <c r="A864">
        <v>241684</v>
      </c>
      <c r="B864" t="str">
        <f>VLOOKUP($A864,[1]Export!$G$2:$N$2737,COLUMN(),FALSE)</f>
        <v>RUTTERS FARM STORES #43</v>
      </c>
      <c r="C864" t="s">
        <v>1621</v>
      </c>
      <c r="D864">
        <v>1430046</v>
      </c>
      <c r="E864">
        <v>39.976483999999999</v>
      </c>
      <c r="F864">
        <v>-76.770251000000002</v>
      </c>
    </row>
    <row r="865" spans="1:6" x14ac:dyDescent="0.3">
      <c r="A865">
        <v>241688</v>
      </c>
      <c r="B865" t="str">
        <f>VLOOKUP($A865,[1]Export!$G$2:$N$2737,COLUMN(),FALSE)</f>
        <v>RUTTERS FARM STORES #49</v>
      </c>
      <c r="C865" t="s">
        <v>303</v>
      </c>
      <c r="D865">
        <v>1430046</v>
      </c>
      <c r="E865">
        <v>39.979336000000004</v>
      </c>
      <c r="F865">
        <v>-76.80068</v>
      </c>
    </row>
    <row r="866" spans="1:6" x14ac:dyDescent="0.3">
      <c r="A866">
        <v>241693</v>
      </c>
      <c r="B866" t="str">
        <f>VLOOKUP($A866,[1]Export!$G$2:$N$2737,COLUMN(),FALSE)</f>
        <v>RUTTERS FARM STORES #57</v>
      </c>
      <c r="C866" t="s">
        <v>1626</v>
      </c>
      <c r="D866">
        <v>1430046</v>
      </c>
      <c r="E866">
        <v>39.988866999999999</v>
      </c>
      <c r="F866">
        <v>-76.669926000000004</v>
      </c>
    </row>
    <row r="867" spans="1:6" x14ac:dyDescent="0.3">
      <c r="A867">
        <v>241695</v>
      </c>
      <c r="B867" t="str">
        <f>VLOOKUP($A867,[1]Export!$G$2:$N$2737,COLUMN(),FALSE)</f>
        <v>RUTTERS FARM STORES #7</v>
      </c>
      <c r="C867" t="s">
        <v>1628</v>
      </c>
      <c r="D867">
        <v>1430046</v>
      </c>
      <c r="E867">
        <v>39.995907000000003</v>
      </c>
      <c r="F867">
        <v>-76.733869999999996</v>
      </c>
    </row>
    <row r="868" spans="1:6" x14ac:dyDescent="0.3">
      <c r="A868">
        <v>242265</v>
      </c>
      <c r="B868" t="str">
        <f>VLOOKUP($A868,[1]Export!$G$2:$N$2737,COLUMN(),FALSE)</f>
        <v>VALLEY VIEW ALLIANCE CHURCH</v>
      </c>
      <c r="C868" t="s">
        <v>323</v>
      </c>
      <c r="D868">
        <v>1430048</v>
      </c>
      <c r="E868">
        <v>40.004489</v>
      </c>
      <c r="F868">
        <v>-76.615600999999998</v>
      </c>
    </row>
    <row r="869" spans="1:6" x14ac:dyDescent="0.3">
      <c r="A869">
        <v>306764</v>
      </c>
      <c r="B869" t="str">
        <f>VLOOKUP($A869,[1]Export!$G$2:$N$2737,COLUMN(),FALSE)</f>
        <v>MARGARET E MOUL HOME</v>
      </c>
      <c r="C869" t="s">
        <v>642</v>
      </c>
      <c r="D869">
        <v>1430046</v>
      </c>
      <c r="E869">
        <v>39.976660000000003</v>
      </c>
      <c r="F869">
        <v>-76.781199000000001</v>
      </c>
    </row>
    <row r="870" spans="1:6" x14ac:dyDescent="0.3">
      <c r="A870">
        <v>415447</v>
      </c>
      <c r="B870" t="str">
        <f>VLOOKUP($A870,[1]Export!$G$2:$N$2737,COLUMN(),FALSE)</f>
        <v>EASTERN YORK HIGH SCHOOL</v>
      </c>
      <c r="C870" t="s">
        <v>806</v>
      </c>
      <c r="D870">
        <v>1430046</v>
      </c>
      <c r="E870">
        <v>39.997999999999998</v>
      </c>
      <c r="F870">
        <v>-76.540480000000002</v>
      </c>
    </row>
    <row r="871" spans="1:6" x14ac:dyDescent="0.3">
      <c r="A871">
        <v>415449</v>
      </c>
      <c r="B871" t="str">
        <f>VLOOKUP($A871,[1]Export!$G$2:$N$2737,COLUMN(),FALSE)</f>
        <v>EASTERN YORK MIDDLE SCHOOL</v>
      </c>
      <c r="C871" t="s">
        <v>808</v>
      </c>
      <c r="D871">
        <v>1430046</v>
      </c>
      <c r="E871">
        <v>39.994672000000001</v>
      </c>
      <c r="F871">
        <v>-76.537662999999995</v>
      </c>
    </row>
    <row r="872" spans="1:6" x14ac:dyDescent="0.3">
      <c r="A872">
        <v>415705</v>
      </c>
      <c r="B872" t="str">
        <f>VLOOKUP($A872,[1]Export!$G$2:$N$2737,COLUMN(),FALSE)</f>
        <v>SKH GARDEN CENTER Dover Kathy</v>
      </c>
      <c r="C872" t="s">
        <v>818</v>
      </c>
      <c r="D872">
        <v>1430046</v>
      </c>
      <c r="E872">
        <v>39.992356000000001</v>
      </c>
      <c r="F872">
        <v>-76.840794000000002</v>
      </c>
    </row>
    <row r="873" spans="1:6" x14ac:dyDescent="0.3">
      <c r="A873">
        <v>415725</v>
      </c>
      <c r="B873" t="str">
        <f>VLOOKUP($A873,[1]Export!$G$2:$N$2737,COLUMN(),FALSE)</f>
        <v>SKH NURSERY York</v>
      </c>
      <c r="C873" t="s">
        <v>824</v>
      </c>
      <c r="D873">
        <v>1430046</v>
      </c>
      <c r="E873">
        <v>39.999021999999997</v>
      </c>
      <c r="F873">
        <v>-76.623081999999997</v>
      </c>
    </row>
    <row r="874" spans="1:6" x14ac:dyDescent="0.3">
      <c r="A874">
        <v>433106</v>
      </c>
      <c r="B874" t="str">
        <f>VLOOKUP($A874,[1]Export!$G$2:$N$2737,COLUMN(),FALSE)</f>
        <v>CENTRAL YORK HIGH SCHOOL</v>
      </c>
      <c r="C874" t="s">
        <v>1720</v>
      </c>
      <c r="D874">
        <v>1430046</v>
      </c>
      <c r="E874">
        <v>40.013950999999999</v>
      </c>
      <c r="F874">
        <v>-76.701389000000006</v>
      </c>
    </row>
    <row r="875" spans="1:6" x14ac:dyDescent="0.3">
      <c r="A875">
        <v>457581</v>
      </c>
      <c r="B875" t="str">
        <f>VLOOKUP($A875,[1]Export!$G$2:$N$2737,COLUMN(),FALSE)</f>
        <v>HR PHARMACEUTICALS INC</v>
      </c>
      <c r="C875" t="s">
        <v>1192</v>
      </c>
      <c r="D875">
        <v>1430046</v>
      </c>
      <c r="E875">
        <v>39.991219999999998</v>
      </c>
      <c r="F875">
        <v>-76.654876999999999</v>
      </c>
    </row>
    <row r="876" spans="1:6" x14ac:dyDescent="0.3">
      <c r="A876">
        <v>472574</v>
      </c>
      <c r="B876" t="str">
        <f>VLOOKUP($A876,[1]Export!$G$2:$N$2737,COLUMN(),FALSE)</f>
        <v>Central York School Food Servi</v>
      </c>
      <c r="C876" t="s">
        <v>1720</v>
      </c>
      <c r="D876">
        <v>1430046</v>
      </c>
      <c r="E876">
        <v>40.013950999999999</v>
      </c>
      <c r="F876">
        <v>-76.701389000000006</v>
      </c>
    </row>
    <row r="877" spans="1:6" x14ac:dyDescent="0.3">
      <c r="A877">
        <v>241652</v>
      </c>
      <c r="B877" t="str">
        <f>VLOOKUP($A877,[1]Export!$G$2:$N$2737,COLUMN(),FALSE)</f>
        <v>RUTTERS FARM STORE #10</v>
      </c>
      <c r="C877" t="s">
        <v>1597</v>
      </c>
      <c r="D877">
        <v>1430047</v>
      </c>
      <c r="E877">
        <v>39.960096999999998</v>
      </c>
      <c r="F877">
        <v>-76.775542999999999</v>
      </c>
    </row>
    <row r="878" spans="1:6" x14ac:dyDescent="0.3">
      <c r="A878">
        <v>241659</v>
      </c>
      <c r="B878" t="str">
        <f>VLOOKUP($A878,[1]Export!$G$2:$N$2737,COLUMN(),FALSE)</f>
        <v>RUTTERS FARM STORE #60</v>
      </c>
      <c r="C878" t="s">
        <v>1604</v>
      </c>
      <c r="D878">
        <v>1430047</v>
      </c>
      <c r="E878">
        <v>39.929270000000002</v>
      </c>
      <c r="F878">
        <v>-76.822305</v>
      </c>
    </row>
    <row r="879" spans="1:6" x14ac:dyDescent="0.3">
      <c r="A879">
        <v>241661</v>
      </c>
      <c r="B879" t="str">
        <f>VLOOKUP($A879,[1]Export!$G$2:$N$2737,COLUMN(),FALSE)</f>
        <v>RUTTERS FARM STORES #12</v>
      </c>
      <c r="C879" t="s">
        <v>1606</v>
      </c>
      <c r="D879">
        <v>1430047</v>
      </c>
      <c r="E879">
        <v>39.890434999999997</v>
      </c>
      <c r="F879">
        <v>-76.786165999999994</v>
      </c>
    </row>
    <row r="880" spans="1:6" x14ac:dyDescent="0.3">
      <c r="A880">
        <v>241686</v>
      </c>
      <c r="B880" t="str">
        <f>VLOOKUP($A880,[1]Export!$G$2:$N$2737,COLUMN(),FALSE)</f>
        <v>RUTTERS FARM STORES #46</v>
      </c>
      <c r="C880" t="s">
        <v>1622</v>
      </c>
      <c r="D880">
        <v>1430047</v>
      </c>
      <c r="E880">
        <v>39.937350000000002</v>
      </c>
      <c r="F880">
        <v>-76.978890000000007</v>
      </c>
    </row>
    <row r="881" spans="1:6" x14ac:dyDescent="0.3">
      <c r="A881">
        <v>241690</v>
      </c>
      <c r="B881" t="str">
        <f>VLOOKUP($A881,[1]Export!$G$2:$N$2737,COLUMN(),FALSE)</f>
        <v>RUTTERS FARM STORES #50</v>
      </c>
      <c r="C881" t="s">
        <v>305</v>
      </c>
      <c r="D881">
        <v>1430047</v>
      </c>
      <c r="E881">
        <v>39.884269000000003</v>
      </c>
      <c r="F881">
        <v>-76.863001999999994</v>
      </c>
    </row>
    <row r="882" spans="1:6" x14ac:dyDescent="0.3">
      <c r="A882">
        <v>241691</v>
      </c>
      <c r="B882" t="str">
        <f>VLOOKUP($A882,[1]Export!$G$2:$N$2737,COLUMN(),FALSE)</f>
        <v>RUTTERS FARM STORES #51</v>
      </c>
      <c r="C882" t="s">
        <v>1624</v>
      </c>
      <c r="D882">
        <v>1430048</v>
      </c>
      <c r="E882">
        <v>39.882913000000002</v>
      </c>
      <c r="F882">
        <v>-76.709546000000003</v>
      </c>
    </row>
    <row r="883" spans="1:6" x14ac:dyDescent="0.3">
      <c r="A883">
        <v>241694</v>
      </c>
      <c r="B883" t="str">
        <f>VLOOKUP($A883,[1]Export!$G$2:$N$2737,COLUMN(),FALSE)</f>
        <v>RUTTERS FARM STORES #58</v>
      </c>
      <c r="C883" t="s">
        <v>1627</v>
      </c>
      <c r="D883">
        <v>1430044</v>
      </c>
      <c r="E883">
        <v>39.888373999999999</v>
      </c>
      <c r="F883">
        <v>-76.975948000000002</v>
      </c>
    </row>
    <row r="884" spans="1:6" x14ac:dyDescent="0.3">
      <c r="A884">
        <v>241700</v>
      </c>
      <c r="B884" t="str">
        <f>VLOOKUP($A884,[1]Export!$G$2:$N$2737,COLUMN(),FALSE)</f>
        <v>RUTTERS FARM STORES #8</v>
      </c>
      <c r="C884" t="s">
        <v>1631</v>
      </c>
      <c r="D884">
        <v>1430047</v>
      </c>
      <c r="E884">
        <v>39.910693000000002</v>
      </c>
      <c r="F884">
        <v>-76.705017999999995</v>
      </c>
    </row>
    <row r="885" spans="1:6" x14ac:dyDescent="0.3">
      <c r="A885">
        <v>242714</v>
      </c>
      <c r="B885" t="str">
        <f>VLOOKUP($A885,[1]Export!$G$2:$N$2737,COLUMN(),FALSE)</f>
        <v>RUTTERS FARM STORES #62</v>
      </c>
      <c r="C885" t="s">
        <v>1636</v>
      </c>
      <c r="D885">
        <v>1430047</v>
      </c>
      <c r="E885">
        <v>39.943339000000002</v>
      </c>
      <c r="F885">
        <v>-76.74109</v>
      </c>
    </row>
    <row r="886" spans="1:6" x14ac:dyDescent="0.3">
      <c r="A886">
        <v>239765</v>
      </c>
      <c r="B886" t="str">
        <f>VLOOKUP($A886,[1]Export!$G$2:$N$2737,COLUMN(),FALSE)</f>
        <v>DALLASTOWN AREA SCHOOL DIST</v>
      </c>
      <c r="C886" t="s">
        <v>1583</v>
      </c>
      <c r="D886">
        <v>1430048</v>
      </c>
      <c r="E886">
        <v>39.893242999999998</v>
      </c>
      <c r="F886">
        <v>-76.650498999999996</v>
      </c>
    </row>
    <row r="887" spans="1:6" x14ac:dyDescent="0.3">
      <c r="A887">
        <v>241036</v>
      </c>
      <c r="B887" t="str">
        <f>VLOOKUP($A887,[1]Export!$G$2:$N$2737,COLUMN(),FALSE)</f>
        <v>MARKEYS BLDG MAINT #</v>
      </c>
      <c r="C887" t="s">
        <v>271</v>
      </c>
      <c r="D887">
        <v>1430048</v>
      </c>
      <c r="E887">
        <v>39.897668000000003</v>
      </c>
      <c r="F887">
        <v>-76.603982000000002</v>
      </c>
    </row>
    <row r="888" spans="1:6" x14ac:dyDescent="0.3">
      <c r="A888">
        <v>241552</v>
      </c>
      <c r="B888" t="str">
        <f>VLOOKUP($A888,[1]Export!$G$2:$N$2737,COLUMN(),FALSE)</f>
        <v>RED LION AREA SCHOOL DISTRICT#</v>
      </c>
      <c r="C888" t="s">
        <v>1596</v>
      </c>
      <c r="D888">
        <v>1430048</v>
      </c>
      <c r="E888">
        <v>39.901788000000003</v>
      </c>
      <c r="F888">
        <v>-76.589676999999995</v>
      </c>
    </row>
    <row r="889" spans="1:6" x14ac:dyDescent="0.3">
      <c r="A889">
        <v>241665</v>
      </c>
      <c r="B889" t="str">
        <f>VLOOKUP($A889,[1]Export!$G$2:$N$2737,COLUMN(),FALSE)</f>
        <v>RUTTERS FARM STORES #2</v>
      </c>
      <c r="C889" t="s">
        <v>1609</v>
      </c>
      <c r="D889">
        <v>1430048</v>
      </c>
      <c r="E889">
        <v>39.778250999999997</v>
      </c>
      <c r="F889">
        <v>-76.679032000000007</v>
      </c>
    </row>
    <row r="890" spans="1:6" x14ac:dyDescent="0.3">
      <c r="A890">
        <v>241670</v>
      </c>
      <c r="B890" t="str">
        <f>VLOOKUP($A890,[1]Export!$G$2:$N$2737,COLUMN(),FALSE)</f>
        <v>RUTTERS FARM STORES #26</v>
      </c>
      <c r="C890" t="s">
        <v>1613</v>
      </c>
      <c r="D890">
        <v>1430048</v>
      </c>
      <c r="E890">
        <v>39.753017</v>
      </c>
      <c r="F890">
        <v>-76.676929999999999</v>
      </c>
    </row>
    <row r="891" spans="1:6" x14ac:dyDescent="0.3">
      <c r="A891">
        <v>241674</v>
      </c>
      <c r="B891" t="str">
        <f>VLOOKUP($A891,[1]Export!$G$2:$N$2737,COLUMN(),FALSE)</f>
        <v>RUTTERS FARM STORES #30</v>
      </c>
      <c r="C891" t="s">
        <v>1615</v>
      </c>
      <c r="D891">
        <v>1430048</v>
      </c>
      <c r="E891">
        <v>39.738816999999997</v>
      </c>
      <c r="F891">
        <v>-76.703680000000006</v>
      </c>
    </row>
    <row r="892" spans="1:6" x14ac:dyDescent="0.3">
      <c r="A892">
        <v>241675</v>
      </c>
      <c r="B892" t="str">
        <f>VLOOKUP($A892,[1]Export!$G$2:$N$2737,COLUMN(),FALSE)</f>
        <v>RUTTERS FARM STORES #32</v>
      </c>
      <c r="C892" t="s">
        <v>1616</v>
      </c>
      <c r="D892">
        <v>1430048</v>
      </c>
      <c r="E892">
        <v>39.905974000000001</v>
      </c>
      <c r="F892">
        <v>-76.652691000000004</v>
      </c>
    </row>
    <row r="893" spans="1:6" x14ac:dyDescent="0.3">
      <c r="A893">
        <v>241683</v>
      </c>
      <c r="B893" t="str">
        <f>VLOOKUP($A893,[1]Export!$G$2:$N$2737,COLUMN(),FALSE)</f>
        <v>RUTTERS FARM STORES #42</v>
      </c>
      <c r="C893" t="s">
        <v>1620</v>
      </c>
      <c r="D893">
        <v>1430048</v>
      </c>
      <c r="E893">
        <v>39.761463999999997</v>
      </c>
      <c r="F893">
        <v>-76.591029000000006</v>
      </c>
    </row>
    <row r="894" spans="1:6" x14ac:dyDescent="0.3">
      <c r="A894">
        <v>241685</v>
      </c>
      <c r="B894" t="str">
        <f>VLOOKUP($A894,[1]Export!$G$2:$N$2737,COLUMN(),FALSE)</f>
        <v>RUTTERS FARM STORES #44</v>
      </c>
      <c r="C894" t="s">
        <v>301</v>
      </c>
      <c r="D894">
        <v>1430048</v>
      </c>
      <c r="E894">
        <v>39.725696999999997</v>
      </c>
      <c r="F894">
        <v>-76.765518999999998</v>
      </c>
    </row>
    <row r="895" spans="1:6" x14ac:dyDescent="0.3">
      <c r="A895">
        <v>241687</v>
      </c>
      <c r="B895" t="str">
        <f>VLOOKUP($A895,[1]Export!$G$2:$N$2737,COLUMN(),FALSE)</f>
        <v>RUTTERS FARM STORES #48</v>
      </c>
      <c r="C895" t="s">
        <v>1623</v>
      </c>
      <c r="D895">
        <v>1430048</v>
      </c>
      <c r="E895">
        <v>39.889592999999998</v>
      </c>
      <c r="F895">
        <v>-76.597020000000001</v>
      </c>
    </row>
    <row r="896" spans="1:6" x14ac:dyDescent="0.3">
      <c r="A896">
        <v>241859</v>
      </c>
      <c r="B896" t="str">
        <f>VLOOKUP($A896,[1]Export!$G$2:$N$2737,COLUMN(),FALSE)</f>
        <v>SOUTH EASTERN SCHOOL DIST</v>
      </c>
      <c r="C896" t="s">
        <v>313</v>
      </c>
      <c r="D896">
        <v>1430048</v>
      </c>
      <c r="E896">
        <v>39.731540000000003</v>
      </c>
      <c r="F896">
        <v>-76.463729999999998</v>
      </c>
    </row>
    <row r="897" spans="1:6" x14ac:dyDescent="0.3">
      <c r="A897">
        <v>241871</v>
      </c>
      <c r="B897" t="str">
        <f>VLOOKUP($A897,[1]Export!$G$2:$N$2737,COLUMN(),FALSE)</f>
        <v>SOUTHERN YORK COUNTY SCHOOL DI</v>
      </c>
      <c r="C897" t="s">
        <v>315</v>
      </c>
      <c r="D897">
        <v>1430048</v>
      </c>
      <c r="E897">
        <v>39.770265999999999</v>
      </c>
      <c r="F897">
        <v>-76.734848</v>
      </c>
    </row>
    <row r="898" spans="1:6" x14ac:dyDescent="0.3">
      <c r="A898">
        <v>254417</v>
      </c>
      <c r="B898" t="str">
        <f>VLOOKUP($A898,[1]Export!$G$2:$N$2737,COLUMN(),FALSE)</f>
        <v>RUTTERS FARM STORES #59</v>
      </c>
      <c r="C898" t="s">
        <v>1653</v>
      </c>
      <c r="D898">
        <v>1430048</v>
      </c>
      <c r="E898">
        <v>39.728839999999998</v>
      </c>
      <c r="F898">
        <v>-76.453795</v>
      </c>
    </row>
    <row r="899" spans="1:6" x14ac:dyDescent="0.3">
      <c r="A899">
        <v>281590</v>
      </c>
      <c r="B899" t="str">
        <f>VLOOKUP($A899,[1]Export!$G$2:$N$2737,COLUMN(),FALSE)</f>
        <v>RUTTERS FARM STORE #45</v>
      </c>
      <c r="C899" t="s">
        <v>1667</v>
      </c>
      <c r="D899">
        <v>1430048</v>
      </c>
      <c r="E899">
        <v>39.752848999999998</v>
      </c>
      <c r="F899">
        <v>-76.593577999999994</v>
      </c>
    </row>
    <row r="900" spans="1:6" x14ac:dyDescent="0.3">
      <c r="A900">
        <v>296548</v>
      </c>
      <c r="B900" t="str">
        <f>VLOOKUP($A900,[1]Export!$G$2:$N$2737,COLUMN(),FALSE)</f>
        <v>RUTTERS FARM STORE #16</v>
      </c>
      <c r="C900" t="s">
        <v>1675</v>
      </c>
      <c r="D900">
        <v>1430048</v>
      </c>
      <c r="E900">
        <v>39.865276999999999</v>
      </c>
      <c r="F900">
        <v>-76.704892000000001</v>
      </c>
    </row>
    <row r="901" spans="1:6" x14ac:dyDescent="0.3">
      <c r="A901">
        <v>306782</v>
      </c>
      <c r="B901" t="str">
        <f>VLOOKUP($A901,[1]Export!$G$2:$N$2737,COLUMN(),FALSE)</f>
        <v>DALLASTOWN NURSING CENTER</v>
      </c>
      <c r="C901" t="s">
        <v>644</v>
      </c>
      <c r="D901">
        <v>1430048</v>
      </c>
      <c r="E901">
        <v>39.899006999999997</v>
      </c>
      <c r="F901">
        <v>-76.628190000000004</v>
      </c>
    </row>
    <row r="902" spans="1:6" x14ac:dyDescent="0.3">
      <c r="A902">
        <v>440465</v>
      </c>
      <c r="B902" t="str">
        <f>VLOOKUP($A902,[1]Export!$G$2:$N$2737,COLUMN(),FALSE)</f>
        <v>DALLASTOWN INTERMEDIATE SCHOOL</v>
      </c>
      <c r="C902" t="s">
        <v>1110</v>
      </c>
      <c r="D902">
        <v>1430048</v>
      </c>
      <c r="E902">
        <v>39.874155999999999</v>
      </c>
      <c r="F902">
        <v>-76.709158000000002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ulateMeans">
                <anchor moveWithCells="1" sizeWithCells="1">
                  <from>
                    <xdr:col>1</xdr:col>
                    <xdr:colOff>2057400</xdr:colOff>
                    <xdr:row>0</xdr:row>
                    <xdr:rowOff>152400</xdr:rowOff>
                  </from>
                  <to>
                    <xdr:col>2</xdr:col>
                    <xdr:colOff>1965960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dDevAndVar">
                <anchor moveWithCells="1" sizeWithCells="1">
                  <from>
                    <xdr:col>2</xdr:col>
                    <xdr:colOff>2080260</xdr:colOff>
                    <xdr:row>0</xdr:row>
                    <xdr:rowOff>129540</xdr:rowOff>
                  </from>
                  <to>
                    <xdr:col>3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tractUniqueZones">
                <anchor moveWithCells="1" sizeWithCells="1">
                  <from>
                    <xdr:col>1</xdr:col>
                    <xdr:colOff>137160</xdr:colOff>
                    <xdr:row>0</xdr:row>
                    <xdr:rowOff>137160</xdr:rowOff>
                  </from>
                  <to>
                    <xdr:col>1</xdr:col>
                    <xdr:colOff>1866900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Forms">
                <anchor moveWithCells="1" sizeWithCells="1">
                  <from>
                    <xdr:col>3</xdr:col>
                    <xdr:colOff>693420</xdr:colOff>
                    <xdr:row>0</xdr:row>
                    <xdr:rowOff>175260</xdr:rowOff>
                  </from>
                  <to>
                    <xdr:col>5</xdr:col>
                    <xdr:colOff>152400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6AD9-B0D3-42E6-BADD-8136D262FB98}">
  <sheetPr codeName="Sheet27"/>
  <dimension ref="A1:G32"/>
  <sheetViews>
    <sheetView tabSelected="1" workbookViewId="0">
      <selection activeCell="B12" sqref="B12:C12"/>
    </sheetView>
  </sheetViews>
  <sheetFormatPr defaultRowHeight="14.4" x14ac:dyDescent="0.3"/>
  <cols>
    <col min="7" max="7" width="12" bestFit="1" customWidth="1"/>
  </cols>
  <sheetData>
    <row r="1" spans="1:7" ht="15" thickBot="1" x14ac:dyDescent="0.35">
      <c r="A1" s="2" t="s">
        <v>1406</v>
      </c>
      <c r="B1" s="2" t="s">
        <v>1412</v>
      </c>
      <c r="C1" s="2" t="s">
        <v>1413</v>
      </c>
      <c r="D1" s="2" t="s">
        <v>1414</v>
      </c>
      <c r="E1" s="2" t="s">
        <v>1415</v>
      </c>
      <c r="F1" s="2" t="s">
        <v>1416</v>
      </c>
      <c r="G1" s="2" t="s">
        <v>1417</v>
      </c>
    </row>
    <row r="2" spans="1:7" x14ac:dyDescent="0.3">
      <c r="A2">
        <v>1430001</v>
      </c>
      <c r="B2">
        <v>39.903095727272728</v>
      </c>
      <c r="C2">
        <v>-75.381472363636362</v>
      </c>
      <c r="D2">
        <v>3.5158553838524995E-2</v>
      </c>
      <c r="E2">
        <v>5.0907293159003462E-2</v>
      </c>
      <c r="F2">
        <v>1.2361239080164606E-3</v>
      </c>
      <c r="G2">
        <v>2.5915524967767205E-3</v>
      </c>
    </row>
    <row r="3" spans="1:7" x14ac:dyDescent="0.3">
      <c r="A3">
        <v>1430003</v>
      </c>
      <c r="B3">
        <v>40.189382307692306</v>
      </c>
      <c r="C3">
        <v>-74.837853615384617</v>
      </c>
      <c r="D3">
        <v>1.8165415824009271E-2</v>
      </c>
      <c r="E3">
        <v>1.182805372856806E-2</v>
      </c>
      <c r="F3">
        <v>3.2998233205916639E-4</v>
      </c>
      <c r="G3">
        <v>1.3990285500589279E-4</v>
      </c>
    </row>
    <row r="4" spans="1:7" x14ac:dyDescent="0.3">
      <c r="A4">
        <v>1430005</v>
      </c>
      <c r="B4">
        <v>40.350538800000002</v>
      </c>
      <c r="C4">
        <v>-74.793812259999982</v>
      </c>
      <c r="D4">
        <v>0.12459572490049559</v>
      </c>
      <c r="E4">
        <v>0.26949744607990733</v>
      </c>
      <c r="F4">
        <v>1.5524094663479976E-2</v>
      </c>
      <c r="G4">
        <v>7.2628873443592562E-2</v>
      </c>
    </row>
    <row r="5" spans="1:7" x14ac:dyDescent="0.3">
      <c r="A5">
        <v>1430006</v>
      </c>
      <c r="B5">
        <v>39.640470416666666</v>
      </c>
      <c r="C5">
        <v>-75.513520416666665</v>
      </c>
      <c r="D5">
        <v>9.4968505892268559E-2</v>
      </c>
      <c r="E5">
        <v>7.2254175462342168E-2</v>
      </c>
      <c r="F5">
        <v>9.0190171114098491E-3</v>
      </c>
      <c r="G5">
        <v>5.2206658717429298E-3</v>
      </c>
    </row>
    <row r="6" spans="1:7" x14ac:dyDescent="0.3">
      <c r="A6">
        <v>1430007</v>
      </c>
      <c r="B6">
        <v>39.74141452941177</v>
      </c>
      <c r="C6">
        <v>-75.750461235294139</v>
      </c>
      <c r="D6">
        <v>9.4507874372281059E-2</v>
      </c>
      <c r="E6">
        <v>2.9134294030411546E-2</v>
      </c>
      <c r="F6">
        <v>8.9317383183668587E-3</v>
      </c>
      <c r="G6">
        <v>8.4880708865047382E-4</v>
      </c>
    </row>
    <row r="7" spans="1:7" x14ac:dyDescent="0.3">
      <c r="A7">
        <v>1430008</v>
      </c>
      <c r="B7">
        <v>39.126991250000003</v>
      </c>
      <c r="C7">
        <v>-75.522115250000013</v>
      </c>
      <c r="D7">
        <v>3.4275807505985384E-2</v>
      </c>
      <c r="E7">
        <v>2.8866249240031876E-2</v>
      </c>
      <c r="F7">
        <v>1.1748309801873638E-3</v>
      </c>
      <c r="G7">
        <v>8.3326034518764079E-4</v>
      </c>
    </row>
    <row r="8" spans="1:7" x14ac:dyDescent="0.3">
      <c r="A8">
        <v>1430010</v>
      </c>
      <c r="B8">
        <v>39.430827837837832</v>
      </c>
      <c r="C8">
        <v>-74.877485621621631</v>
      </c>
      <c r="D8">
        <v>0.27400893826272493</v>
      </c>
      <c r="E8">
        <v>0.23816923175172755</v>
      </c>
      <c r="F8">
        <v>7.5080898247865818E-2</v>
      </c>
      <c r="G8">
        <v>5.6724582953208105E-2</v>
      </c>
    </row>
    <row r="9" spans="1:7" x14ac:dyDescent="0.3">
      <c r="A9">
        <v>1430012</v>
      </c>
      <c r="B9">
        <v>39.40958235714286</v>
      </c>
      <c r="C9">
        <v>-74.483398071428581</v>
      </c>
      <c r="D9">
        <v>4.6306518588650744E-2</v>
      </c>
      <c r="E9">
        <v>4.9179405709336689E-2</v>
      </c>
      <c r="F9">
        <v>2.1442936638010569E-3</v>
      </c>
      <c r="G9">
        <v>2.4186139459235379E-3</v>
      </c>
    </row>
    <row r="10" spans="1:7" x14ac:dyDescent="0.3">
      <c r="A10">
        <v>1430014</v>
      </c>
      <c r="B10">
        <v>40.878285500000004</v>
      </c>
      <c r="C10">
        <v>-75.254945249999992</v>
      </c>
      <c r="D10">
        <v>2.7303685296126267E-2</v>
      </c>
      <c r="E10">
        <v>8.6037740484549888E-2</v>
      </c>
      <c r="F10">
        <v>7.4549123074990164E-4</v>
      </c>
      <c r="G10">
        <v>7.4024927876867536E-3</v>
      </c>
    </row>
    <row r="11" spans="1:7" x14ac:dyDescent="0.3">
      <c r="A11">
        <v>1430015</v>
      </c>
      <c r="B11">
        <v>40.373165625000006</v>
      </c>
      <c r="C11">
        <v>-75.290733875000001</v>
      </c>
      <c r="D11">
        <v>1.7815871890940114E-2</v>
      </c>
      <c r="E11">
        <v>1.857530510810983E-2</v>
      </c>
      <c r="F11">
        <v>3.1740529123439005E-4</v>
      </c>
      <c r="G11">
        <v>3.4504195985937111E-4</v>
      </c>
    </row>
    <row r="12" spans="1:7" x14ac:dyDescent="0.3">
      <c r="A12">
        <v>1430016</v>
      </c>
      <c r="B12">
        <v>40.150788883534162</v>
      </c>
      <c r="C12">
        <v>-75.561061020080359</v>
      </c>
      <c r="D12">
        <v>0.1233999795939594</v>
      </c>
      <c r="E12">
        <v>0.43124592087531027</v>
      </c>
      <c r="F12">
        <v>1.5227554963789596E-2</v>
      </c>
      <c r="G12">
        <v>0.18597304427159439</v>
      </c>
    </row>
    <row r="13" spans="1:7" x14ac:dyDescent="0.3">
      <c r="A13">
        <v>1430017</v>
      </c>
      <c r="B13">
        <v>39.954710605263152</v>
      </c>
      <c r="C13">
        <v>-74.908580868421041</v>
      </c>
      <c r="D13">
        <v>9.0125695593647873E-2</v>
      </c>
      <c r="E13">
        <v>0.20291223550254678</v>
      </c>
      <c r="F13">
        <v>8.1226410062388791E-3</v>
      </c>
      <c r="G13">
        <v>4.117337531664101E-2</v>
      </c>
    </row>
    <row r="14" spans="1:7" x14ac:dyDescent="0.3">
      <c r="A14">
        <v>1430018</v>
      </c>
      <c r="B14">
        <v>39.463768882352944</v>
      </c>
      <c r="C14">
        <v>-75.697801999999996</v>
      </c>
      <c r="D14">
        <v>3.5135721079136158E-2</v>
      </c>
      <c r="E14">
        <v>2.4217748406538266E-2</v>
      </c>
      <c r="F14">
        <v>1.234518895750853E-3</v>
      </c>
      <c r="G14">
        <v>5.8649933788238666E-4</v>
      </c>
    </row>
    <row r="15" spans="1:7" x14ac:dyDescent="0.3">
      <c r="A15">
        <v>1430021</v>
      </c>
      <c r="B15">
        <v>39.986221999999998</v>
      </c>
      <c r="C15">
        <v>-76.195122941176464</v>
      </c>
      <c r="D15">
        <v>8.4788621177123602E-2</v>
      </c>
      <c r="E15">
        <v>3.3705968249608177E-2</v>
      </c>
      <c r="F15">
        <v>7.1891102811177726E-3</v>
      </c>
      <c r="G15">
        <v>1.1360922956435947E-3</v>
      </c>
    </row>
    <row r="16" spans="1:7" x14ac:dyDescent="0.3">
      <c r="A16">
        <v>1430022</v>
      </c>
      <c r="B16">
        <v>40.044173999999991</v>
      </c>
      <c r="C16">
        <v>-76.342532620689653</v>
      </c>
      <c r="D16">
        <v>2.6644232915495909E-2</v>
      </c>
      <c r="E16">
        <v>5.7133914296843238E-2</v>
      </c>
      <c r="F16">
        <v>7.0991514765519567E-4</v>
      </c>
      <c r="G16">
        <v>3.2642841628790285E-3</v>
      </c>
    </row>
    <row r="17" spans="1:7" x14ac:dyDescent="0.3">
      <c r="A17">
        <v>1430023</v>
      </c>
      <c r="B17">
        <v>40.667665499999998</v>
      </c>
      <c r="C17">
        <v>-76.135995500000007</v>
      </c>
      <c r="D17">
        <v>2.2829377636065015E-2</v>
      </c>
      <c r="E17">
        <v>5.3403758814337135E-2</v>
      </c>
      <c r="F17">
        <v>5.211804832500655E-4</v>
      </c>
      <c r="G17">
        <v>2.8519614554998914E-3</v>
      </c>
    </row>
    <row r="18" spans="1:7" x14ac:dyDescent="0.3">
      <c r="A18">
        <v>1430024</v>
      </c>
      <c r="B18">
        <v>40.096122846153847</v>
      </c>
      <c r="C18">
        <v>-76.29696792307692</v>
      </c>
      <c r="D18">
        <v>1.1947189298333298E-2</v>
      </c>
      <c r="E18">
        <v>6.752718489177475E-3</v>
      </c>
      <c r="F18">
        <v>1.4273533213020968E-4</v>
      </c>
      <c r="G18">
        <v>4.5599206994079322E-5</v>
      </c>
    </row>
    <row r="19" spans="1:7" x14ac:dyDescent="0.3">
      <c r="A19">
        <v>1430025</v>
      </c>
      <c r="B19">
        <v>40.048882499999998</v>
      </c>
      <c r="C19">
        <v>-76.307285500000006</v>
      </c>
      <c r="D19">
        <v>1.2325000000004138E-3</v>
      </c>
      <c r="E19">
        <v>1.4205000000018231E-3</v>
      </c>
      <c r="F19">
        <v>1.5190562500010201E-6</v>
      </c>
      <c r="G19">
        <v>2.0178202500051796E-6</v>
      </c>
    </row>
    <row r="20" spans="1:7" x14ac:dyDescent="0.3">
      <c r="A20">
        <v>1430026</v>
      </c>
      <c r="B20">
        <v>40.369715344827583</v>
      </c>
      <c r="C20">
        <v>-75.948153896551716</v>
      </c>
      <c r="D20">
        <v>6.8448590842287202E-2</v>
      </c>
      <c r="E20">
        <v>7.0319725000610414E-2</v>
      </c>
      <c r="F20">
        <v>4.6852095882948443E-3</v>
      </c>
      <c r="G20">
        <v>4.9448637241614728E-3</v>
      </c>
    </row>
    <row r="21" spans="1:7" x14ac:dyDescent="0.3">
      <c r="A21">
        <v>1430027</v>
      </c>
      <c r="B21">
        <v>40.224038333333333</v>
      </c>
      <c r="C21">
        <v>-76.149554833333326</v>
      </c>
      <c r="D21">
        <v>7.7591473042397212E-3</v>
      </c>
      <c r="E21">
        <v>4.252082682509652E-3</v>
      </c>
      <c r="F21">
        <v>6.0204366888890526E-5</v>
      </c>
      <c r="G21">
        <v>1.8080207138898475E-5</v>
      </c>
    </row>
    <row r="22" spans="1:7" x14ac:dyDescent="0.3">
      <c r="A22">
        <v>1430029</v>
      </c>
      <c r="B22">
        <v>40.3449405</v>
      </c>
      <c r="C22">
        <v>-76.122712500000006</v>
      </c>
      <c r="D22">
        <v>1.6054999999965958E-3</v>
      </c>
      <c r="E22">
        <v>6.5550000000058617E-4</v>
      </c>
      <c r="F22">
        <v>2.577630249989069E-6</v>
      </c>
      <c r="G22">
        <v>4.296802500007685E-7</v>
      </c>
    </row>
    <row r="23" spans="1:7" x14ac:dyDescent="0.3">
      <c r="A23">
        <v>1430033</v>
      </c>
      <c r="B23">
        <v>40.843640787878797</v>
      </c>
      <c r="C23">
        <v>-76.664503575757593</v>
      </c>
      <c r="D23">
        <v>0.31547159532297336</v>
      </c>
      <c r="E23">
        <v>0.53389244684753845</v>
      </c>
      <c r="F23">
        <v>9.9522327455621853E-2</v>
      </c>
      <c r="G23">
        <v>0.28504114480085169</v>
      </c>
    </row>
    <row r="24" spans="1:7" x14ac:dyDescent="0.3">
      <c r="A24">
        <v>1430035</v>
      </c>
      <c r="B24">
        <v>40.179520763157889</v>
      </c>
      <c r="C24">
        <v>-76.479780710526299</v>
      </c>
      <c r="D24">
        <v>0.11153384848471949</v>
      </c>
      <c r="E24">
        <v>5.2512059863930066E-2</v>
      </c>
      <c r="F24">
        <v>1.2439799357812364E-2</v>
      </c>
      <c r="G24">
        <v>2.7575164311529747E-3</v>
      </c>
    </row>
    <row r="25" spans="1:7" x14ac:dyDescent="0.3">
      <c r="A25">
        <v>1430038</v>
      </c>
      <c r="B25">
        <v>40.59979222222222</v>
      </c>
      <c r="C25">
        <v>-77.570279888888891</v>
      </c>
      <c r="D25">
        <v>2.3865398070465789E-2</v>
      </c>
      <c r="E25">
        <v>4.1523843494351308E-2</v>
      </c>
      <c r="F25">
        <v>5.6955722506179217E-4</v>
      </c>
      <c r="G25">
        <v>1.7242295785433815E-3</v>
      </c>
    </row>
    <row r="26" spans="1:7" x14ac:dyDescent="0.3">
      <c r="A26">
        <v>1430039</v>
      </c>
      <c r="B26">
        <v>39.795279599999994</v>
      </c>
      <c r="C26">
        <v>-76.966075799999999</v>
      </c>
      <c r="D26">
        <v>1.9367642707362097E-2</v>
      </c>
      <c r="E26">
        <v>9.646845886609719E-3</v>
      </c>
      <c r="F26">
        <v>3.751055840400362E-4</v>
      </c>
      <c r="G26">
        <v>9.3061635559998844E-5</v>
      </c>
    </row>
    <row r="27" spans="1:7" x14ac:dyDescent="0.3">
      <c r="A27">
        <v>1430040</v>
      </c>
      <c r="B27">
        <v>39.954884571428572</v>
      </c>
      <c r="C27">
        <v>-76.701938285714292</v>
      </c>
      <c r="D27">
        <v>6.3430311559145988E-3</v>
      </c>
      <c r="E27">
        <v>2.1739457541626366E-2</v>
      </c>
      <c r="F27">
        <v>4.0234044244903295E-5</v>
      </c>
      <c r="G27">
        <v>4.7260401420417549E-4</v>
      </c>
    </row>
    <row r="28" spans="1:7" x14ac:dyDescent="0.3">
      <c r="A28">
        <v>1430044</v>
      </c>
      <c r="B28">
        <v>39.859309074074069</v>
      </c>
      <c r="C28">
        <v>-77.462973370370378</v>
      </c>
      <c r="D28">
        <v>7.6887986173695438E-2</v>
      </c>
      <c r="E28">
        <v>0.26242804560871635</v>
      </c>
      <c r="F28">
        <v>5.91176241784638E-3</v>
      </c>
      <c r="G28">
        <v>6.8868479122010509E-2</v>
      </c>
    </row>
    <row r="29" spans="1:7" x14ac:dyDescent="0.3">
      <c r="A29">
        <v>1430045</v>
      </c>
      <c r="B29">
        <v>40.201251411764716</v>
      </c>
      <c r="C29">
        <v>-76.810898627450982</v>
      </c>
      <c r="D29">
        <v>7.3463717500993272E-2</v>
      </c>
      <c r="E29">
        <v>0.14178137447063599</v>
      </c>
      <c r="F29">
        <v>5.3969177890657452E-3</v>
      </c>
      <c r="G29">
        <v>2.0101958146782707E-2</v>
      </c>
    </row>
    <row r="30" spans="1:7" x14ac:dyDescent="0.3">
      <c r="A30">
        <v>1430046</v>
      </c>
      <c r="B30">
        <v>39.991474652173913</v>
      </c>
      <c r="C30">
        <v>-76.713782695652185</v>
      </c>
      <c r="D30">
        <v>1.2787536780884569E-2</v>
      </c>
      <c r="E30">
        <v>7.8849429220968742E-2</v>
      </c>
      <c r="F30">
        <v>1.6352109692247571E-4</v>
      </c>
      <c r="G30">
        <v>6.2172324884725598E-3</v>
      </c>
    </row>
    <row r="31" spans="1:7" x14ac:dyDescent="0.3">
      <c r="A31">
        <v>1430047</v>
      </c>
      <c r="B31">
        <v>39.925265749999994</v>
      </c>
      <c r="C31">
        <v>-76.798933500000004</v>
      </c>
      <c r="D31">
        <v>2.565753181207164E-2</v>
      </c>
      <c r="E31">
        <v>8.3836484223757723E-2</v>
      </c>
      <c r="F31">
        <v>6.5830893868746828E-4</v>
      </c>
      <c r="G31">
        <v>7.0285560870003774E-3</v>
      </c>
    </row>
    <row r="32" spans="1:7" x14ac:dyDescent="0.3">
      <c r="A32">
        <v>1430048</v>
      </c>
      <c r="B32">
        <v>39.866269299999999</v>
      </c>
      <c r="C32">
        <v>-76.617983633333353</v>
      </c>
      <c r="D32">
        <v>8.4694827304132123E-2</v>
      </c>
      <c r="E32">
        <v>8.7532199078010242E-2</v>
      </c>
      <c r="F32">
        <v>7.1732137720767648E-3</v>
      </c>
      <c r="G32">
        <v>7.661885875432416E-3</v>
      </c>
    </row>
  </sheetData>
  <sortState xmlns:xlrd2="http://schemas.microsoft.com/office/spreadsheetml/2017/richdata2" ref="A2:A32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B405-F39D-4233-9E08-D4137049BBCF}">
  <sheetPr codeName="Sheet28"/>
  <dimension ref="A3:J902"/>
  <sheetViews>
    <sheetView topLeftCell="A855" zoomScale="85" zoomScaleNormal="85" workbookViewId="0">
      <selection activeCell="E872" sqref="E872"/>
    </sheetView>
  </sheetViews>
  <sheetFormatPr defaultColWidth="22" defaultRowHeight="14.4" x14ac:dyDescent="0.3"/>
  <cols>
    <col min="2" max="2" width="36.33203125" bestFit="1" customWidth="1"/>
    <col min="6" max="7" width="22" style="5"/>
  </cols>
  <sheetData>
    <row r="3" spans="1:10" x14ac:dyDescent="0.3">
      <c r="I3" s="6" t="s">
        <v>1754</v>
      </c>
      <c r="J3" s="6">
        <f>COUNTIF(G:G,I3)</f>
        <v>108</v>
      </c>
    </row>
    <row r="4" spans="1:10" x14ac:dyDescent="0.3">
      <c r="I4" s="6" t="s">
        <v>1752</v>
      </c>
      <c r="J4" s="6">
        <f>COUNTIF(G:G,I4)</f>
        <v>789</v>
      </c>
    </row>
    <row r="5" spans="1:10" ht="15" thickBot="1" x14ac:dyDescent="0.35">
      <c r="A5" s="2" t="s">
        <v>1411</v>
      </c>
      <c r="B5" s="2" t="s">
        <v>0</v>
      </c>
      <c r="C5" s="2" t="s">
        <v>1418</v>
      </c>
      <c r="D5" s="3" t="s">
        <v>3</v>
      </c>
      <c r="E5" s="3" t="s">
        <v>4</v>
      </c>
      <c r="F5" s="3" t="s">
        <v>1419</v>
      </c>
      <c r="G5" s="3" t="s">
        <v>1751</v>
      </c>
    </row>
    <row r="6" spans="1:10" x14ac:dyDescent="0.3">
      <c r="A6">
        <v>243918</v>
      </c>
      <c r="B6" t="s">
        <v>366</v>
      </c>
      <c r="C6">
        <v>1430017</v>
      </c>
      <c r="D6">
        <v>39.947749999999999</v>
      </c>
      <c r="E6">
        <v>-75.166150999999999</v>
      </c>
      <c r="F6" s="5">
        <v>1430017</v>
      </c>
      <c r="G6" s="5" t="s">
        <v>1752</v>
      </c>
    </row>
    <row r="7" spans="1:10" x14ac:dyDescent="0.3">
      <c r="A7">
        <v>245918</v>
      </c>
      <c r="B7" t="s">
        <v>420</v>
      </c>
      <c r="C7">
        <v>1430016</v>
      </c>
      <c r="D7">
        <v>39.879427</v>
      </c>
      <c r="E7">
        <v>-75.519986000000003</v>
      </c>
      <c r="F7" s="5">
        <v>1430016</v>
      </c>
      <c r="G7" s="5" t="s">
        <v>1752</v>
      </c>
    </row>
    <row r="8" spans="1:10" x14ac:dyDescent="0.3">
      <c r="A8">
        <v>270093</v>
      </c>
      <c r="B8" t="s">
        <v>493</v>
      </c>
      <c r="C8">
        <v>1430001</v>
      </c>
      <c r="D8">
        <v>39.956449999999997</v>
      </c>
      <c r="E8">
        <v>-75.319986</v>
      </c>
      <c r="F8" s="5">
        <v>1430017</v>
      </c>
      <c r="G8" s="4" t="s">
        <v>1753</v>
      </c>
    </row>
    <row r="9" spans="1:10" x14ac:dyDescent="0.3">
      <c r="A9">
        <v>272447</v>
      </c>
      <c r="B9" t="s">
        <v>501</v>
      </c>
      <c r="C9">
        <v>1430016</v>
      </c>
      <c r="D9">
        <v>40.015650999999998</v>
      </c>
      <c r="E9">
        <v>-75.354084</v>
      </c>
      <c r="F9" s="5">
        <v>1430016</v>
      </c>
      <c r="G9" s="5" t="s">
        <v>1752</v>
      </c>
    </row>
    <row r="10" spans="1:10" x14ac:dyDescent="0.3">
      <c r="A10">
        <v>296933</v>
      </c>
      <c r="B10" t="s">
        <v>585</v>
      </c>
      <c r="C10">
        <v>1430001</v>
      </c>
      <c r="D10">
        <v>39.906191999999997</v>
      </c>
      <c r="E10">
        <v>-75.332462000000007</v>
      </c>
      <c r="F10" s="5">
        <v>1430001</v>
      </c>
      <c r="G10" s="5" t="s">
        <v>1752</v>
      </c>
    </row>
    <row r="11" spans="1:10" x14ac:dyDescent="0.3">
      <c r="A11">
        <v>299777</v>
      </c>
      <c r="B11" t="s">
        <v>605</v>
      </c>
      <c r="C11">
        <v>1430016</v>
      </c>
      <c r="D11">
        <v>40.011754000000003</v>
      </c>
      <c r="E11">
        <v>-75.299429000000003</v>
      </c>
      <c r="F11" s="5">
        <v>1430016</v>
      </c>
      <c r="G11" s="5" t="s">
        <v>1752</v>
      </c>
    </row>
    <row r="12" spans="1:10" x14ac:dyDescent="0.3">
      <c r="A12">
        <v>305473</v>
      </c>
      <c r="B12" t="s">
        <v>1510</v>
      </c>
      <c r="C12">
        <v>1430016</v>
      </c>
      <c r="D12">
        <v>39.908520000000003</v>
      </c>
      <c r="E12">
        <v>-75.560590000000005</v>
      </c>
      <c r="F12" s="5">
        <v>1430016</v>
      </c>
      <c r="G12" s="5" t="s">
        <v>1752</v>
      </c>
    </row>
    <row r="13" spans="1:10" x14ac:dyDescent="0.3">
      <c r="A13">
        <v>322083</v>
      </c>
      <c r="B13" t="s">
        <v>699</v>
      </c>
      <c r="C13">
        <v>1430016</v>
      </c>
      <c r="D13">
        <v>39.882412000000002</v>
      </c>
      <c r="E13">
        <v>-75.555278000000001</v>
      </c>
      <c r="F13" s="5">
        <v>1430016</v>
      </c>
      <c r="G13" s="5" t="s">
        <v>1752</v>
      </c>
    </row>
    <row r="14" spans="1:10" x14ac:dyDescent="0.3">
      <c r="A14">
        <v>322474</v>
      </c>
      <c r="B14" t="s">
        <v>701</v>
      </c>
      <c r="C14">
        <v>1430016</v>
      </c>
      <c r="D14">
        <v>40.011389999999999</v>
      </c>
      <c r="E14">
        <v>-75.298180000000002</v>
      </c>
      <c r="F14" s="5">
        <v>1430016</v>
      </c>
      <c r="G14" s="5" t="s">
        <v>1752</v>
      </c>
    </row>
    <row r="15" spans="1:10" x14ac:dyDescent="0.3">
      <c r="A15">
        <v>332037</v>
      </c>
      <c r="B15" t="s">
        <v>733</v>
      </c>
      <c r="C15">
        <v>1430010</v>
      </c>
      <c r="D15">
        <v>39.761493000000002</v>
      </c>
      <c r="E15">
        <v>-75.292474999999996</v>
      </c>
      <c r="F15" s="5">
        <v>1430010</v>
      </c>
      <c r="G15" s="5" t="s">
        <v>1752</v>
      </c>
    </row>
    <row r="16" spans="1:10" x14ac:dyDescent="0.3">
      <c r="A16">
        <v>345060</v>
      </c>
      <c r="B16" t="s">
        <v>774</v>
      </c>
      <c r="C16">
        <v>1430001</v>
      </c>
      <c r="D16">
        <v>39.838726999999999</v>
      </c>
      <c r="E16">
        <v>-75.399327</v>
      </c>
      <c r="F16" s="5">
        <v>1430001</v>
      </c>
      <c r="G16" s="5" t="s">
        <v>1752</v>
      </c>
    </row>
    <row r="17" spans="1:7" x14ac:dyDescent="0.3">
      <c r="A17">
        <v>416930</v>
      </c>
      <c r="B17" t="s">
        <v>860</v>
      </c>
      <c r="C17">
        <v>1430001</v>
      </c>
      <c r="D17">
        <v>39.923110999999999</v>
      </c>
      <c r="E17">
        <v>-75.430684999999997</v>
      </c>
      <c r="F17" s="5">
        <v>1430001</v>
      </c>
      <c r="G17" s="5" t="s">
        <v>1752</v>
      </c>
    </row>
    <row r="18" spans="1:7" x14ac:dyDescent="0.3">
      <c r="A18">
        <v>417692</v>
      </c>
      <c r="B18" t="s">
        <v>1536</v>
      </c>
      <c r="C18">
        <v>1430001</v>
      </c>
      <c r="D18">
        <v>39.845356000000002</v>
      </c>
      <c r="E18">
        <v>-75.356891000000005</v>
      </c>
      <c r="F18" s="5">
        <v>1430001</v>
      </c>
      <c r="G18" s="5" t="s">
        <v>1752</v>
      </c>
    </row>
    <row r="19" spans="1:7" x14ac:dyDescent="0.3">
      <c r="A19">
        <v>419196</v>
      </c>
      <c r="B19" t="s">
        <v>985</v>
      </c>
      <c r="C19">
        <v>1430001</v>
      </c>
      <c r="D19">
        <v>39.904148999999997</v>
      </c>
      <c r="E19">
        <v>-75.406475999999998</v>
      </c>
      <c r="F19" s="5">
        <v>1430001</v>
      </c>
      <c r="G19" s="5" t="s">
        <v>1752</v>
      </c>
    </row>
    <row r="20" spans="1:7" x14ac:dyDescent="0.3">
      <c r="A20">
        <v>419197</v>
      </c>
      <c r="B20" t="s">
        <v>987</v>
      </c>
      <c r="C20">
        <v>1430001</v>
      </c>
      <c r="D20">
        <v>39.918349999999997</v>
      </c>
      <c r="E20">
        <v>-75.386420000000001</v>
      </c>
      <c r="F20" s="5">
        <v>1430001</v>
      </c>
      <c r="G20" s="5" t="s">
        <v>1752</v>
      </c>
    </row>
    <row r="21" spans="1:7" x14ac:dyDescent="0.3">
      <c r="A21">
        <v>419199</v>
      </c>
      <c r="B21" t="s">
        <v>989</v>
      </c>
      <c r="C21">
        <v>1430001</v>
      </c>
      <c r="D21">
        <v>39.944051999999999</v>
      </c>
      <c r="E21">
        <v>-75.399518</v>
      </c>
      <c r="F21" s="5">
        <v>1430001</v>
      </c>
      <c r="G21" s="5" t="s">
        <v>1752</v>
      </c>
    </row>
    <row r="22" spans="1:7" x14ac:dyDescent="0.3">
      <c r="A22">
        <v>419200</v>
      </c>
      <c r="B22" t="s">
        <v>991</v>
      </c>
      <c r="C22">
        <v>1430001</v>
      </c>
      <c r="D22">
        <v>39.923110999999999</v>
      </c>
      <c r="E22">
        <v>-75.430684999999997</v>
      </c>
      <c r="F22" s="5">
        <v>1430001</v>
      </c>
      <c r="G22" s="5" t="s">
        <v>1752</v>
      </c>
    </row>
    <row r="23" spans="1:7" x14ac:dyDescent="0.3">
      <c r="A23">
        <v>450163</v>
      </c>
      <c r="B23" t="s">
        <v>1156</v>
      </c>
      <c r="C23">
        <v>1430017</v>
      </c>
      <c r="D23">
        <v>39.933714999999999</v>
      </c>
      <c r="E23">
        <v>-75.097601999999995</v>
      </c>
      <c r="F23" s="5">
        <v>1430017</v>
      </c>
      <c r="G23" s="5" t="s">
        <v>1752</v>
      </c>
    </row>
    <row r="24" spans="1:7" x14ac:dyDescent="0.3">
      <c r="A24">
        <v>471995</v>
      </c>
      <c r="B24" t="s">
        <v>1324</v>
      </c>
      <c r="C24">
        <v>1430016</v>
      </c>
      <c r="D24">
        <v>40.005721999999999</v>
      </c>
      <c r="E24">
        <v>-75.231791000000001</v>
      </c>
      <c r="F24" s="5">
        <v>1430016</v>
      </c>
      <c r="G24" s="5" t="s">
        <v>1752</v>
      </c>
    </row>
    <row r="25" spans="1:7" x14ac:dyDescent="0.3">
      <c r="A25">
        <v>479144</v>
      </c>
      <c r="B25" t="s">
        <v>1344</v>
      </c>
      <c r="C25">
        <v>1430001</v>
      </c>
      <c r="D25">
        <v>39.882227</v>
      </c>
      <c r="E25">
        <v>-75.453924999999998</v>
      </c>
      <c r="F25" s="5">
        <v>1430001</v>
      </c>
      <c r="G25" s="5" t="s">
        <v>1752</v>
      </c>
    </row>
    <row r="26" spans="1:7" x14ac:dyDescent="0.3">
      <c r="A26">
        <v>479155</v>
      </c>
      <c r="B26" t="s">
        <v>1346</v>
      </c>
      <c r="C26">
        <v>1430016</v>
      </c>
      <c r="D26">
        <v>39.988563999999997</v>
      </c>
      <c r="E26">
        <v>-75.367115999999996</v>
      </c>
      <c r="F26" s="5">
        <v>1430016</v>
      </c>
      <c r="G26" s="5" t="s">
        <v>1752</v>
      </c>
    </row>
    <row r="27" spans="1:7" x14ac:dyDescent="0.3">
      <c r="A27">
        <v>479156</v>
      </c>
      <c r="B27" t="s">
        <v>1348</v>
      </c>
      <c r="C27">
        <v>1430001</v>
      </c>
      <c r="D27">
        <v>39.892327999999999</v>
      </c>
      <c r="E27">
        <v>-75.279820999999998</v>
      </c>
      <c r="F27" s="5">
        <v>1430001</v>
      </c>
      <c r="G27" s="5" t="s">
        <v>1752</v>
      </c>
    </row>
    <row r="28" spans="1:7" x14ac:dyDescent="0.3">
      <c r="A28">
        <v>243402</v>
      </c>
      <c r="B28" t="s">
        <v>348</v>
      </c>
      <c r="C28">
        <v>1430016</v>
      </c>
      <c r="D28">
        <v>40.004919999999998</v>
      </c>
      <c r="E28">
        <v>-75.428945999999996</v>
      </c>
      <c r="F28" s="5">
        <v>1430016</v>
      </c>
      <c r="G28" s="5" t="s">
        <v>1752</v>
      </c>
    </row>
    <row r="29" spans="1:7" x14ac:dyDescent="0.3">
      <c r="A29">
        <v>246241</v>
      </c>
      <c r="B29" t="s">
        <v>427</v>
      </c>
      <c r="C29">
        <v>1430016</v>
      </c>
      <c r="D29">
        <v>39.954438000000003</v>
      </c>
      <c r="E29">
        <v>-75.586223000000004</v>
      </c>
      <c r="F29" s="5">
        <v>1430016</v>
      </c>
      <c r="G29" s="5" t="s">
        <v>1752</v>
      </c>
    </row>
    <row r="30" spans="1:7" x14ac:dyDescent="0.3">
      <c r="A30">
        <v>297728</v>
      </c>
      <c r="B30" t="s">
        <v>593</v>
      </c>
      <c r="C30">
        <v>1430016</v>
      </c>
      <c r="D30">
        <v>39.981588000000002</v>
      </c>
      <c r="E30">
        <v>-75.569514999999996</v>
      </c>
      <c r="F30" s="5">
        <v>1430016</v>
      </c>
      <c r="G30" s="5" t="s">
        <v>1752</v>
      </c>
    </row>
    <row r="31" spans="1:7" x14ac:dyDescent="0.3">
      <c r="A31">
        <v>323329</v>
      </c>
      <c r="B31" t="s">
        <v>705</v>
      </c>
      <c r="C31">
        <v>1430016</v>
      </c>
      <c r="D31">
        <v>39.993592999999997</v>
      </c>
      <c r="E31">
        <v>-75.595584000000002</v>
      </c>
      <c r="F31" s="5">
        <v>1430016</v>
      </c>
      <c r="G31" s="5" t="s">
        <v>1752</v>
      </c>
    </row>
    <row r="32" spans="1:7" x14ac:dyDescent="0.3">
      <c r="A32">
        <v>325399</v>
      </c>
      <c r="B32" t="s">
        <v>715</v>
      </c>
      <c r="C32">
        <v>1430016</v>
      </c>
      <c r="D32">
        <v>39.962823</v>
      </c>
      <c r="E32">
        <v>-75.519326000000007</v>
      </c>
      <c r="F32" s="5">
        <v>1430016</v>
      </c>
      <c r="G32" s="5" t="s">
        <v>1752</v>
      </c>
    </row>
    <row r="33" spans="1:7" x14ac:dyDescent="0.3">
      <c r="A33">
        <v>424135</v>
      </c>
      <c r="B33" t="s">
        <v>1008</v>
      </c>
      <c r="C33">
        <v>1430016</v>
      </c>
      <c r="D33">
        <v>39.999476999999999</v>
      </c>
      <c r="E33">
        <v>-75.586648999999994</v>
      </c>
      <c r="F33" s="5">
        <v>1430016</v>
      </c>
      <c r="G33" s="5" t="s">
        <v>1752</v>
      </c>
    </row>
    <row r="34" spans="1:7" x14ac:dyDescent="0.3">
      <c r="A34">
        <v>480736</v>
      </c>
      <c r="B34" t="s">
        <v>1579</v>
      </c>
      <c r="C34">
        <v>1430016</v>
      </c>
      <c r="D34">
        <v>39.997607000000002</v>
      </c>
      <c r="E34">
        <v>-75.592209999999994</v>
      </c>
      <c r="F34" s="5">
        <v>1430016</v>
      </c>
      <c r="G34" s="5" t="s">
        <v>1752</v>
      </c>
    </row>
    <row r="35" spans="1:7" x14ac:dyDescent="0.3">
      <c r="A35">
        <v>243049</v>
      </c>
      <c r="B35" t="s">
        <v>1478</v>
      </c>
      <c r="C35">
        <v>1430003</v>
      </c>
      <c r="D35">
        <v>40.159889999999997</v>
      </c>
      <c r="E35">
        <v>-74.853210000000004</v>
      </c>
      <c r="F35" s="5">
        <v>1430016</v>
      </c>
      <c r="G35" s="4" t="s">
        <v>1753</v>
      </c>
    </row>
    <row r="36" spans="1:7" x14ac:dyDescent="0.3">
      <c r="A36">
        <v>243426</v>
      </c>
      <c r="B36" t="s">
        <v>350</v>
      </c>
      <c r="C36">
        <v>1430016</v>
      </c>
      <c r="D36">
        <v>40.166206000000003</v>
      </c>
      <c r="E36">
        <v>-74.868207999999996</v>
      </c>
      <c r="F36" s="5">
        <v>1430016</v>
      </c>
      <c r="G36" s="5" t="s">
        <v>1752</v>
      </c>
    </row>
    <row r="37" spans="1:7" x14ac:dyDescent="0.3">
      <c r="A37">
        <v>244062</v>
      </c>
      <c r="B37" t="s">
        <v>372</v>
      </c>
      <c r="C37">
        <v>1430005</v>
      </c>
      <c r="D37">
        <v>40.222909999999999</v>
      </c>
      <c r="E37">
        <v>-74.911809000000005</v>
      </c>
      <c r="F37" s="5">
        <v>1430005</v>
      </c>
      <c r="G37" s="5" t="s">
        <v>1752</v>
      </c>
    </row>
    <row r="38" spans="1:7" x14ac:dyDescent="0.3">
      <c r="A38">
        <v>245170</v>
      </c>
      <c r="B38" t="s">
        <v>402</v>
      </c>
      <c r="C38">
        <v>1430016</v>
      </c>
      <c r="D38">
        <v>40.129916999999999</v>
      </c>
      <c r="E38">
        <v>-74.943909000000005</v>
      </c>
      <c r="F38" s="5">
        <v>1430016</v>
      </c>
      <c r="G38" s="5" t="s">
        <v>1752</v>
      </c>
    </row>
    <row r="39" spans="1:7" x14ac:dyDescent="0.3">
      <c r="A39">
        <v>246000</v>
      </c>
      <c r="B39" t="s">
        <v>1472</v>
      </c>
      <c r="C39">
        <v>1430005</v>
      </c>
      <c r="D39">
        <v>40.228518999999999</v>
      </c>
      <c r="E39">
        <v>-74.932417000000001</v>
      </c>
      <c r="F39" s="5">
        <v>1430005</v>
      </c>
      <c r="G39" s="5" t="s">
        <v>1752</v>
      </c>
    </row>
    <row r="40" spans="1:7" x14ac:dyDescent="0.3">
      <c r="A40">
        <v>246234</v>
      </c>
      <c r="B40" t="s">
        <v>425</v>
      </c>
      <c r="C40">
        <v>1430005</v>
      </c>
      <c r="D40">
        <v>40.208801999999999</v>
      </c>
      <c r="E40">
        <v>-74.789079000000001</v>
      </c>
      <c r="F40" s="5">
        <v>1430005</v>
      </c>
      <c r="G40" s="5" t="s">
        <v>1752</v>
      </c>
    </row>
    <row r="41" spans="1:7" x14ac:dyDescent="0.3">
      <c r="A41">
        <v>265138</v>
      </c>
      <c r="B41" t="s">
        <v>473</v>
      </c>
      <c r="C41">
        <v>1430003</v>
      </c>
      <c r="D41">
        <v>40.216276999999998</v>
      </c>
      <c r="E41">
        <v>-74.854664999999997</v>
      </c>
      <c r="F41" s="5">
        <v>1430005</v>
      </c>
      <c r="G41" s="4" t="s">
        <v>1753</v>
      </c>
    </row>
    <row r="42" spans="1:7" x14ac:dyDescent="0.3">
      <c r="A42">
        <v>272530</v>
      </c>
      <c r="B42" t="s">
        <v>503</v>
      </c>
      <c r="C42">
        <v>1430016</v>
      </c>
      <c r="D42">
        <v>40.125867</v>
      </c>
      <c r="E42">
        <v>-74.927803999999995</v>
      </c>
      <c r="F42" s="5">
        <v>1430016</v>
      </c>
      <c r="G42" s="5" t="s">
        <v>1752</v>
      </c>
    </row>
    <row r="43" spans="1:7" x14ac:dyDescent="0.3">
      <c r="A43">
        <v>284678</v>
      </c>
      <c r="B43" t="s">
        <v>543</v>
      </c>
      <c r="C43">
        <v>1430016</v>
      </c>
      <c r="D43">
        <v>40.164416000000003</v>
      </c>
      <c r="E43">
        <v>-74.879621999999998</v>
      </c>
      <c r="F43" s="5">
        <v>1430016</v>
      </c>
      <c r="G43" s="5" t="s">
        <v>1752</v>
      </c>
    </row>
    <row r="44" spans="1:7" x14ac:dyDescent="0.3">
      <c r="A44">
        <v>313002</v>
      </c>
      <c r="B44" t="s">
        <v>665</v>
      </c>
      <c r="C44">
        <v>1430005</v>
      </c>
      <c r="D44">
        <v>40.380088999999998</v>
      </c>
      <c r="E44">
        <v>-74.989948999999996</v>
      </c>
      <c r="F44" s="5">
        <v>1430005</v>
      </c>
      <c r="G44" s="5" t="s">
        <v>1752</v>
      </c>
    </row>
    <row r="45" spans="1:7" x14ac:dyDescent="0.3">
      <c r="A45">
        <v>313176</v>
      </c>
      <c r="B45" t="s">
        <v>669</v>
      </c>
      <c r="C45">
        <v>1430016</v>
      </c>
      <c r="D45">
        <v>40.200589000000001</v>
      </c>
      <c r="E45">
        <v>-74.932328999999996</v>
      </c>
      <c r="F45" s="5">
        <v>1430005</v>
      </c>
      <c r="G45" s="4" t="s">
        <v>1753</v>
      </c>
    </row>
    <row r="46" spans="1:7" x14ac:dyDescent="0.3">
      <c r="A46">
        <v>318760</v>
      </c>
      <c r="B46" t="s">
        <v>683</v>
      </c>
      <c r="C46">
        <v>1430016</v>
      </c>
      <c r="D46">
        <v>40.221387</v>
      </c>
      <c r="E46">
        <v>-74.939626000000004</v>
      </c>
      <c r="F46" s="5">
        <v>1430005</v>
      </c>
      <c r="G46" s="4" t="s">
        <v>1753</v>
      </c>
    </row>
    <row r="47" spans="1:7" x14ac:dyDescent="0.3">
      <c r="A47">
        <v>329340</v>
      </c>
      <c r="B47" t="s">
        <v>719</v>
      </c>
      <c r="C47">
        <v>1430016</v>
      </c>
      <c r="D47">
        <v>40.212989999999998</v>
      </c>
      <c r="E47">
        <v>-74.940820000000002</v>
      </c>
      <c r="F47" s="5">
        <v>1430005</v>
      </c>
      <c r="G47" s="4" t="s">
        <v>1753</v>
      </c>
    </row>
    <row r="48" spans="1:7" x14ac:dyDescent="0.3">
      <c r="A48">
        <v>416141</v>
      </c>
      <c r="B48" t="s">
        <v>832</v>
      </c>
      <c r="C48">
        <v>1430005</v>
      </c>
      <c r="D48">
        <v>40.244570000000003</v>
      </c>
      <c r="E48">
        <v>-74.876542000000001</v>
      </c>
      <c r="F48" s="5">
        <v>1430005</v>
      </c>
      <c r="G48" s="5" t="s">
        <v>1752</v>
      </c>
    </row>
    <row r="49" spans="1:7" x14ac:dyDescent="0.3">
      <c r="A49">
        <v>416587</v>
      </c>
      <c r="B49" t="s">
        <v>846</v>
      </c>
      <c r="C49">
        <v>1430003</v>
      </c>
      <c r="D49">
        <v>40.209035999999998</v>
      </c>
      <c r="E49">
        <v>-74.827101999999996</v>
      </c>
      <c r="F49" s="5">
        <v>1430005</v>
      </c>
      <c r="G49" s="4" t="s">
        <v>1753</v>
      </c>
    </row>
    <row r="50" spans="1:7" x14ac:dyDescent="0.3">
      <c r="A50">
        <v>417133</v>
      </c>
      <c r="B50" t="s">
        <v>868</v>
      </c>
      <c r="C50">
        <v>1430005</v>
      </c>
      <c r="D50">
        <v>40.225588999999999</v>
      </c>
      <c r="E50">
        <v>-74.837260999999998</v>
      </c>
      <c r="F50" s="5">
        <v>1430005</v>
      </c>
      <c r="G50" s="5" t="s">
        <v>1752</v>
      </c>
    </row>
    <row r="51" spans="1:7" x14ac:dyDescent="0.3">
      <c r="A51">
        <v>417335</v>
      </c>
      <c r="B51" t="s">
        <v>877</v>
      </c>
      <c r="C51">
        <v>1430005</v>
      </c>
      <c r="D51">
        <v>40.234338999999999</v>
      </c>
      <c r="E51">
        <v>-74.769479000000004</v>
      </c>
      <c r="F51" s="5">
        <v>1430005</v>
      </c>
      <c r="G51" s="5" t="s">
        <v>1752</v>
      </c>
    </row>
    <row r="52" spans="1:7" x14ac:dyDescent="0.3">
      <c r="A52">
        <v>417957</v>
      </c>
      <c r="B52" t="s">
        <v>895</v>
      </c>
      <c r="C52">
        <v>1430005</v>
      </c>
      <c r="D52">
        <v>40.223053999999998</v>
      </c>
      <c r="E52">
        <v>-74.820443999999995</v>
      </c>
      <c r="F52" s="5">
        <v>1430005</v>
      </c>
      <c r="G52" s="5" t="s">
        <v>1752</v>
      </c>
    </row>
    <row r="53" spans="1:7" x14ac:dyDescent="0.3">
      <c r="A53">
        <v>417963</v>
      </c>
      <c r="B53" t="s">
        <v>897</v>
      </c>
      <c r="C53">
        <v>1430016</v>
      </c>
      <c r="D53">
        <v>40.171660000000003</v>
      </c>
      <c r="E53">
        <v>-74.820898999999997</v>
      </c>
      <c r="F53" s="5">
        <v>1430005</v>
      </c>
      <c r="G53" s="4" t="s">
        <v>1753</v>
      </c>
    </row>
    <row r="54" spans="1:7" x14ac:dyDescent="0.3">
      <c r="A54">
        <v>418156</v>
      </c>
      <c r="B54" t="s">
        <v>1473</v>
      </c>
      <c r="C54">
        <v>1430016</v>
      </c>
      <c r="D54">
        <v>40.157806999999998</v>
      </c>
      <c r="E54">
        <v>-74.948453000000001</v>
      </c>
      <c r="F54" s="5">
        <v>1430016</v>
      </c>
      <c r="G54" s="5" t="s">
        <v>1752</v>
      </c>
    </row>
    <row r="55" spans="1:7" x14ac:dyDescent="0.3">
      <c r="A55">
        <v>418301</v>
      </c>
      <c r="B55" t="s">
        <v>1479</v>
      </c>
      <c r="C55">
        <v>1430016</v>
      </c>
      <c r="D55">
        <v>40.162672999999998</v>
      </c>
      <c r="E55">
        <v>-74.817812000000004</v>
      </c>
      <c r="F55" s="5">
        <v>1430005</v>
      </c>
      <c r="G55" s="4" t="s">
        <v>1753</v>
      </c>
    </row>
    <row r="56" spans="1:7" x14ac:dyDescent="0.3">
      <c r="A56">
        <v>418321</v>
      </c>
      <c r="B56" t="s">
        <v>917</v>
      </c>
      <c r="C56">
        <v>1430003</v>
      </c>
      <c r="D56">
        <v>40.177030000000002</v>
      </c>
      <c r="E56">
        <v>-74.842389999999995</v>
      </c>
      <c r="F56" s="5">
        <v>1430003</v>
      </c>
      <c r="G56" s="5" t="s">
        <v>1752</v>
      </c>
    </row>
    <row r="57" spans="1:7" x14ac:dyDescent="0.3">
      <c r="A57">
        <v>418322</v>
      </c>
      <c r="B57" t="s">
        <v>919</v>
      </c>
      <c r="C57">
        <v>1430003</v>
      </c>
      <c r="D57">
        <v>40.173589999999997</v>
      </c>
      <c r="E57">
        <v>-74.836342000000002</v>
      </c>
      <c r="F57" s="5">
        <v>1430003</v>
      </c>
      <c r="G57" s="5" t="s">
        <v>1752</v>
      </c>
    </row>
    <row r="58" spans="1:7" x14ac:dyDescent="0.3">
      <c r="A58">
        <v>418323</v>
      </c>
      <c r="B58" t="s">
        <v>921</v>
      </c>
      <c r="C58">
        <v>1430003</v>
      </c>
      <c r="D58">
        <v>40.189326000000001</v>
      </c>
      <c r="E58">
        <v>-74.818043000000003</v>
      </c>
      <c r="F58" s="5">
        <v>1430005</v>
      </c>
      <c r="G58" s="4" t="s">
        <v>1753</v>
      </c>
    </row>
    <row r="59" spans="1:7" x14ac:dyDescent="0.3">
      <c r="A59">
        <v>418324</v>
      </c>
      <c r="B59" t="s">
        <v>923</v>
      </c>
      <c r="C59">
        <v>1430003</v>
      </c>
      <c r="D59">
        <v>40.176265000000001</v>
      </c>
      <c r="E59">
        <v>-74.834731000000005</v>
      </c>
      <c r="F59" s="5">
        <v>1430003</v>
      </c>
      <c r="G59" s="5" t="s">
        <v>1752</v>
      </c>
    </row>
    <row r="60" spans="1:7" x14ac:dyDescent="0.3">
      <c r="A60">
        <v>418325</v>
      </c>
      <c r="B60" t="s">
        <v>925</v>
      </c>
      <c r="C60">
        <v>1430003</v>
      </c>
      <c r="D60">
        <v>40.178257000000002</v>
      </c>
      <c r="E60">
        <v>-74.851068999999995</v>
      </c>
      <c r="F60" s="5">
        <v>1430005</v>
      </c>
      <c r="G60" s="4" t="s">
        <v>1753</v>
      </c>
    </row>
    <row r="61" spans="1:7" x14ac:dyDescent="0.3">
      <c r="A61">
        <v>418327</v>
      </c>
      <c r="B61" t="s">
        <v>927</v>
      </c>
      <c r="C61">
        <v>1430003</v>
      </c>
      <c r="D61">
        <v>40.191460999999997</v>
      </c>
      <c r="E61">
        <v>-74.849881999999994</v>
      </c>
      <c r="F61" s="5">
        <v>1430003</v>
      </c>
      <c r="G61" s="5" t="s">
        <v>1752</v>
      </c>
    </row>
    <row r="62" spans="1:7" x14ac:dyDescent="0.3">
      <c r="A62">
        <v>418331</v>
      </c>
      <c r="B62" t="s">
        <v>929</v>
      </c>
      <c r="C62">
        <v>1430003</v>
      </c>
      <c r="D62">
        <v>40.211736999999999</v>
      </c>
      <c r="E62">
        <v>-74.823443999999995</v>
      </c>
      <c r="F62" s="5">
        <v>1430005</v>
      </c>
      <c r="G62" s="4" t="s">
        <v>1753</v>
      </c>
    </row>
    <row r="63" spans="1:7" x14ac:dyDescent="0.3">
      <c r="A63">
        <v>418438</v>
      </c>
      <c r="B63" t="s">
        <v>951</v>
      </c>
      <c r="C63">
        <v>1430005</v>
      </c>
      <c r="D63">
        <v>40.244843000000003</v>
      </c>
      <c r="E63">
        <v>-74.873107000000005</v>
      </c>
      <c r="F63" s="5">
        <v>1430005</v>
      </c>
      <c r="G63" s="5" t="s">
        <v>1752</v>
      </c>
    </row>
    <row r="64" spans="1:7" x14ac:dyDescent="0.3">
      <c r="A64">
        <v>418512</v>
      </c>
      <c r="B64" t="s">
        <v>959</v>
      </c>
      <c r="C64">
        <v>1430003</v>
      </c>
      <c r="D64">
        <v>40.200786000000001</v>
      </c>
      <c r="E64">
        <v>-74.826369</v>
      </c>
      <c r="F64" s="5">
        <v>1430005</v>
      </c>
      <c r="G64" s="4" t="s">
        <v>1753</v>
      </c>
    </row>
    <row r="65" spans="1:7" x14ac:dyDescent="0.3">
      <c r="A65">
        <v>418544</v>
      </c>
      <c r="B65" t="s">
        <v>961</v>
      </c>
      <c r="C65">
        <v>1430017</v>
      </c>
      <c r="D65">
        <v>40.143149000000001</v>
      </c>
      <c r="E65">
        <v>-74.818524999999994</v>
      </c>
      <c r="F65" s="5">
        <v>1430005</v>
      </c>
      <c r="G65" s="4" t="s">
        <v>1753</v>
      </c>
    </row>
    <row r="66" spans="1:7" x14ac:dyDescent="0.3">
      <c r="A66">
        <v>418705</v>
      </c>
      <c r="B66" t="s">
        <v>971</v>
      </c>
      <c r="C66">
        <v>1430005</v>
      </c>
      <c r="D66">
        <v>40.252260999999997</v>
      </c>
      <c r="E66">
        <v>-74.948491000000004</v>
      </c>
      <c r="F66" s="5">
        <v>1430005</v>
      </c>
      <c r="G66" s="5" t="s">
        <v>1752</v>
      </c>
    </row>
    <row r="67" spans="1:7" x14ac:dyDescent="0.3">
      <c r="A67">
        <v>418972</v>
      </c>
      <c r="B67" t="s">
        <v>981</v>
      </c>
      <c r="C67">
        <v>1430017</v>
      </c>
      <c r="D67">
        <v>40.153736000000002</v>
      </c>
      <c r="E67">
        <v>-74.818672000000007</v>
      </c>
      <c r="F67" s="5">
        <v>1430005</v>
      </c>
      <c r="G67" s="4" t="s">
        <v>1753</v>
      </c>
    </row>
    <row r="68" spans="1:7" x14ac:dyDescent="0.3">
      <c r="A68">
        <v>419026</v>
      </c>
      <c r="B68" t="s">
        <v>983</v>
      </c>
      <c r="C68">
        <v>1430003</v>
      </c>
      <c r="D68">
        <v>40.211275000000001</v>
      </c>
      <c r="E68">
        <v>-74.830340000000007</v>
      </c>
      <c r="F68" s="5">
        <v>1430005</v>
      </c>
      <c r="G68" s="4" t="s">
        <v>1753</v>
      </c>
    </row>
    <row r="69" spans="1:7" x14ac:dyDescent="0.3">
      <c r="A69">
        <v>425206</v>
      </c>
      <c r="B69" t="s">
        <v>1026</v>
      </c>
      <c r="C69">
        <v>1430005</v>
      </c>
      <c r="D69">
        <v>40.363892999999997</v>
      </c>
      <c r="E69">
        <v>-74.967715999999996</v>
      </c>
      <c r="F69" s="5">
        <v>1430005</v>
      </c>
      <c r="G69" s="5" t="s">
        <v>1752</v>
      </c>
    </row>
    <row r="70" spans="1:7" x14ac:dyDescent="0.3">
      <c r="A70">
        <v>434258</v>
      </c>
      <c r="B70" t="s">
        <v>1084</v>
      </c>
      <c r="C70">
        <v>1430005</v>
      </c>
      <c r="D70">
        <v>40.365929999999999</v>
      </c>
      <c r="E70">
        <v>-74.959190000000007</v>
      </c>
      <c r="F70" s="5">
        <v>1430005</v>
      </c>
      <c r="G70" s="5" t="s">
        <v>1752</v>
      </c>
    </row>
    <row r="71" spans="1:7" x14ac:dyDescent="0.3">
      <c r="A71">
        <v>434259</v>
      </c>
      <c r="B71" t="s">
        <v>1086</v>
      </c>
      <c r="C71">
        <v>1430005</v>
      </c>
      <c r="D71">
        <v>40.365929999999999</v>
      </c>
      <c r="E71">
        <v>-74.959190000000007</v>
      </c>
      <c r="F71" s="5">
        <v>1430005</v>
      </c>
      <c r="G71" s="5" t="s">
        <v>1752</v>
      </c>
    </row>
    <row r="72" spans="1:7" x14ac:dyDescent="0.3">
      <c r="A72">
        <v>434260</v>
      </c>
      <c r="B72" t="s">
        <v>1087</v>
      </c>
      <c r="C72">
        <v>1430005</v>
      </c>
      <c r="D72">
        <v>40.367623999999999</v>
      </c>
      <c r="E72">
        <v>-74.959007999999997</v>
      </c>
      <c r="F72" s="5">
        <v>1430005</v>
      </c>
      <c r="G72" s="5" t="s">
        <v>1752</v>
      </c>
    </row>
    <row r="73" spans="1:7" x14ac:dyDescent="0.3">
      <c r="A73">
        <v>442560</v>
      </c>
      <c r="B73" t="s">
        <v>1119</v>
      </c>
      <c r="C73">
        <v>1430005</v>
      </c>
      <c r="D73">
        <v>40.227809000000001</v>
      </c>
      <c r="E73">
        <v>-74.920968000000002</v>
      </c>
      <c r="F73" s="5">
        <v>1430005</v>
      </c>
      <c r="G73" s="5" t="s">
        <v>1752</v>
      </c>
    </row>
    <row r="74" spans="1:7" x14ac:dyDescent="0.3">
      <c r="A74">
        <v>456996</v>
      </c>
      <c r="B74" t="s">
        <v>1189</v>
      </c>
      <c r="C74">
        <v>1430016</v>
      </c>
      <c r="D74">
        <v>40.163958999999998</v>
      </c>
      <c r="E74">
        <v>-74.898771999999994</v>
      </c>
      <c r="F74" s="5">
        <v>1430016</v>
      </c>
      <c r="G74" s="5" t="s">
        <v>1752</v>
      </c>
    </row>
    <row r="75" spans="1:7" x14ac:dyDescent="0.3">
      <c r="A75">
        <v>464362</v>
      </c>
      <c r="B75" t="s">
        <v>1471</v>
      </c>
      <c r="C75">
        <v>1430005</v>
      </c>
      <c r="D75">
        <v>40.364212999999999</v>
      </c>
      <c r="E75">
        <v>-74.965804000000006</v>
      </c>
      <c r="F75" s="5">
        <v>1430005</v>
      </c>
      <c r="G75" s="5" t="s">
        <v>1752</v>
      </c>
    </row>
    <row r="76" spans="1:7" x14ac:dyDescent="0.3">
      <c r="A76">
        <v>469362</v>
      </c>
      <c r="B76" t="s">
        <v>1291</v>
      </c>
      <c r="C76">
        <v>1430003</v>
      </c>
      <c r="D76">
        <v>40.16704</v>
      </c>
      <c r="E76">
        <v>-74.84451</v>
      </c>
      <c r="F76" s="5">
        <v>1430005</v>
      </c>
      <c r="G76" s="4" t="s">
        <v>1753</v>
      </c>
    </row>
    <row r="77" spans="1:7" x14ac:dyDescent="0.3">
      <c r="A77">
        <v>472262</v>
      </c>
      <c r="B77" t="s">
        <v>1326</v>
      </c>
      <c r="C77">
        <v>1430005</v>
      </c>
      <c r="D77">
        <v>40.265920000000001</v>
      </c>
      <c r="E77">
        <v>-74.759276</v>
      </c>
      <c r="F77" s="5">
        <v>1430005</v>
      </c>
      <c r="G77" s="5" t="s">
        <v>1752</v>
      </c>
    </row>
    <row r="78" spans="1:7" x14ac:dyDescent="0.3">
      <c r="A78">
        <v>243116</v>
      </c>
      <c r="B78" t="s">
        <v>344</v>
      </c>
      <c r="C78">
        <v>1430016</v>
      </c>
      <c r="D78">
        <v>40.201532</v>
      </c>
      <c r="E78">
        <v>-75.078660999999997</v>
      </c>
      <c r="F78" s="5">
        <v>1430016</v>
      </c>
      <c r="G78" s="5" t="s">
        <v>1752</v>
      </c>
    </row>
    <row r="79" spans="1:7" x14ac:dyDescent="0.3">
      <c r="A79">
        <v>244074</v>
      </c>
      <c r="B79" t="s">
        <v>376</v>
      </c>
      <c r="C79">
        <v>1430016</v>
      </c>
      <c r="D79">
        <v>40.181170000000002</v>
      </c>
      <c r="E79">
        <v>-75.015600000000006</v>
      </c>
      <c r="F79" s="5">
        <v>1430016</v>
      </c>
      <c r="G79" s="5" t="s">
        <v>1752</v>
      </c>
    </row>
    <row r="80" spans="1:7" x14ac:dyDescent="0.3">
      <c r="A80">
        <v>245422</v>
      </c>
      <c r="B80" t="s">
        <v>408</v>
      </c>
      <c r="C80">
        <v>1430016</v>
      </c>
      <c r="D80">
        <v>40.181998999999998</v>
      </c>
      <c r="E80">
        <v>-75.098838999999998</v>
      </c>
      <c r="F80" s="5">
        <v>1430016</v>
      </c>
      <c r="G80" s="5" t="s">
        <v>1752</v>
      </c>
    </row>
    <row r="81" spans="1:7" x14ac:dyDescent="0.3">
      <c r="A81">
        <v>246418</v>
      </c>
      <c r="B81" t="s">
        <v>433</v>
      </c>
      <c r="C81">
        <v>1430016</v>
      </c>
      <c r="D81">
        <v>40.165638000000001</v>
      </c>
      <c r="E81">
        <v>-75.045529999999999</v>
      </c>
      <c r="F81" s="5">
        <v>1430016</v>
      </c>
      <c r="G81" s="5" t="s">
        <v>1752</v>
      </c>
    </row>
    <row r="82" spans="1:7" x14ac:dyDescent="0.3">
      <c r="A82">
        <v>246473</v>
      </c>
      <c r="B82" t="s">
        <v>437</v>
      </c>
      <c r="C82">
        <v>1430016</v>
      </c>
      <c r="D82">
        <v>40.157426000000001</v>
      </c>
      <c r="E82">
        <v>-75.108328999999998</v>
      </c>
      <c r="F82" s="5">
        <v>1430016</v>
      </c>
      <c r="G82" s="5" t="s">
        <v>1752</v>
      </c>
    </row>
    <row r="83" spans="1:7" x14ac:dyDescent="0.3">
      <c r="A83">
        <v>246514</v>
      </c>
      <c r="B83" t="s">
        <v>441</v>
      </c>
      <c r="C83">
        <v>1430016</v>
      </c>
      <c r="D83">
        <v>40.199826000000002</v>
      </c>
      <c r="E83">
        <v>-75.065479999999994</v>
      </c>
      <c r="F83" s="5">
        <v>1430016</v>
      </c>
      <c r="G83" s="5" t="s">
        <v>1752</v>
      </c>
    </row>
    <row r="84" spans="1:7" x14ac:dyDescent="0.3">
      <c r="A84">
        <v>266748</v>
      </c>
      <c r="B84" t="s">
        <v>477</v>
      </c>
      <c r="C84">
        <v>1430016</v>
      </c>
      <c r="D84">
        <v>40.188827000000003</v>
      </c>
      <c r="E84">
        <v>-75.092367999999993</v>
      </c>
      <c r="F84" s="5">
        <v>1430016</v>
      </c>
      <c r="G84" s="5" t="s">
        <v>1752</v>
      </c>
    </row>
    <row r="85" spans="1:7" x14ac:dyDescent="0.3">
      <c r="A85">
        <v>284104</v>
      </c>
      <c r="B85" t="s">
        <v>539</v>
      </c>
      <c r="C85">
        <v>1430016</v>
      </c>
      <c r="D85">
        <v>40.161365000000004</v>
      </c>
      <c r="E85">
        <v>-75.055143000000001</v>
      </c>
      <c r="F85" s="5">
        <v>1430016</v>
      </c>
      <c r="G85" s="5" t="s">
        <v>1752</v>
      </c>
    </row>
    <row r="86" spans="1:7" x14ac:dyDescent="0.3">
      <c r="A86">
        <v>295270</v>
      </c>
      <c r="B86" t="s">
        <v>569</v>
      </c>
      <c r="C86">
        <v>1430016</v>
      </c>
      <c r="D86">
        <v>40.199520999999997</v>
      </c>
      <c r="E86">
        <v>-75.082561999999996</v>
      </c>
      <c r="F86" s="5">
        <v>1430016</v>
      </c>
      <c r="G86" s="5" t="s">
        <v>1752</v>
      </c>
    </row>
    <row r="87" spans="1:7" x14ac:dyDescent="0.3">
      <c r="A87">
        <v>304821</v>
      </c>
      <c r="B87" t="s">
        <v>623</v>
      </c>
      <c r="C87">
        <v>1430016</v>
      </c>
      <c r="D87">
        <v>40.183830999999998</v>
      </c>
      <c r="E87">
        <v>-75.136796000000004</v>
      </c>
      <c r="F87" s="5">
        <v>1430016</v>
      </c>
      <c r="G87" s="5" t="s">
        <v>1752</v>
      </c>
    </row>
    <row r="88" spans="1:7" x14ac:dyDescent="0.3">
      <c r="A88">
        <v>340988</v>
      </c>
      <c r="B88" t="s">
        <v>1528</v>
      </c>
      <c r="C88">
        <v>1430016</v>
      </c>
      <c r="D88">
        <v>40.161425999999999</v>
      </c>
      <c r="E88">
        <v>-75.109516999999997</v>
      </c>
      <c r="F88" s="5">
        <v>1430016</v>
      </c>
      <c r="G88" s="5" t="s">
        <v>1752</v>
      </c>
    </row>
    <row r="89" spans="1:7" x14ac:dyDescent="0.3">
      <c r="A89">
        <v>345521</v>
      </c>
      <c r="B89" t="s">
        <v>784</v>
      </c>
      <c r="C89">
        <v>1430016</v>
      </c>
      <c r="D89">
        <v>40.169879999999999</v>
      </c>
      <c r="E89">
        <v>-75.09948</v>
      </c>
      <c r="F89" s="5">
        <v>1430016</v>
      </c>
      <c r="G89" s="5" t="s">
        <v>1752</v>
      </c>
    </row>
    <row r="90" spans="1:7" x14ac:dyDescent="0.3">
      <c r="A90">
        <v>457721</v>
      </c>
      <c r="B90" t="s">
        <v>1193</v>
      </c>
      <c r="C90">
        <v>1430016</v>
      </c>
      <c r="D90">
        <v>40.172339999999998</v>
      </c>
      <c r="E90">
        <v>-75.133920000000003</v>
      </c>
      <c r="F90" s="5">
        <v>1430016</v>
      </c>
      <c r="G90" s="5" t="s">
        <v>1752</v>
      </c>
    </row>
    <row r="91" spans="1:7" x14ac:dyDescent="0.3">
      <c r="A91">
        <v>459965</v>
      </c>
      <c r="B91" t="s">
        <v>1201</v>
      </c>
      <c r="C91">
        <v>1430016</v>
      </c>
      <c r="D91">
        <v>40.171370000000003</v>
      </c>
      <c r="E91">
        <v>-75.130989</v>
      </c>
      <c r="F91" s="5">
        <v>1430016</v>
      </c>
      <c r="G91" s="5" t="s">
        <v>1752</v>
      </c>
    </row>
    <row r="92" spans="1:7" x14ac:dyDescent="0.3">
      <c r="A92">
        <v>459971</v>
      </c>
      <c r="B92" t="s">
        <v>1201</v>
      </c>
      <c r="C92">
        <v>1430016</v>
      </c>
      <c r="D92">
        <v>40.173324000000001</v>
      </c>
      <c r="E92">
        <v>-75.134210999999993</v>
      </c>
      <c r="F92" s="5">
        <v>1430016</v>
      </c>
      <c r="G92" s="5" t="s">
        <v>1752</v>
      </c>
    </row>
    <row r="93" spans="1:7" x14ac:dyDescent="0.3">
      <c r="A93">
        <v>459978</v>
      </c>
      <c r="B93" t="s">
        <v>1201</v>
      </c>
      <c r="C93">
        <v>1430016</v>
      </c>
      <c r="D93">
        <v>40.166902999999998</v>
      </c>
      <c r="E93">
        <v>-75.140625</v>
      </c>
      <c r="F93" s="5">
        <v>1430016</v>
      </c>
      <c r="G93" s="5" t="s">
        <v>1752</v>
      </c>
    </row>
    <row r="94" spans="1:7" x14ac:dyDescent="0.3">
      <c r="A94">
        <v>459982</v>
      </c>
      <c r="B94" t="s">
        <v>1201</v>
      </c>
      <c r="C94">
        <v>1430016</v>
      </c>
      <c r="D94">
        <v>40.164538999999998</v>
      </c>
      <c r="E94">
        <v>-75.136464000000004</v>
      </c>
      <c r="F94" s="5">
        <v>1430016</v>
      </c>
      <c r="G94" s="5" t="s">
        <v>1752</v>
      </c>
    </row>
    <row r="95" spans="1:7" x14ac:dyDescent="0.3">
      <c r="A95">
        <v>470672</v>
      </c>
      <c r="B95" t="s">
        <v>1570</v>
      </c>
      <c r="C95">
        <v>1430016</v>
      </c>
      <c r="D95">
        <v>40.191040000000001</v>
      </c>
      <c r="E95">
        <v>-75.090869999999995</v>
      </c>
      <c r="F95" s="5">
        <v>1430016</v>
      </c>
      <c r="G95" s="5" t="s">
        <v>1752</v>
      </c>
    </row>
    <row r="96" spans="1:7" x14ac:dyDescent="0.3">
      <c r="A96">
        <v>243650</v>
      </c>
      <c r="B96" t="s">
        <v>360</v>
      </c>
      <c r="C96">
        <v>1430005</v>
      </c>
      <c r="D96">
        <v>40.336599</v>
      </c>
      <c r="E96">
        <v>-74.684808000000004</v>
      </c>
      <c r="F96" s="5">
        <v>1430005</v>
      </c>
      <c r="G96" s="5" t="s">
        <v>1752</v>
      </c>
    </row>
    <row r="97" spans="1:7" x14ac:dyDescent="0.3">
      <c r="A97">
        <v>245430</v>
      </c>
      <c r="B97" t="s">
        <v>410</v>
      </c>
      <c r="C97">
        <v>1430005</v>
      </c>
      <c r="D97">
        <v>40.544477000000001</v>
      </c>
      <c r="E97">
        <v>-74.598236</v>
      </c>
      <c r="F97" s="5">
        <v>1430005</v>
      </c>
      <c r="G97" s="5" t="s">
        <v>1752</v>
      </c>
    </row>
    <row r="98" spans="1:7" x14ac:dyDescent="0.3">
      <c r="A98">
        <v>266867</v>
      </c>
      <c r="B98" t="s">
        <v>479</v>
      </c>
      <c r="C98">
        <v>1430005</v>
      </c>
      <c r="D98">
        <v>40.257550000000002</v>
      </c>
      <c r="E98">
        <v>-74.260170000000002</v>
      </c>
      <c r="F98" s="5">
        <v>1430005</v>
      </c>
      <c r="G98" s="5" t="s">
        <v>1752</v>
      </c>
    </row>
    <row r="99" spans="1:7" x14ac:dyDescent="0.3">
      <c r="A99">
        <v>267491</v>
      </c>
      <c r="B99" t="s">
        <v>1488</v>
      </c>
      <c r="C99">
        <v>1430005</v>
      </c>
      <c r="D99">
        <v>40.733319999999999</v>
      </c>
      <c r="E99">
        <v>-74.67089</v>
      </c>
      <c r="F99" s="5">
        <v>1430005</v>
      </c>
      <c r="G99" s="5" t="s">
        <v>1752</v>
      </c>
    </row>
    <row r="100" spans="1:7" x14ac:dyDescent="0.3">
      <c r="A100">
        <v>284279</v>
      </c>
      <c r="B100" t="s">
        <v>541</v>
      </c>
      <c r="C100">
        <v>1430005</v>
      </c>
      <c r="D100">
        <v>40.367341000000003</v>
      </c>
      <c r="E100">
        <v>-74.686345000000003</v>
      </c>
      <c r="F100" s="5">
        <v>1430005</v>
      </c>
      <c r="G100" s="5" t="s">
        <v>1752</v>
      </c>
    </row>
    <row r="101" spans="1:7" x14ac:dyDescent="0.3">
      <c r="A101">
        <v>293699</v>
      </c>
      <c r="B101" t="s">
        <v>559</v>
      </c>
      <c r="C101">
        <v>1430005</v>
      </c>
      <c r="D101">
        <v>40.276806999999998</v>
      </c>
      <c r="E101">
        <v>-74.705136999999993</v>
      </c>
      <c r="F101" s="5">
        <v>1430005</v>
      </c>
      <c r="G101" s="5" t="s">
        <v>1752</v>
      </c>
    </row>
    <row r="102" spans="1:7" x14ac:dyDescent="0.3">
      <c r="A102">
        <v>300554</v>
      </c>
      <c r="B102" t="s">
        <v>611</v>
      </c>
      <c r="C102">
        <v>1430005</v>
      </c>
      <c r="D102">
        <v>40.383235999999997</v>
      </c>
      <c r="E102">
        <v>-74.647844000000006</v>
      </c>
      <c r="F102" s="5">
        <v>1430005</v>
      </c>
      <c r="G102" s="5" t="s">
        <v>1752</v>
      </c>
    </row>
    <row r="103" spans="1:7" x14ac:dyDescent="0.3">
      <c r="A103">
        <v>307799</v>
      </c>
      <c r="B103" t="s">
        <v>649</v>
      </c>
      <c r="C103">
        <v>1430005</v>
      </c>
      <c r="D103">
        <v>40.414785000000002</v>
      </c>
      <c r="E103">
        <v>-74.533818999999994</v>
      </c>
      <c r="F103" s="5">
        <v>1430005</v>
      </c>
      <c r="G103" s="5" t="s">
        <v>1752</v>
      </c>
    </row>
    <row r="104" spans="1:7" x14ac:dyDescent="0.3">
      <c r="A104">
        <v>323792</v>
      </c>
      <c r="B104" t="s">
        <v>707</v>
      </c>
      <c r="C104">
        <v>1430005</v>
      </c>
      <c r="D104">
        <v>40.216275000000003</v>
      </c>
      <c r="E104">
        <v>-74.617227</v>
      </c>
      <c r="F104" s="5">
        <v>1430005</v>
      </c>
      <c r="G104" s="5" t="s">
        <v>1752</v>
      </c>
    </row>
    <row r="105" spans="1:7" x14ac:dyDescent="0.3">
      <c r="A105">
        <v>337510</v>
      </c>
      <c r="B105" t="s">
        <v>741</v>
      </c>
      <c r="C105">
        <v>1430005</v>
      </c>
      <c r="D105">
        <v>40.651922999999996</v>
      </c>
      <c r="E105">
        <v>-74.475785000000002</v>
      </c>
      <c r="F105" s="5">
        <v>1430005</v>
      </c>
      <c r="G105" s="5" t="s">
        <v>1752</v>
      </c>
    </row>
    <row r="106" spans="1:7" x14ac:dyDescent="0.3">
      <c r="A106">
        <v>342615</v>
      </c>
      <c r="B106" t="s">
        <v>755</v>
      </c>
      <c r="C106">
        <v>1430005</v>
      </c>
      <c r="D106">
        <v>40.509661000000001</v>
      </c>
      <c r="E106">
        <v>-74.863328999999993</v>
      </c>
      <c r="F106" s="5">
        <v>1430005</v>
      </c>
      <c r="G106" s="5" t="s">
        <v>1752</v>
      </c>
    </row>
    <row r="107" spans="1:7" x14ac:dyDescent="0.3">
      <c r="A107">
        <v>342767</v>
      </c>
      <c r="B107" t="s">
        <v>759</v>
      </c>
      <c r="C107">
        <v>1430005</v>
      </c>
      <c r="D107">
        <v>40.638339999999999</v>
      </c>
      <c r="E107">
        <v>-74.882390000000001</v>
      </c>
      <c r="F107" s="5">
        <v>1430005</v>
      </c>
      <c r="G107" s="5" t="s">
        <v>1752</v>
      </c>
    </row>
    <row r="108" spans="1:7" x14ac:dyDescent="0.3">
      <c r="A108">
        <v>416963</v>
      </c>
      <c r="B108" t="s">
        <v>864</v>
      </c>
      <c r="C108">
        <v>1430005</v>
      </c>
      <c r="D108">
        <v>40.529670000000003</v>
      </c>
      <c r="E108">
        <v>-74.856840000000005</v>
      </c>
      <c r="F108" s="5">
        <v>1430005</v>
      </c>
      <c r="G108" s="5" t="s">
        <v>1752</v>
      </c>
    </row>
    <row r="109" spans="1:7" x14ac:dyDescent="0.3">
      <c r="A109">
        <v>430805</v>
      </c>
      <c r="B109" t="s">
        <v>1061</v>
      </c>
      <c r="C109">
        <v>1430005</v>
      </c>
      <c r="D109">
        <v>40.317490999999997</v>
      </c>
      <c r="E109">
        <v>-74.789244999999994</v>
      </c>
      <c r="F109" s="5">
        <v>1430005</v>
      </c>
      <c r="G109" s="5" t="s">
        <v>1752</v>
      </c>
    </row>
    <row r="110" spans="1:7" x14ac:dyDescent="0.3">
      <c r="A110">
        <v>451388</v>
      </c>
      <c r="B110" t="s">
        <v>1160</v>
      </c>
      <c r="C110">
        <v>1430005</v>
      </c>
      <c r="D110">
        <v>40.357711999999999</v>
      </c>
      <c r="E110">
        <v>-74.683361000000005</v>
      </c>
      <c r="F110" s="5">
        <v>1430005</v>
      </c>
      <c r="G110" s="5" t="s">
        <v>1752</v>
      </c>
    </row>
    <row r="111" spans="1:7" x14ac:dyDescent="0.3">
      <c r="A111">
        <v>464105</v>
      </c>
      <c r="B111" t="s">
        <v>1227</v>
      </c>
      <c r="C111">
        <v>1430005</v>
      </c>
      <c r="D111">
        <v>40.265819999999998</v>
      </c>
      <c r="E111">
        <v>-74.737799999999993</v>
      </c>
      <c r="F111" s="5">
        <v>1430005</v>
      </c>
      <c r="G111" s="5" t="s">
        <v>1752</v>
      </c>
    </row>
    <row r="112" spans="1:7" x14ac:dyDescent="0.3">
      <c r="A112">
        <v>469954</v>
      </c>
      <c r="B112" t="s">
        <v>1008</v>
      </c>
      <c r="C112">
        <v>1430005</v>
      </c>
      <c r="D112">
        <v>40.23122</v>
      </c>
      <c r="E112">
        <v>-74.708100000000002</v>
      </c>
      <c r="F112" s="5">
        <v>1430005</v>
      </c>
      <c r="G112" s="5" t="s">
        <v>1752</v>
      </c>
    </row>
    <row r="113" spans="1:7" x14ac:dyDescent="0.3">
      <c r="A113">
        <v>480570</v>
      </c>
      <c r="B113" t="s">
        <v>1364</v>
      </c>
      <c r="C113">
        <v>1430005</v>
      </c>
      <c r="D113">
        <v>40.382798999999999</v>
      </c>
      <c r="E113">
        <v>-74.179051000000001</v>
      </c>
      <c r="F113" s="5">
        <v>1430005</v>
      </c>
      <c r="G113" s="5" t="s">
        <v>1752</v>
      </c>
    </row>
    <row r="114" spans="1:7" x14ac:dyDescent="0.3">
      <c r="A114">
        <v>480572</v>
      </c>
      <c r="B114" t="s">
        <v>1366</v>
      </c>
      <c r="C114">
        <v>1430005</v>
      </c>
      <c r="D114">
        <v>40.357050000000001</v>
      </c>
      <c r="E114">
        <v>-74.153949999999995</v>
      </c>
      <c r="F114" s="5">
        <v>1430005</v>
      </c>
      <c r="G114" s="5" t="s">
        <v>1752</v>
      </c>
    </row>
    <row r="115" spans="1:7" x14ac:dyDescent="0.3">
      <c r="A115">
        <v>480580</v>
      </c>
      <c r="B115" t="s">
        <v>1368</v>
      </c>
      <c r="C115">
        <v>1430005</v>
      </c>
      <c r="D115">
        <v>40.405389999999997</v>
      </c>
      <c r="E115">
        <v>-74.188010000000006</v>
      </c>
      <c r="F115" s="5">
        <v>1430005</v>
      </c>
      <c r="G115" s="5" t="s">
        <v>1752</v>
      </c>
    </row>
    <row r="116" spans="1:7" x14ac:dyDescent="0.3">
      <c r="A116">
        <v>480581</v>
      </c>
      <c r="B116" t="s">
        <v>1370</v>
      </c>
      <c r="C116">
        <v>1430005</v>
      </c>
      <c r="D116">
        <v>40.344999999999999</v>
      </c>
      <c r="E116">
        <v>-74.170289999999994</v>
      </c>
      <c r="F116" s="5">
        <v>1430005</v>
      </c>
      <c r="G116" s="5" t="s">
        <v>1752</v>
      </c>
    </row>
    <row r="117" spans="1:7" x14ac:dyDescent="0.3">
      <c r="A117">
        <v>481104</v>
      </c>
      <c r="B117" t="s">
        <v>1376</v>
      </c>
      <c r="C117">
        <v>1430005</v>
      </c>
      <c r="D117">
        <v>40.509661000000001</v>
      </c>
      <c r="E117">
        <v>-74.863328999999993</v>
      </c>
      <c r="F117" s="5">
        <v>1430005</v>
      </c>
      <c r="G117" s="5" t="s">
        <v>1752</v>
      </c>
    </row>
    <row r="118" spans="1:7" x14ac:dyDescent="0.3">
      <c r="A118">
        <v>482653</v>
      </c>
      <c r="B118" t="s">
        <v>877</v>
      </c>
      <c r="C118">
        <v>1430005</v>
      </c>
      <c r="D118">
        <v>40.212789999999998</v>
      </c>
      <c r="E118">
        <v>-74.624219999999994</v>
      </c>
      <c r="F118" s="5">
        <v>1430005</v>
      </c>
      <c r="G118" s="5" t="s">
        <v>1752</v>
      </c>
    </row>
    <row r="119" spans="1:7" x14ac:dyDescent="0.3">
      <c r="A119">
        <v>482919</v>
      </c>
      <c r="B119" t="s">
        <v>1394</v>
      </c>
      <c r="C119">
        <v>1430005</v>
      </c>
      <c r="D119">
        <v>40.555965</v>
      </c>
      <c r="E119">
        <v>-74.844500999999994</v>
      </c>
      <c r="F119" s="5">
        <v>1430005</v>
      </c>
      <c r="G119" s="5" t="s">
        <v>1752</v>
      </c>
    </row>
    <row r="120" spans="1:7" x14ac:dyDescent="0.3">
      <c r="A120">
        <v>243243</v>
      </c>
      <c r="B120" t="s">
        <v>1476</v>
      </c>
      <c r="C120">
        <v>1430006</v>
      </c>
      <c r="D120">
        <v>39.660511</v>
      </c>
      <c r="E120">
        <v>-75.375923</v>
      </c>
      <c r="F120" s="5">
        <v>1430006</v>
      </c>
      <c r="G120" s="5" t="s">
        <v>1752</v>
      </c>
    </row>
    <row r="121" spans="1:7" x14ac:dyDescent="0.3">
      <c r="A121">
        <v>246567</v>
      </c>
      <c r="B121" t="s">
        <v>445</v>
      </c>
      <c r="C121">
        <v>1430006</v>
      </c>
      <c r="D121">
        <v>39.755454</v>
      </c>
      <c r="E121">
        <v>-75.594252999999995</v>
      </c>
      <c r="F121" s="5">
        <v>1430006</v>
      </c>
      <c r="G121" s="5" t="s">
        <v>1752</v>
      </c>
    </row>
    <row r="122" spans="1:7" x14ac:dyDescent="0.3">
      <c r="A122">
        <v>260316</v>
      </c>
      <c r="B122" t="s">
        <v>465</v>
      </c>
      <c r="C122">
        <v>1430006</v>
      </c>
      <c r="D122">
        <v>39.684975999999999</v>
      </c>
      <c r="E122">
        <v>-75.436820999999995</v>
      </c>
      <c r="F122" s="5">
        <v>1430006</v>
      </c>
      <c r="G122" s="5" t="s">
        <v>1752</v>
      </c>
    </row>
    <row r="123" spans="1:7" x14ac:dyDescent="0.3">
      <c r="A123">
        <v>281483</v>
      </c>
      <c r="B123" t="s">
        <v>529</v>
      </c>
      <c r="C123">
        <v>1430006</v>
      </c>
      <c r="D123">
        <v>39.573889999999999</v>
      </c>
      <c r="E123">
        <v>-75.480549999999994</v>
      </c>
      <c r="F123" s="5">
        <v>1430006</v>
      </c>
      <c r="G123" s="5" t="s">
        <v>1752</v>
      </c>
    </row>
    <row r="124" spans="1:7" x14ac:dyDescent="0.3">
      <c r="A124">
        <v>342744</v>
      </c>
      <c r="B124" t="s">
        <v>757</v>
      </c>
      <c r="C124">
        <v>1430006</v>
      </c>
      <c r="D124">
        <v>39.690531</v>
      </c>
      <c r="E124">
        <v>-75.571653999999995</v>
      </c>
      <c r="F124" s="5">
        <v>1430006</v>
      </c>
      <c r="G124" s="5" t="s">
        <v>1752</v>
      </c>
    </row>
    <row r="125" spans="1:7" x14ac:dyDescent="0.3">
      <c r="A125">
        <v>417333</v>
      </c>
      <c r="B125" t="s">
        <v>877</v>
      </c>
      <c r="C125">
        <v>1430006</v>
      </c>
      <c r="D125">
        <v>39.673302</v>
      </c>
      <c r="E125">
        <v>-75.555147000000005</v>
      </c>
      <c r="F125" s="5">
        <v>1430006</v>
      </c>
      <c r="G125" s="5" t="s">
        <v>1752</v>
      </c>
    </row>
    <row r="126" spans="1:7" x14ac:dyDescent="0.3">
      <c r="A126">
        <v>418423</v>
      </c>
      <c r="B126" t="s">
        <v>947</v>
      </c>
      <c r="C126">
        <v>1430006</v>
      </c>
      <c r="D126">
        <v>39.489899999999999</v>
      </c>
      <c r="E126">
        <v>-75.468630000000005</v>
      </c>
      <c r="F126" s="5">
        <v>1430006</v>
      </c>
      <c r="G126" s="5" t="s">
        <v>1752</v>
      </c>
    </row>
    <row r="127" spans="1:7" x14ac:dyDescent="0.3">
      <c r="A127">
        <v>418427</v>
      </c>
      <c r="B127" t="s">
        <v>949</v>
      </c>
      <c r="C127">
        <v>1430006</v>
      </c>
      <c r="D127">
        <v>39.505389999999998</v>
      </c>
      <c r="E127">
        <v>-75.461865000000003</v>
      </c>
      <c r="F127" s="5">
        <v>1430006</v>
      </c>
      <c r="G127" s="5" t="s">
        <v>1752</v>
      </c>
    </row>
    <row r="128" spans="1:7" x14ac:dyDescent="0.3">
      <c r="A128">
        <v>424854</v>
      </c>
      <c r="B128" t="s">
        <v>1012</v>
      </c>
      <c r="C128">
        <v>1430006</v>
      </c>
      <c r="D128">
        <v>39.736981</v>
      </c>
      <c r="E128">
        <v>-75.558473000000006</v>
      </c>
      <c r="F128" s="5">
        <v>1430006</v>
      </c>
      <c r="G128" s="5" t="s">
        <v>1752</v>
      </c>
    </row>
    <row r="129" spans="1:7" x14ac:dyDescent="0.3">
      <c r="A129">
        <v>430839</v>
      </c>
      <c r="B129" t="s">
        <v>1065</v>
      </c>
      <c r="C129">
        <v>1430006</v>
      </c>
      <c r="D129">
        <v>39.489899999999999</v>
      </c>
      <c r="E129">
        <v>-75.468630000000005</v>
      </c>
      <c r="F129" s="5">
        <v>1430006</v>
      </c>
      <c r="G129" s="5" t="s">
        <v>1752</v>
      </c>
    </row>
    <row r="130" spans="1:7" x14ac:dyDescent="0.3">
      <c r="A130">
        <v>452323</v>
      </c>
      <c r="B130" t="s">
        <v>1165</v>
      </c>
      <c r="C130">
        <v>1430006</v>
      </c>
      <c r="D130">
        <v>39.738430000000001</v>
      </c>
      <c r="E130">
        <v>-75.555976000000001</v>
      </c>
      <c r="F130" s="5">
        <v>1430006</v>
      </c>
      <c r="G130" s="5" t="s">
        <v>1752</v>
      </c>
    </row>
    <row r="131" spans="1:7" x14ac:dyDescent="0.3">
      <c r="A131">
        <v>482476</v>
      </c>
      <c r="B131" t="s">
        <v>1389</v>
      </c>
      <c r="C131">
        <v>1430006</v>
      </c>
      <c r="D131">
        <v>39.68638</v>
      </c>
      <c r="E131">
        <v>-75.634322999999995</v>
      </c>
      <c r="F131" s="5">
        <v>1430006</v>
      </c>
      <c r="G131" s="5" t="s">
        <v>1752</v>
      </c>
    </row>
    <row r="132" spans="1:7" x14ac:dyDescent="0.3">
      <c r="A132">
        <v>243627</v>
      </c>
      <c r="B132" t="s">
        <v>358</v>
      </c>
      <c r="C132">
        <v>1430007</v>
      </c>
      <c r="D132">
        <v>39.664636999999999</v>
      </c>
      <c r="E132">
        <v>-75.718739999999997</v>
      </c>
      <c r="F132" s="5">
        <v>1430007</v>
      </c>
      <c r="G132" s="5" t="s">
        <v>1752</v>
      </c>
    </row>
    <row r="133" spans="1:7" x14ac:dyDescent="0.3">
      <c r="A133">
        <v>244121</v>
      </c>
      <c r="B133" t="s">
        <v>378</v>
      </c>
      <c r="C133">
        <v>1430016</v>
      </c>
      <c r="D133">
        <v>39.873291999999999</v>
      </c>
      <c r="E133">
        <v>-75.676561000000007</v>
      </c>
      <c r="F133" s="5">
        <v>1430016</v>
      </c>
      <c r="G133" s="5" t="s">
        <v>1752</v>
      </c>
    </row>
    <row r="134" spans="1:7" x14ac:dyDescent="0.3">
      <c r="A134">
        <v>305531</v>
      </c>
      <c r="B134" t="s">
        <v>1511</v>
      </c>
      <c r="C134">
        <v>1430007</v>
      </c>
      <c r="D134">
        <v>39.662109000000001</v>
      </c>
      <c r="E134">
        <v>-75.776375000000002</v>
      </c>
      <c r="F134" s="5">
        <v>1430007</v>
      </c>
      <c r="G134" s="5" t="s">
        <v>1752</v>
      </c>
    </row>
    <row r="135" spans="1:7" x14ac:dyDescent="0.3">
      <c r="A135">
        <v>305532</v>
      </c>
      <c r="B135" t="s">
        <v>627</v>
      </c>
      <c r="C135">
        <v>1430007</v>
      </c>
      <c r="D135">
        <v>39.659779999999998</v>
      </c>
      <c r="E135">
        <v>-75.778379999999999</v>
      </c>
      <c r="F135" s="5">
        <v>1430007</v>
      </c>
      <c r="G135" s="5" t="s">
        <v>1752</v>
      </c>
    </row>
    <row r="136" spans="1:7" x14ac:dyDescent="0.3">
      <c r="A136">
        <v>305533</v>
      </c>
      <c r="B136" t="s">
        <v>629</v>
      </c>
      <c r="C136">
        <v>1430007</v>
      </c>
      <c r="D136">
        <v>39.653149999999997</v>
      </c>
      <c r="E136">
        <v>-75.787724999999995</v>
      </c>
      <c r="F136" s="5">
        <v>1430007</v>
      </c>
      <c r="G136" s="5" t="s">
        <v>1752</v>
      </c>
    </row>
    <row r="137" spans="1:7" x14ac:dyDescent="0.3">
      <c r="A137">
        <v>306315</v>
      </c>
      <c r="B137" t="s">
        <v>631</v>
      </c>
      <c r="C137">
        <v>1430007</v>
      </c>
      <c r="D137">
        <v>39.615960000000001</v>
      </c>
      <c r="E137">
        <v>-75.755594000000002</v>
      </c>
      <c r="F137" s="5">
        <v>1430007</v>
      </c>
      <c r="G137" s="5" t="s">
        <v>1752</v>
      </c>
    </row>
    <row r="138" spans="1:7" x14ac:dyDescent="0.3">
      <c r="A138">
        <v>318590</v>
      </c>
      <c r="B138" t="s">
        <v>681</v>
      </c>
      <c r="C138">
        <v>1430007</v>
      </c>
      <c r="D138">
        <v>39.813675000000003</v>
      </c>
      <c r="E138">
        <v>-75.734499999999997</v>
      </c>
      <c r="F138" s="5">
        <v>1430007</v>
      </c>
      <c r="G138" s="5" t="s">
        <v>1752</v>
      </c>
    </row>
    <row r="139" spans="1:7" x14ac:dyDescent="0.3">
      <c r="A139">
        <v>331652</v>
      </c>
      <c r="B139" t="s">
        <v>729</v>
      </c>
      <c r="C139">
        <v>1430007</v>
      </c>
      <c r="D139">
        <v>39.817157999999999</v>
      </c>
      <c r="E139">
        <v>-75.817751000000001</v>
      </c>
      <c r="F139" s="5">
        <v>1430007</v>
      </c>
      <c r="G139" s="5" t="s">
        <v>1752</v>
      </c>
    </row>
    <row r="140" spans="1:7" x14ac:dyDescent="0.3">
      <c r="A140">
        <v>417685</v>
      </c>
      <c r="B140" t="s">
        <v>886</v>
      </c>
      <c r="C140">
        <v>1430007</v>
      </c>
      <c r="D140">
        <v>39.810381</v>
      </c>
      <c r="E140">
        <v>-75.746198000000007</v>
      </c>
      <c r="F140" s="5">
        <v>1430007</v>
      </c>
      <c r="G140" s="5" t="s">
        <v>1752</v>
      </c>
    </row>
    <row r="141" spans="1:7" x14ac:dyDescent="0.3">
      <c r="A141">
        <v>417686</v>
      </c>
      <c r="B141" t="s">
        <v>1535</v>
      </c>
      <c r="C141">
        <v>1430007</v>
      </c>
      <c r="D141">
        <v>39.795565000000003</v>
      </c>
      <c r="E141">
        <v>-75.746244000000004</v>
      </c>
      <c r="F141" s="5">
        <v>1430007</v>
      </c>
      <c r="G141" s="5" t="s">
        <v>1752</v>
      </c>
    </row>
    <row r="142" spans="1:7" x14ac:dyDescent="0.3">
      <c r="A142">
        <v>417688</v>
      </c>
      <c r="B142" t="s">
        <v>888</v>
      </c>
      <c r="C142">
        <v>1430007</v>
      </c>
      <c r="D142">
        <v>39.838766999999997</v>
      </c>
      <c r="E142">
        <v>-75.708466000000001</v>
      </c>
      <c r="F142" s="5">
        <v>1430007</v>
      </c>
      <c r="G142" s="5" t="s">
        <v>1752</v>
      </c>
    </row>
    <row r="143" spans="1:7" x14ac:dyDescent="0.3">
      <c r="A143">
        <v>417813</v>
      </c>
      <c r="B143" t="s">
        <v>378</v>
      </c>
      <c r="C143">
        <v>1430016</v>
      </c>
      <c r="D143">
        <v>39.874470000000002</v>
      </c>
      <c r="E143">
        <v>-75.68141</v>
      </c>
      <c r="F143" s="5">
        <v>1430016</v>
      </c>
      <c r="G143" s="5" t="s">
        <v>1752</v>
      </c>
    </row>
    <row r="144" spans="1:7" x14ac:dyDescent="0.3">
      <c r="A144">
        <v>417995</v>
      </c>
      <c r="B144" t="s">
        <v>899</v>
      </c>
      <c r="C144">
        <v>1430016</v>
      </c>
      <c r="D144">
        <v>39.861654000000001</v>
      </c>
      <c r="E144">
        <v>-75.685704999999999</v>
      </c>
      <c r="F144" s="5">
        <v>1430016</v>
      </c>
      <c r="G144" s="5" t="s">
        <v>1752</v>
      </c>
    </row>
    <row r="145" spans="1:7" x14ac:dyDescent="0.3">
      <c r="A145">
        <v>418879</v>
      </c>
      <c r="B145" t="s">
        <v>977</v>
      </c>
      <c r="C145">
        <v>1430007</v>
      </c>
      <c r="D145">
        <v>39.885787999999998</v>
      </c>
      <c r="E145">
        <v>-75.720330000000004</v>
      </c>
      <c r="F145" s="5">
        <v>1430016</v>
      </c>
      <c r="G145" s="4" t="s">
        <v>1753</v>
      </c>
    </row>
    <row r="146" spans="1:7" x14ac:dyDescent="0.3">
      <c r="A146">
        <v>424852</v>
      </c>
      <c r="B146" t="s">
        <v>1546</v>
      </c>
      <c r="C146">
        <v>1430007</v>
      </c>
      <c r="D146">
        <v>39.657854</v>
      </c>
      <c r="E146">
        <v>-75.745937999999995</v>
      </c>
      <c r="F146" s="5">
        <v>1430007</v>
      </c>
      <c r="G146" s="5" t="s">
        <v>1752</v>
      </c>
    </row>
    <row r="147" spans="1:7" x14ac:dyDescent="0.3">
      <c r="A147">
        <v>425120</v>
      </c>
      <c r="B147" t="s">
        <v>1024</v>
      </c>
      <c r="C147">
        <v>1430007</v>
      </c>
      <c r="D147">
        <v>39.683154999999999</v>
      </c>
      <c r="E147">
        <v>-75.730940000000004</v>
      </c>
      <c r="F147" s="5">
        <v>1430007</v>
      </c>
      <c r="G147" s="5" t="s">
        <v>1752</v>
      </c>
    </row>
    <row r="148" spans="1:7" x14ac:dyDescent="0.3">
      <c r="A148">
        <v>428080</v>
      </c>
      <c r="B148" t="s">
        <v>1030</v>
      </c>
      <c r="C148">
        <v>1430007</v>
      </c>
      <c r="D148">
        <v>39.893909000000001</v>
      </c>
      <c r="E148">
        <v>-75.726094000000003</v>
      </c>
      <c r="F148" s="5">
        <v>1430007</v>
      </c>
      <c r="G148" s="5" t="s">
        <v>1752</v>
      </c>
    </row>
    <row r="149" spans="1:7" x14ac:dyDescent="0.3">
      <c r="A149">
        <v>436260</v>
      </c>
      <c r="B149" t="s">
        <v>1095</v>
      </c>
      <c r="C149">
        <v>1430007</v>
      </c>
      <c r="D149">
        <v>39.652189</v>
      </c>
      <c r="E149">
        <v>-75.724391999999995</v>
      </c>
      <c r="F149" s="5">
        <v>1430007</v>
      </c>
      <c r="G149" s="5" t="s">
        <v>1752</v>
      </c>
    </row>
    <row r="150" spans="1:7" x14ac:dyDescent="0.3">
      <c r="A150">
        <v>446362</v>
      </c>
      <c r="B150" t="s">
        <v>1135</v>
      </c>
      <c r="C150">
        <v>1430007</v>
      </c>
      <c r="D150">
        <v>39.846820000000001</v>
      </c>
      <c r="E150">
        <v>-75.752448999999999</v>
      </c>
      <c r="F150" s="5">
        <v>1430007</v>
      </c>
      <c r="G150" s="5" t="s">
        <v>1752</v>
      </c>
    </row>
    <row r="151" spans="1:7" x14ac:dyDescent="0.3">
      <c r="A151">
        <v>452079</v>
      </c>
      <c r="B151" t="s">
        <v>1162</v>
      </c>
      <c r="C151">
        <v>1430007</v>
      </c>
      <c r="D151">
        <v>39.653149999999997</v>
      </c>
      <c r="E151">
        <v>-75.787724999999995</v>
      </c>
      <c r="F151" s="5">
        <v>1430007</v>
      </c>
      <c r="G151" s="5" t="s">
        <v>1752</v>
      </c>
    </row>
    <row r="152" spans="1:7" x14ac:dyDescent="0.3">
      <c r="A152">
        <v>246043</v>
      </c>
      <c r="B152" t="s">
        <v>1480</v>
      </c>
      <c r="C152">
        <v>1430008</v>
      </c>
      <c r="D152">
        <v>39.073140000000002</v>
      </c>
      <c r="E152">
        <v>-75.54777</v>
      </c>
      <c r="F152" s="5">
        <v>1430008</v>
      </c>
      <c r="G152" s="5" t="s">
        <v>1752</v>
      </c>
    </row>
    <row r="153" spans="1:7" x14ac:dyDescent="0.3">
      <c r="A153">
        <v>266314</v>
      </c>
      <c r="B153" t="s">
        <v>475</v>
      </c>
      <c r="C153">
        <v>1430008</v>
      </c>
      <c r="D153">
        <v>39.161808999999998</v>
      </c>
      <c r="E153">
        <v>-75.544465000000002</v>
      </c>
      <c r="F153" s="5">
        <v>1430008</v>
      </c>
      <c r="G153" s="5" t="s">
        <v>1752</v>
      </c>
    </row>
    <row r="154" spans="1:7" x14ac:dyDescent="0.3">
      <c r="A154">
        <v>271622</v>
      </c>
      <c r="B154" t="s">
        <v>497</v>
      </c>
      <c r="C154">
        <v>1430008</v>
      </c>
      <c r="D154">
        <v>39.150754999999997</v>
      </c>
      <c r="E154">
        <v>-75.520730999999998</v>
      </c>
      <c r="F154" s="5">
        <v>1430008</v>
      </c>
      <c r="G154" s="5" t="s">
        <v>1752</v>
      </c>
    </row>
    <row r="155" spans="1:7" x14ac:dyDescent="0.3">
      <c r="A155">
        <v>470560</v>
      </c>
      <c r="B155" t="s">
        <v>1568</v>
      </c>
      <c r="C155">
        <v>1430008</v>
      </c>
      <c r="D155">
        <v>39.122261000000002</v>
      </c>
      <c r="E155">
        <v>-75.475494999999995</v>
      </c>
      <c r="F155" s="5">
        <v>1430008</v>
      </c>
      <c r="G155" s="5" t="s">
        <v>1752</v>
      </c>
    </row>
    <row r="156" spans="1:7" x14ac:dyDescent="0.3">
      <c r="A156">
        <v>243823</v>
      </c>
      <c r="B156" t="s">
        <v>364</v>
      </c>
      <c r="C156">
        <v>1430016</v>
      </c>
      <c r="D156">
        <v>40.105960000000003</v>
      </c>
      <c r="E156">
        <v>-75.121750000000006</v>
      </c>
      <c r="F156" s="5">
        <v>1430016</v>
      </c>
      <c r="G156" s="5" t="s">
        <v>1752</v>
      </c>
    </row>
    <row r="157" spans="1:7" x14ac:dyDescent="0.3">
      <c r="A157">
        <v>244718</v>
      </c>
      <c r="B157" t="s">
        <v>396</v>
      </c>
      <c r="C157">
        <v>1430016</v>
      </c>
      <c r="D157">
        <v>40.136024999999997</v>
      </c>
      <c r="E157">
        <v>-75.136004</v>
      </c>
      <c r="F157" s="5">
        <v>1430016</v>
      </c>
      <c r="G157" s="5" t="s">
        <v>1752</v>
      </c>
    </row>
    <row r="158" spans="1:7" x14ac:dyDescent="0.3">
      <c r="A158">
        <v>245302</v>
      </c>
      <c r="B158" t="s">
        <v>406</v>
      </c>
      <c r="C158">
        <v>1430017</v>
      </c>
      <c r="D158">
        <v>40.013978000000002</v>
      </c>
      <c r="E158">
        <v>-75.117611999999994</v>
      </c>
      <c r="F158" s="5">
        <v>1430017</v>
      </c>
      <c r="G158" s="5" t="s">
        <v>1752</v>
      </c>
    </row>
    <row r="159" spans="1:7" x14ac:dyDescent="0.3">
      <c r="A159">
        <v>246141</v>
      </c>
      <c r="B159" t="s">
        <v>423</v>
      </c>
      <c r="C159">
        <v>1430017</v>
      </c>
      <c r="D159">
        <v>39.95814</v>
      </c>
      <c r="E159">
        <v>-75.161949000000007</v>
      </c>
      <c r="F159" s="5">
        <v>1430017</v>
      </c>
      <c r="G159" s="5" t="s">
        <v>1752</v>
      </c>
    </row>
    <row r="160" spans="1:7" x14ac:dyDescent="0.3">
      <c r="A160">
        <v>286760</v>
      </c>
      <c r="B160" t="s">
        <v>1499</v>
      </c>
      <c r="C160">
        <v>1430016</v>
      </c>
      <c r="D160">
        <v>40.092311000000002</v>
      </c>
      <c r="E160">
        <v>-75.126168000000007</v>
      </c>
      <c r="F160" s="5">
        <v>1430016</v>
      </c>
      <c r="G160" s="5" t="s">
        <v>1752</v>
      </c>
    </row>
    <row r="161" spans="1:7" x14ac:dyDescent="0.3">
      <c r="A161">
        <v>294138</v>
      </c>
      <c r="B161" t="s">
        <v>563</v>
      </c>
      <c r="C161">
        <v>1430016</v>
      </c>
      <c r="D161">
        <v>40.114803999999999</v>
      </c>
      <c r="E161">
        <v>-75.139945999999995</v>
      </c>
      <c r="F161" s="5">
        <v>1430016</v>
      </c>
      <c r="G161" s="5" t="s">
        <v>1752</v>
      </c>
    </row>
    <row r="162" spans="1:7" x14ac:dyDescent="0.3">
      <c r="A162">
        <v>313100</v>
      </c>
      <c r="B162" t="s">
        <v>667</v>
      </c>
      <c r="C162">
        <v>1430017</v>
      </c>
      <c r="D162">
        <v>40.028990999999998</v>
      </c>
      <c r="E162">
        <v>-75.131842000000006</v>
      </c>
      <c r="F162" s="5">
        <v>1430017</v>
      </c>
      <c r="G162" s="5" t="s">
        <v>1752</v>
      </c>
    </row>
    <row r="163" spans="1:7" x14ac:dyDescent="0.3">
      <c r="A163">
        <v>315018</v>
      </c>
      <c r="B163" t="s">
        <v>673</v>
      </c>
      <c r="C163">
        <v>1430017</v>
      </c>
      <c r="D163">
        <v>40.043213000000002</v>
      </c>
      <c r="E163">
        <v>-75.077809999999999</v>
      </c>
      <c r="F163" s="5">
        <v>1430017</v>
      </c>
      <c r="G163" s="5" t="s">
        <v>1752</v>
      </c>
    </row>
    <row r="164" spans="1:7" x14ac:dyDescent="0.3">
      <c r="A164">
        <v>331730</v>
      </c>
      <c r="B164" t="s">
        <v>731</v>
      </c>
      <c r="C164">
        <v>1430017</v>
      </c>
      <c r="D164">
        <v>39.958590000000001</v>
      </c>
      <c r="E164">
        <v>-75.155816000000002</v>
      </c>
      <c r="F164" s="5">
        <v>1430017</v>
      </c>
      <c r="G164" s="5" t="s">
        <v>1752</v>
      </c>
    </row>
    <row r="165" spans="1:7" x14ac:dyDescent="0.3">
      <c r="A165">
        <v>345959</v>
      </c>
      <c r="B165" t="s">
        <v>788</v>
      </c>
      <c r="C165">
        <v>1430017</v>
      </c>
      <c r="D165">
        <v>39.948898</v>
      </c>
      <c r="E165">
        <v>-75.146544000000006</v>
      </c>
      <c r="F165" s="5">
        <v>1430017</v>
      </c>
      <c r="G165" s="5" t="s">
        <v>1752</v>
      </c>
    </row>
    <row r="166" spans="1:7" x14ac:dyDescent="0.3">
      <c r="A166">
        <v>416113</v>
      </c>
      <c r="B166" t="s">
        <v>1532</v>
      </c>
      <c r="C166">
        <v>1430009</v>
      </c>
      <c r="D166">
        <v>40.112270000000002</v>
      </c>
      <c r="E166">
        <v>-75.131820000000005</v>
      </c>
      <c r="F166" s="5">
        <v>1430016</v>
      </c>
      <c r="G166" s="4" t="s">
        <v>1753</v>
      </c>
    </row>
    <row r="167" spans="1:7" x14ac:dyDescent="0.3">
      <c r="A167">
        <v>419096</v>
      </c>
      <c r="B167" t="s">
        <v>1545</v>
      </c>
      <c r="C167">
        <v>1430016</v>
      </c>
      <c r="D167">
        <v>40.032544000000001</v>
      </c>
      <c r="E167">
        <v>-75.169179999999997</v>
      </c>
      <c r="F167" s="5">
        <v>1430016</v>
      </c>
      <c r="G167" s="5" t="s">
        <v>1752</v>
      </c>
    </row>
    <row r="168" spans="1:7" x14ac:dyDescent="0.3">
      <c r="A168">
        <v>468567</v>
      </c>
      <c r="B168" t="s">
        <v>1286</v>
      </c>
      <c r="C168">
        <v>1430009</v>
      </c>
      <c r="D168">
        <v>40.112270000000002</v>
      </c>
      <c r="E168">
        <v>-75.131820000000005</v>
      </c>
      <c r="F168" s="5">
        <v>1430016</v>
      </c>
      <c r="G168" s="4" t="s">
        <v>1753</v>
      </c>
    </row>
    <row r="169" spans="1:7" x14ac:dyDescent="0.3">
      <c r="A169">
        <v>472664</v>
      </c>
      <c r="B169" t="s">
        <v>1572</v>
      </c>
      <c r="C169">
        <v>1430017</v>
      </c>
      <c r="D169">
        <v>40.033859999999997</v>
      </c>
      <c r="E169">
        <v>-75.143730000000005</v>
      </c>
      <c r="F169" s="5">
        <v>1430016</v>
      </c>
      <c r="G169" s="4" t="s">
        <v>1753</v>
      </c>
    </row>
    <row r="170" spans="1:7" x14ac:dyDescent="0.3">
      <c r="A170">
        <v>482682</v>
      </c>
      <c r="B170" t="s">
        <v>1392</v>
      </c>
      <c r="C170">
        <v>1430017</v>
      </c>
      <c r="D170">
        <v>39.996006999999999</v>
      </c>
      <c r="E170">
        <v>-75.164839000000001</v>
      </c>
      <c r="F170" s="5">
        <v>1430017</v>
      </c>
      <c r="G170" s="5" t="s">
        <v>1752</v>
      </c>
    </row>
    <row r="171" spans="1:7" x14ac:dyDescent="0.3">
      <c r="A171">
        <v>244164</v>
      </c>
      <c r="B171" t="s">
        <v>380</v>
      </c>
      <c r="C171">
        <v>1430010</v>
      </c>
      <c r="D171">
        <v>39.746042000000003</v>
      </c>
      <c r="E171">
        <v>-75.223511000000002</v>
      </c>
      <c r="F171" s="5">
        <v>1430010</v>
      </c>
      <c r="G171" s="5" t="s">
        <v>1752</v>
      </c>
    </row>
    <row r="172" spans="1:7" x14ac:dyDescent="0.3">
      <c r="A172">
        <v>244423</v>
      </c>
      <c r="B172" t="s">
        <v>388</v>
      </c>
      <c r="C172">
        <v>1430010</v>
      </c>
      <c r="D172">
        <v>39.378898999999997</v>
      </c>
      <c r="E172">
        <v>-74.825930999999997</v>
      </c>
      <c r="F172" s="5">
        <v>1430010</v>
      </c>
      <c r="G172" s="5" t="s">
        <v>1752</v>
      </c>
    </row>
    <row r="173" spans="1:7" x14ac:dyDescent="0.3">
      <c r="A173">
        <v>244685</v>
      </c>
      <c r="B173" t="s">
        <v>392</v>
      </c>
      <c r="C173">
        <v>1430010</v>
      </c>
      <c r="D173">
        <v>39.078719</v>
      </c>
      <c r="E173">
        <v>-74.825266999999997</v>
      </c>
      <c r="F173" s="5">
        <v>1430010</v>
      </c>
      <c r="G173" s="5" t="s">
        <v>1752</v>
      </c>
    </row>
    <row r="174" spans="1:7" x14ac:dyDescent="0.3">
      <c r="A174">
        <v>254506</v>
      </c>
      <c r="B174" t="s">
        <v>1484</v>
      </c>
      <c r="C174">
        <v>1430010</v>
      </c>
      <c r="D174">
        <v>39.308160000000001</v>
      </c>
      <c r="E174">
        <v>-74.980099999999993</v>
      </c>
      <c r="F174" s="5">
        <v>1430010</v>
      </c>
      <c r="G174" s="5" t="s">
        <v>1752</v>
      </c>
    </row>
    <row r="175" spans="1:7" x14ac:dyDescent="0.3">
      <c r="A175">
        <v>272878</v>
      </c>
      <c r="B175" t="s">
        <v>511</v>
      </c>
      <c r="C175">
        <v>1430010</v>
      </c>
      <c r="D175">
        <v>39.266444</v>
      </c>
      <c r="E175">
        <v>-74.597999000000002</v>
      </c>
      <c r="F175" s="5">
        <v>1430010</v>
      </c>
      <c r="G175" s="5" t="s">
        <v>1752</v>
      </c>
    </row>
    <row r="176" spans="1:7" x14ac:dyDescent="0.3">
      <c r="A176">
        <v>299941</v>
      </c>
      <c r="B176" t="s">
        <v>1505</v>
      </c>
      <c r="C176">
        <v>1430010</v>
      </c>
      <c r="D176">
        <v>38.981617</v>
      </c>
      <c r="E176">
        <v>-74.817412000000004</v>
      </c>
      <c r="F176" s="5">
        <v>1430010</v>
      </c>
      <c r="G176" s="5" t="s">
        <v>1752</v>
      </c>
    </row>
    <row r="177" spans="1:7" x14ac:dyDescent="0.3">
      <c r="A177">
        <v>302687</v>
      </c>
      <c r="B177" t="s">
        <v>615</v>
      </c>
      <c r="C177">
        <v>1430010</v>
      </c>
      <c r="D177">
        <v>39.163859000000002</v>
      </c>
      <c r="E177">
        <v>-74.753380000000007</v>
      </c>
      <c r="F177" s="5">
        <v>1430010</v>
      </c>
      <c r="G177" s="5" t="s">
        <v>1752</v>
      </c>
    </row>
    <row r="178" spans="1:7" x14ac:dyDescent="0.3">
      <c r="A178">
        <v>305603</v>
      </c>
      <c r="B178" t="s">
        <v>1512</v>
      </c>
      <c r="C178">
        <v>1430010</v>
      </c>
      <c r="D178">
        <v>39.486331</v>
      </c>
      <c r="E178">
        <v>-75.122056999999998</v>
      </c>
      <c r="F178" s="5">
        <v>1430010</v>
      </c>
      <c r="G178" s="5" t="s">
        <v>1752</v>
      </c>
    </row>
    <row r="179" spans="1:7" x14ac:dyDescent="0.3">
      <c r="A179">
        <v>322072</v>
      </c>
      <c r="B179" t="s">
        <v>697</v>
      </c>
      <c r="C179">
        <v>1430010</v>
      </c>
      <c r="D179">
        <v>39.010973999999997</v>
      </c>
      <c r="E179">
        <v>-74.871165000000005</v>
      </c>
      <c r="F179" s="5">
        <v>1430010</v>
      </c>
      <c r="G179" s="5" t="s">
        <v>1752</v>
      </c>
    </row>
    <row r="180" spans="1:7" x14ac:dyDescent="0.3">
      <c r="A180">
        <v>325343</v>
      </c>
      <c r="B180" t="s">
        <v>713</v>
      </c>
      <c r="C180">
        <v>1430010</v>
      </c>
      <c r="D180">
        <v>39.495069000000001</v>
      </c>
      <c r="E180">
        <v>-75.027648999999997</v>
      </c>
      <c r="F180" s="5">
        <v>1430010</v>
      </c>
      <c r="G180" s="5" t="s">
        <v>1752</v>
      </c>
    </row>
    <row r="181" spans="1:7" x14ac:dyDescent="0.3">
      <c r="A181">
        <v>343882</v>
      </c>
      <c r="B181" t="s">
        <v>769</v>
      </c>
      <c r="C181">
        <v>1430010</v>
      </c>
      <c r="D181">
        <v>38.966633999999999</v>
      </c>
      <c r="E181">
        <v>-74.920736000000005</v>
      </c>
      <c r="F181" s="5">
        <v>1430010</v>
      </c>
      <c r="G181" s="5" t="s">
        <v>1752</v>
      </c>
    </row>
    <row r="182" spans="1:7" x14ac:dyDescent="0.3">
      <c r="A182">
        <v>416687</v>
      </c>
      <c r="B182" t="s">
        <v>850</v>
      </c>
      <c r="C182">
        <v>1430010</v>
      </c>
      <c r="D182">
        <v>39.750509999999998</v>
      </c>
      <c r="E182">
        <v>-75.208145000000002</v>
      </c>
      <c r="F182" s="5">
        <v>1430010</v>
      </c>
      <c r="G182" s="5" t="s">
        <v>1752</v>
      </c>
    </row>
    <row r="183" spans="1:7" x14ac:dyDescent="0.3">
      <c r="A183">
        <v>417066</v>
      </c>
      <c r="B183" t="s">
        <v>866</v>
      </c>
      <c r="C183">
        <v>1430010</v>
      </c>
      <c r="D183">
        <v>39.168635000000002</v>
      </c>
      <c r="E183">
        <v>-74.794230999999996</v>
      </c>
      <c r="F183" s="5">
        <v>1430010</v>
      </c>
      <c r="G183" s="5" t="s">
        <v>1752</v>
      </c>
    </row>
    <row r="184" spans="1:7" x14ac:dyDescent="0.3">
      <c r="A184">
        <v>417340</v>
      </c>
      <c r="B184" t="s">
        <v>879</v>
      </c>
      <c r="C184">
        <v>1430010</v>
      </c>
      <c r="D184">
        <v>39.802152</v>
      </c>
      <c r="E184">
        <v>-75.049764999999994</v>
      </c>
      <c r="F184" s="5">
        <v>1430010</v>
      </c>
      <c r="G184" s="5" t="s">
        <v>1752</v>
      </c>
    </row>
    <row r="185" spans="1:7" x14ac:dyDescent="0.3">
      <c r="A185">
        <v>418087</v>
      </c>
      <c r="B185" t="s">
        <v>903</v>
      </c>
      <c r="C185">
        <v>1430010</v>
      </c>
      <c r="D185">
        <v>39.075175000000002</v>
      </c>
      <c r="E185">
        <v>-74.819485</v>
      </c>
      <c r="F185" s="5">
        <v>1430010</v>
      </c>
      <c r="G185" s="5" t="s">
        <v>1752</v>
      </c>
    </row>
    <row r="186" spans="1:7" x14ac:dyDescent="0.3">
      <c r="A186">
        <v>418234</v>
      </c>
      <c r="B186" t="s">
        <v>907</v>
      </c>
      <c r="C186">
        <v>1430010</v>
      </c>
      <c r="D186">
        <v>39.717495</v>
      </c>
      <c r="E186">
        <v>-75.131460000000004</v>
      </c>
      <c r="F186" s="5">
        <v>1430010</v>
      </c>
      <c r="G186" s="5" t="s">
        <v>1752</v>
      </c>
    </row>
    <row r="187" spans="1:7" x14ac:dyDescent="0.3">
      <c r="A187">
        <v>418377</v>
      </c>
      <c r="B187" t="s">
        <v>938</v>
      </c>
      <c r="C187">
        <v>1430010</v>
      </c>
      <c r="D187">
        <v>39.740546999999999</v>
      </c>
      <c r="E187">
        <v>-75.127241999999995</v>
      </c>
      <c r="F187" s="5">
        <v>1430010</v>
      </c>
      <c r="G187" s="5" t="s">
        <v>1752</v>
      </c>
    </row>
    <row r="188" spans="1:7" x14ac:dyDescent="0.3">
      <c r="A188">
        <v>418818</v>
      </c>
      <c r="B188" t="s">
        <v>1542</v>
      </c>
      <c r="C188">
        <v>1430010</v>
      </c>
      <c r="D188">
        <v>39.761650000000003</v>
      </c>
      <c r="E188">
        <v>-75.017837999999998</v>
      </c>
      <c r="F188" s="5">
        <v>1430010</v>
      </c>
      <c r="G188" s="5" t="s">
        <v>1752</v>
      </c>
    </row>
    <row r="189" spans="1:7" x14ac:dyDescent="0.3">
      <c r="A189">
        <v>423575</v>
      </c>
      <c r="B189" t="s">
        <v>1002</v>
      </c>
      <c r="C189">
        <v>1430010</v>
      </c>
      <c r="D189">
        <v>39.475067000000003</v>
      </c>
      <c r="E189">
        <v>-75.220706000000007</v>
      </c>
      <c r="F189" s="5">
        <v>1430010</v>
      </c>
      <c r="G189" s="5" t="s">
        <v>1752</v>
      </c>
    </row>
    <row r="190" spans="1:7" x14ac:dyDescent="0.3">
      <c r="A190">
        <v>429989</v>
      </c>
      <c r="B190" t="s">
        <v>1047</v>
      </c>
      <c r="C190">
        <v>1430010</v>
      </c>
      <c r="D190">
        <v>39.101301999999997</v>
      </c>
      <c r="E190">
        <v>-74.799026999999995</v>
      </c>
      <c r="F190" s="5">
        <v>1430010</v>
      </c>
      <c r="G190" s="5" t="s">
        <v>1752</v>
      </c>
    </row>
    <row r="191" spans="1:7" x14ac:dyDescent="0.3">
      <c r="A191">
        <v>430488</v>
      </c>
      <c r="B191" t="s">
        <v>1051</v>
      </c>
      <c r="C191">
        <v>1430010</v>
      </c>
      <c r="D191">
        <v>39.535269999999997</v>
      </c>
      <c r="E191">
        <v>-74.917640000000006</v>
      </c>
      <c r="F191" s="5">
        <v>1430010</v>
      </c>
      <c r="G191" s="5" t="s">
        <v>1752</v>
      </c>
    </row>
    <row r="192" spans="1:7" x14ac:dyDescent="0.3">
      <c r="A192">
        <v>430489</v>
      </c>
      <c r="B192" t="s">
        <v>1053</v>
      </c>
      <c r="C192">
        <v>1430010</v>
      </c>
      <c r="D192">
        <v>39.513572000000003</v>
      </c>
      <c r="E192">
        <v>-74.947914999999995</v>
      </c>
      <c r="F192" s="5">
        <v>1430010</v>
      </c>
      <c r="G192" s="5" t="s">
        <v>1752</v>
      </c>
    </row>
    <row r="193" spans="1:7" x14ac:dyDescent="0.3">
      <c r="A193">
        <v>430495</v>
      </c>
      <c r="B193" t="s">
        <v>1055</v>
      </c>
      <c r="C193">
        <v>1430010</v>
      </c>
      <c r="D193">
        <v>39.587601999999997</v>
      </c>
      <c r="E193">
        <v>-74.881377999999998</v>
      </c>
      <c r="F193" s="5">
        <v>1430010</v>
      </c>
      <c r="G193" s="5" t="s">
        <v>1752</v>
      </c>
    </row>
    <row r="194" spans="1:7" x14ac:dyDescent="0.3">
      <c r="A194">
        <v>430497</v>
      </c>
      <c r="B194" t="s">
        <v>1057</v>
      </c>
      <c r="C194">
        <v>1430010</v>
      </c>
      <c r="D194">
        <v>39.506590000000003</v>
      </c>
      <c r="E194">
        <v>-74.911022000000003</v>
      </c>
      <c r="F194" s="5">
        <v>1430010</v>
      </c>
      <c r="G194" s="5" t="s">
        <v>1752</v>
      </c>
    </row>
    <row r="195" spans="1:7" x14ac:dyDescent="0.3">
      <c r="A195">
        <v>430532</v>
      </c>
      <c r="B195" t="s">
        <v>1059</v>
      </c>
      <c r="C195">
        <v>1430010</v>
      </c>
      <c r="D195">
        <v>39.269669999999998</v>
      </c>
      <c r="E195">
        <v>-74.648240000000001</v>
      </c>
      <c r="F195" s="5">
        <v>1430010</v>
      </c>
      <c r="G195" s="5" t="s">
        <v>1752</v>
      </c>
    </row>
    <row r="196" spans="1:7" x14ac:dyDescent="0.3">
      <c r="A196">
        <v>438780</v>
      </c>
      <c r="B196" t="s">
        <v>1104</v>
      </c>
      <c r="C196">
        <v>1430010</v>
      </c>
      <c r="D196">
        <v>39.535269999999997</v>
      </c>
      <c r="E196">
        <v>-74.917640000000006</v>
      </c>
      <c r="F196" s="5">
        <v>1430010</v>
      </c>
      <c r="G196" s="5" t="s">
        <v>1752</v>
      </c>
    </row>
    <row r="197" spans="1:7" x14ac:dyDescent="0.3">
      <c r="A197">
        <v>472748</v>
      </c>
      <c r="B197" t="s">
        <v>1331</v>
      </c>
      <c r="C197">
        <v>1430010</v>
      </c>
      <c r="D197">
        <v>38.726697000000001</v>
      </c>
      <c r="E197">
        <v>-75.269324999999995</v>
      </c>
      <c r="F197" s="5">
        <v>1430010</v>
      </c>
      <c r="G197" s="5" t="s">
        <v>1752</v>
      </c>
    </row>
    <row r="198" spans="1:7" x14ac:dyDescent="0.3">
      <c r="A198">
        <v>243143</v>
      </c>
      <c r="B198" t="s">
        <v>346</v>
      </c>
      <c r="C198">
        <v>1430017</v>
      </c>
      <c r="D198">
        <v>39.904859000000002</v>
      </c>
      <c r="E198">
        <v>-74.976892000000007</v>
      </c>
      <c r="F198" s="5">
        <v>1430017</v>
      </c>
      <c r="G198" s="5" t="s">
        <v>1752</v>
      </c>
    </row>
    <row r="199" spans="1:7" x14ac:dyDescent="0.3">
      <c r="A199">
        <v>244072</v>
      </c>
      <c r="B199" t="s">
        <v>374</v>
      </c>
      <c r="C199">
        <v>1430010</v>
      </c>
      <c r="D199">
        <v>39.810554000000003</v>
      </c>
      <c r="E199">
        <v>-74.923126999999994</v>
      </c>
      <c r="F199" s="5">
        <v>1430010</v>
      </c>
      <c r="G199" s="5" t="s">
        <v>1752</v>
      </c>
    </row>
    <row r="200" spans="1:7" x14ac:dyDescent="0.3">
      <c r="A200">
        <v>244674</v>
      </c>
      <c r="B200" t="s">
        <v>390</v>
      </c>
      <c r="C200">
        <v>1430017</v>
      </c>
      <c r="D200">
        <v>39.905171000000003</v>
      </c>
      <c r="E200">
        <v>-74.84742</v>
      </c>
      <c r="F200" s="5">
        <v>1430017</v>
      </c>
      <c r="G200" s="5" t="s">
        <v>1752</v>
      </c>
    </row>
    <row r="201" spans="1:7" x14ac:dyDescent="0.3">
      <c r="A201">
        <v>418857</v>
      </c>
      <c r="B201" t="s">
        <v>1543</v>
      </c>
      <c r="C201">
        <v>1430017</v>
      </c>
      <c r="D201">
        <v>39.850026</v>
      </c>
      <c r="E201">
        <v>-75.062726999999995</v>
      </c>
      <c r="F201" s="5">
        <v>1430017</v>
      </c>
      <c r="G201" s="5" t="s">
        <v>1752</v>
      </c>
    </row>
    <row r="202" spans="1:7" x14ac:dyDescent="0.3">
      <c r="A202">
        <v>434909</v>
      </c>
      <c r="B202" t="s">
        <v>1091</v>
      </c>
      <c r="C202">
        <v>1430017</v>
      </c>
      <c r="D202">
        <v>39.849905999999997</v>
      </c>
      <c r="E202">
        <v>-75.032673000000003</v>
      </c>
      <c r="F202" s="5">
        <v>1430017</v>
      </c>
      <c r="G202" s="5" t="s">
        <v>1752</v>
      </c>
    </row>
    <row r="203" spans="1:7" x14ac:dyDescent="0.3">
      <c r="A203">
        <v>452750</v>
      </c>
      <c r="B203" t="s">
        <v>1167</v>
      </c>
      <c r="C203">
        <v>1430017</v>
      </c>
      <c r="D203">
        <v>39.878014999999998</v>
      </c>
      <c r="E203">
        <v>-75.118482</v>
      </c>
      <c r="F203" s="5">
        <v>1430017</v>
      </c>
      <c r="G203" s="5" t="s">
        <v>1752</v>
      </c>
    </row>
    <row r="204" spans="1:7" x14ac:dyDescent="0.3">
      <c r="A204">
        <v>455119</v>
      </c>
      <c r="B204" t="s">
        <v>1181</v>
      </c>
      <c r="C204">
        <v>1430017</v>
      </c>
      <c r="D204">
        <v>39.849522999999998</v>
      </c>
      <c r="E204">
        <v>-74.966870999999998</v>
      </c>
      <c r="F204" s="5">
        <v>1430017</v>
      </c>
      <c r="G204" s="5" t="s">
        <v>1752</v>
      </c>
    </row>
    <row r="205" spans="1:7" x14ac:dyDescent="0.3">
      <c r="A205">
        <v>458204</v>
      </c>
      <c r="B205" t="s">
        <v>390</v>
      </c>
      <c r="C205">
        <v>1430017</v>
      </c>
      <c r="D205">
        <v>39.895589999999999</v>
      </c>
      <c r="E205">
        <v>-74.812399999999997</v>
      </c>
      <c r="F205" s="5">
        <v>1430017</v>
      </c>
      <c r="G205" s="5" t="s">
        <v>1752</v>
      </c>
    </row>
    <row r="206" spans="1:7" x14ac:dyDescent="0.3">
      <c r="A206">
        <v>463491</v>
      </c>
      <c r="B206" t="s">
        <v>1219</v>
      </c>
      <c r="C206">
        <v>1430017</v>
      </c>
      <c r="D206">
        <v>39.897832999999999</v>
      </c>
      <c r="E206">
        <v>-74.827473999999995</v>
      </c>
      <c r="F206" s="5">
        <v>1430017</v>
      </c>
      <c r="G206" s="5" t="s">
        <v>1752</v>
      </c>
    </row>
    <row r="207" spans="1:7" x14ac:dyDescent="0.3">
      <c r="A207">
        <v>463492</v>
      </c>
      <c r="B207" t="s">
        <v>1562</v>
      </c>
      <c r="C207">
        <v>1430017</v>
      </c>
      <c r="D207">
        <v>39.888604999999998</v>
      </c>
      <c r="E207">
        <v>-74.825111000000007</v>
      </c>
      <c r="F207" s="5">
        <v>1430017</v>
      </c>
      <c r="G207" s="5" t="s">
        <v>1752</v>
      </c>
    </row>
    <row r="208" spans="1:7" x14ac:dyDescent="0.3">
      <c r="A208">
        <v>463493</v>
      </c>
      <c r="B208" t="s">
        <v>1563</v>
      </c>
      <c r="C208">
        <v>1430017</v>
      </c>
      <c r="D208">
        <v>39.890925000000003</v>
      </c>
      <c r="E208">
        <v>-74.823757000000001</v>
      </c>
      <c r="F208" s="5">
        <v>1430017</v>
      </c>
      <c r="G208" s="5" t="s">
        <v>1752</v>
      </c>
    </row>
    <row r="209" spans="1:7" x14ac:dyDescent="0.3">
      <c r="A209">
        <v>465027</v>
      </c>
      <c r="B209" t="s">
        <v>1243</v>
      </c>
      <c r="C209">
        <v>1430017</v>
      </c>
      <c r="D209">
        <v>39.904857999999997</v>
      </c>
      <c r="E209">
        <v>-74.849068000000003</v>
      </c>
      <c r="F209" s="5">
        <v>1430017</v>
      </c>
      <c r="G209" s="5" t="s">
        <v>1752</v>
      </c>
    </row>
    <row r="210" spans="1:7" x14ac:dyDescent="0.3">
      <c r="A210">
        <v>465028</v>
      </c>
      <c r="B210" t="s">
        <v>1564</v>
      </c>
      <c r="C210">
        <v>1430017</v>
      </c>
      <c r="D210">
        <v>39.896239000000001</v>
      </c>
      <c r="E210">
        <v>-74.806410999999997</v>
      </c>
      <c r="F210" s="5">
        <v>1430017</v>
      </c>
      <c r="G210" s="5" t="s">
        <v>1752</v>
      </c>
    </row>
    <row r="211" spans="1:7" x14ac:dyDescent="0.3">
      <c r="A211">
        <v>465066</v>
      </c>
      <c r="B211" t="s">
        <v>1245</v>
      </c>
      <c r="C211">
        <v>1430017</v>
      </c>
      <c r="D211">
        <v>39.854188000000001</v>
      </c>
      <c r="E211">
        <v>-74.844970000000004</v>
      </c>
      <c r="F211" s="5">
        <v>1430017</v>
      </c>
      <c r="G211" s="5" t="s">
        <v>1752</v>
      </c>
    </row>
    <row r="212" spans="1:7" x14ac:dyDescent="0.3">
      <c r="A212">
        <v>465067</v>
      </c>
      <c r="B212" t="s">
        <v>1247</v>
      </c>
      <c r="C212">
        <v>1430017</v>
      </c>
      <c r="D212">
        <v>39.880583999999999</v>
      </c>
      <c r="E212">
        <v>-74.844004999999996</v>
      </c>
      <c r="F212" s="5">
        <v>1430017</v>
      </c>
      <c r="G212" s="5" t="s">
        <v>1752</v>
      </c>
    </row>
    <row r="213" spans="1:7" x14ac:dyDescent="0.3">
      <c r="A213">
        <v>479890</v>
      </c>
      <c r="B213" t="s">
        <v>1354</v>
      </c>
      <c r="C213">
        <v>1430017</v>
      </c>
      <c r="D213">
        <v>39.884742000000003</v>
      </c>
      <c r="E213">
        <v>-75.076086000000004</v>
      </c>
      <c r="F213" s="5">
        <v>1430017</v>
      </c>
      <c r="G213" s="5" t="s">
        <v>1752</v>
      </c>
    </row>
    <row r="214" spans="1:7" x14ac:dyDescent="0.3">
      <c r="A214">
        <v>244210</v>
      </c>
      <c r="B214" t="s">
        <v>384</v>
      </c>
      <c r="C214">
        <v>1430010</v>
      </c>
      <c r="D214">
        <v>39.462097999999997</v>
      </c>
      <c r="E214">
        <v>-74.681916000000001</v>
      </c>
      <c r="F214" s="5">
        <v>1430010</v>
      </c>
      <c r="G214" s="5" t="s">
        <v>1752</v>
      </c>
    </row>
    <row r="215" spans="1:7" x14ac:dyDescent="0.3">
      <c r="A215">
        <v>244387</v>
      </c>
      <c r="B215" t="s">
        <v>829</v>
      </c>
      <c r="C215">
        <v>1430010</v>
      </c>
      <c r="D215">
        <v>39.45552</v>
      </c>
      <c r="E215">
        <v>-74.67559</v>
      </c>
      <c r="F215" s="5">
        <v>1430010</v>
      </c>
      <c r="G215" s="5" t="s">
        <v>1752</v>
      </c>
    </row>
    <row r="216" spans="1:7" x14ac:dyDescent="0.3">
      <c r="A216">
        <v>317447</v>
      </c>
      <c r="B216" t="s">
        <v>677</v>
      </c>
      <c r="C216">
        <v>1430012</v>
      </c>
      <c r="D216">
        <v>39.464633999999997</v>
      </c>
      <c r="E216">
        <v>-74.499216000000004</v>
      </c>
      <c r="F216" s="5">
        <v>1430012</v>
      </c>
      <c r="G216" s="5" t="s">
        <v>1752</v>
      </c>
    </row>
    <row r="217" spans="1:7" x14ac:dyDescent="0.3">
      <c r="A217">
        <v>343689</v>
      </c>
      <c r="B217" t="s">
        <v>767</v>
      </c>
      <c r="C217">
        <v>1430012</v>
      </c>
      <c r="D217">
        <v>39.416679000000002</v>
      </c>
      <c r="E217">
        <v>-74.509568000000002</v>
      </c>
      <c r="F217" s="5">
        <v>1430012</v>
      </c>
      <c r="G217" s="5" t="s">
        <v>1752</v>
      </c>
    </row>
    <row r="218" spans="1:7" x14ac:dyDescent="0.3">
      <c r="A218">
        <v>416125</v>
      </c>
      <c r="B218" t="s">
        <v>830</v>
      </c>
      <c r="C218">
        <v>1430012</v>
      </c>
      <c r="D218">
        <v>39.480457000000001</v>
      </c>
      <c r="E218">
        <v>-74.516105999999994</v>
      </c>
      <c r="F218" s="5">
        <v>1430010</v>
      </c>
      <c r="G218" s="4" t="s">
        <v>1753</v>
      </c>
    </row>
    <row r="219" spans="1:7" x14ac:dyDescent="0.3">
      <c r="A219">
        <v>416222</v>
      </c>
      <c r="B219" t="s">
        <v>834</v>
      </c>
      <c r="C219">
        <v>1430012</v>
      </c>
      <c r="D219">
        <v>39.367274000000002</v>
      </c>
      <c r="E219">
        <v>-74.477407999999997</v>
      </c>
      <c r="F219" s="5">
        <v>1430012</v>
      </c>
      <c r="G219" s="5" t="s">
        <v>1752</v>
      </c>
    </row>
    <row r="220" spans="1:7" x14ac:dyDescent="0.3">
      <c r="A220">
        <v>416847</v>
      </c>
      <c r="B220" t="s">
        <v>1533</v>
      </c>
      <c r="C220">
        <v>1430010</v>
      </c>
      <c r="D220">
        <v>39.448799999999999</v>
      </c>
      <c r="E220">
        <v>-74.678309999999996</v>
      </c>
      <c r="F220" s="5">
        <v>1430010</v>
      </c>
      <c r="G220" s="5" t="s">
        <v>1752</v>
      </c>
    </row>
    <row r="221" spans="1:7" x14ac:dyDescent="0.3">
      <c r="A221">
        <v>417331</v>
      </c>
      <c r="B221" t="s">
        <v>875</v>
      </c>
      <c r="C221">
        <v>1430010</v>
      </c>
      <c r="D221">
        <v>39.431888999999998</v>
      </c>
      <c r="E221">
        <v>-74.694198999999998</v>
      </c>
      <c r="F221" s="5">
        <v>1430010</v>
      </c>
      <c r="G221" s="5" t="s">
        <v>1752</v>
      </c>
    </row>
    <row r="222" spans="1:7" x14ac:dyDescent="0.3">
      <c r="A222">
        <v>417664</v>
      </c>
      <c r="B222" t="s">
        <v>884</v>
      </c>
      <c r="C222">
        <v>1430010</v>
      </c>
      <c r="D222">
        <v>39.453698000000003</v>
      </c>
      <c r="E222">
        <v>-74.723607999999999</v>
      </c>
      <c r="F222" s="5">
        <v>1430010</v>
      </c>
      <c r="G222" s="5" t="s">
        <v>1752</v>
      </c>
    </row>
    <row r="223" spans="1:7" x14ac:dyDescent="0.3">
      <c r="A223">
        <v>417899</v>
      </c>
      <c r="B223" t="s">
        <v>893</v>
      </c>
      <c r="C223">
        <v>1430010</v>
      </c>
      <c r="D223">
        <v>39.551631</v>
      </c>
      <c r="E223">
        <v>-74.627809999999997</v>
      </c>
      <c r="F223" s="5">
        <v>1430010</v>
      </c>
      <c r="G223" s="5" t="s">
        <v>1752</v>
      </c>
    </row>
    <row r="224" spans="1:7" x14ac:dyDescent="0.3">
      <c r="A224">
        <v>418384</v>
      </c>
      <c r="B224" t="s">
        <v>941</v>
      </c>
      <c r="C224">
        <v>1430012</v>
      </c>
      <c r="D224">
        <v>39.406109000000001</v>
      </c>
      <c r="E224">
        <v>-74.527463999999995</v>
      </c>
      <c r="F224" s="5">
        <v>1430012</v>
      </c>
      <c r="G224" s="5" t="s">
        <v>1752</v>
      </c>
    </row>
    <row r="225" spans="1:7" x14ac:dyDescent="0.3">
      <c r="A225">
        <v>432455</v>
      </c>
      <c r="B225" t="s">
        <v>1076</v>
      </c>
      <c r="C225">
        <v>1430012</v>
      </c>
      <c r="D225">
        <v>39.354581000000003</v>
      </c>
      <c r="E225">
        <v>-74.448654000000005</v>
      </c>
      <c r="F225" s="5">
        <v>1430012</v>
      </c>
      <c r="G225" s="5" t="s">
        <v>1752</v>
      </c>
    </row>
    <row r="226" spans="1:7" x14ac:dyDescent="0.3">
      <c r="A226">
        <v>439786</v>
      </c>
      <c r="B226" t="s">
        <v>1554</v>
      </c>
      <c r="C226">
        <v>1430012</v>
      </c>
      <c r="D226">
        <v>39.376882999999999</v>
      </c>
      <c r="E226">
        <v>-74.538041000000007</v>
      </c>
      <c r="F226" s="5">
        <v>1430010</v>
      </c>
      <c r="G226" s="4" t="s">
        <v>1753</v>
      </c>
    </row>
    <row r="227" spans="1:7" x14ac:dyDescent="0.3">
      <c r="A227">
        <v>448558</v>
      </c>
      <c r="B227" t="s">
        <v>940</v>
      </c>
      <c r="C227">
        <v>1430012</v>
      </c>
      <c r="D227">
        <v>39.407508999999997</v>
      </c>
      <c r="E227">
        <v>-74.526931000000005</v>
      </c>
      <c r="F227" s="5">
        <v>1430012</v>
      </c>
      <c r="G227" s="5" t="s">
        <v>1752</v>
      </c>
    </row>
    <row r="228" spans="1:7" x14ac:dyDescent="0.3">
      <c r="A228">
        <v>449174</v>
      </c>
      <c r="B228" t="s">
        <v>1146</v>
      </c>
      <c r="C228">
        <v>1430012</v>
      </c>
      <c r="D228">
        <v>39.411504000000001</v>
      </c>
      <c r="E228">
        <v>-74.364667999999995</v>
      </c>
      <c r="F228" s="5">
        <v>1430010</v>
      </c>
      <c r="G228" s="4" t="s">
        <v>1753</v>
      </c>
    </row>
    <row r="229" spans="1:7" x14ac:dyDescent="0.3">
      <c r="A229">
        <v>475103</v>
      </c>
      <c r="B229" t="s">
        <v>1574</v>
      </c>
      <c r="C229">
        <v>1430012</v>
      </c>
      <c r="D229">
        <v>39.465960000000003</v>
      </c>
      <c r="E229">
        <v>-74.495665000000002</v>
      </c>
      <c r="F229" s="5">
        <v>1430012</v>
      </c>
      <c r="G229" s="5" t="s">
        <v>1752</v>
      </c>
    </row>
    <row r="230" spans="1:7" x14ac:dyDescent="0.3">
      <c r="A230">
        <v>480267</v>
      </c>
      <c r="B230" t="s">
        <v>1576</v>
      </c>
      <c r="C230">
        <v>1430012</v>
      </c>
      <c r="D230">
        <v>39.489293000000004</v>
      </c>
      <c r="E230">
        <v>-74.458924999999994</v>
      </c>
      <c r="F230" s="5">
        <v>1430010</v>
      </c>
      <c r="G230" s="4" t="s">
        <v>1753</v>
      </c>
    </row>
    <row r="231" spans="1:7" x14ac:dyDescent="0.3">
      <c r="A231">
        <v>480380</v>
      </c>
      <c r="B231" t="s">
        <v>1359</v>
      </c>
      <c r="C231">
        <v>1430012</v>
      </c>
      <c r="D231">
        <v>39.356285999999997</v>
      </c>
      <c r="E231">
        <v>-74.435967000000005</v>
      </c>
      <c r="F231" s="5">
        <v>1430012</v>
      </c>
      <c r="G231" s="5" t="s">
        <v>1752</v>
      </c>
    </row>
    <row r="232" spans="1:7" x14ac:dyDescent="0.3">
      <c r="A232">
        <v>480713</v>
      </c>
      <c r="B232" t="s">
        <v>1372</v>
      </c>
      <c r="C232">
        <v>1430012</v>
      </c>
      <c r="D232">
        <v>39.379933999999999</v>
      </c>
      <c r="E232">
        <v>-74.542322999999996</v>
      </c>
      <c r="F232" s="5">
        <v>1430010</v>
      </c>
      <c r="G232" s="4" t="s">
        <v>1753</v>
      </c>
    </row>
    <row r="233" spans="1:7" x14ac:dyDescent="0.3">
      <c r="A233">
        <v>480927</v>
      </c>
      <c r="B233" t="s">
        <v>1374</v>
      </c>
      <c r="C233">
        <v>1430012</v>
      </c>
      <c r="D233">
        <v>39.357050000000001</v>
      </c>
      <c r="E233">
        <v>-74.426636999999999</v>
      </c>
      <c r="F233" s="5">
        <v>1430010</v>
      </c>
      <c r="G233" s="4" t="s">
        <v>1753</v>
      </c>
    </row>
    <row r="234" spans="1:7" x14ac:dyDescent="0.3">
      <c r="A234">
        <v>243100</v>
      </c>
      <c r="B234" t="s">
        <v>342</v>
      </c>
      <c r="C234">
        <v>1430016</v>
      </c>
      <c r="D234">
        <v>40.064836999999997</v>
      </c>
      <c r="E234">
        <v>-75.242802999999995</v>
      </c>
      <c r="F234" s="5">
        <v>1430016</v>
      </c>
      <c r="G234" s="5" t="s">
        <v>1752</v>
      </c>
    </row>
    <row r="235" spans="1:7" x14ac:dyDescent="0.3">
      <c r="A235">
        <v>244752</v>
      </c>
      <c r="B235" t="s">
        <v>398</v>
      </c>
      <c r="C235">
        <v>1430016</v>
      </c>
      <c r="D235">
        <v>40.057485</v>
      </c>
      <c r="E235">
        <v>-75.673405000000002</v>
      </c>
      <c r="F235" s="5">
        <v>1430016</v>
      </c>
      <c r="G235" s="5" t="s">
        <v>1752</v>
      </c>
    </row>
    <row r="236" spans="1:7" x14ac:dyDescent="0.3">
      <c r="A236">
        <v>245745</v>
      </c>
      <c r="B236" t="s">
        <v>418</v>
      </c>
      <c r="C236">
        <v>1430013</v>
      </c>
      <c r="D236">
        <v>40.046349999999997</v>
      </c>
      <c r="E236">
        <v>-75.353767000000005</v>
      </c>
      <c r="F236" s="5">
        <v>1430016</v>
      </c>
      <c r="G236" s="4" t="s">
        <v>1753</v>
      </c>
    </row>
    <row r="237" spans="1:7" x14ac:dyDescent="0.3">
      <c r="A237">
        <v>246590</v>
      </c>
      <c r="B237" t="s">
        <v>447</v>
      </c>
      <c r="C237">
        <v>1430016</v>
      </c>
      <c r="D237">
        <v>40.092891000000002</v>
      </c>
      <c r="E237">
        <v>-75.260931999999997</v>
      </c>
      <c r="F237" s="5">
        <v>1430016</v>
      </c>
      <c r="G237" s="5" t="s">
        <v>1752</v>
      </c>
    </row>
    <row r="238" spans="1:7" x14ac:dyDescent="0.3">
      <c r="A238">
        <v>254929</v>
      </c>
      <c r="B238" t="s">
        <v>463</v>
      </c>
      <c r="C238">
        <v>1430016</v>
      </c>
      <c r="D238">
        <v>40.035834999999999</v>
      </c>
      <c r="E238">
        <v>-75.553236999999996</v>
      </c>
      <c r="F238" s="5">
        <v>1430016</v>
      </c>
      <c r="G238" s="5" t="s">
        <v>1752</v>
      </c>
    </row>
    <row r="239" spans="1:7" x14ac:dyDescent="0.3">
      <c r="A239">
        <v>268915</v>
      </c>
      <c r="B239" t="s">
        <v>483</v>
      </c>
      <c r="C239">
        <v>1430016</v>
      </c>
      <c r="D239">
        <v>40.074641999999997</v>
      </c>
      <c r="E239">
        <v>-75.679427000000004</v>
      </c>
      <c r="F239" s="5">
        <v>1430016</v>
      </c>
      <c r="G239" s="5" t="s">
        <v>1752</v>
      </c>
    </row>
    <row r="240" spans="1:7" x14ac:dyDescent="0.3">
      <c r="A240">
        <v>274439</v>
      </c>
      <c r="B240" t="s">
        <v>517</v>
      </c>
      <c r="C240">
        <v>1430016</v>
      </c>
      <c r="D240">
        <v>40.054324999999999</v>
      </c>
      <c r="E240">
        <v>-75.390249999999995</v>
      </c>
      <c r="F240" s="5">
        <v>1430016</v>
      </c>
      <c r="G240" s="5" t="s">
        <v>1752</v>
      </c>
    </row>
    <row r="241" spans="1:7" x14ac:dyDescent="0.3">
      <c r="A241">
        <v>279804</v>
      </c>
      <c r="B241" t="s">
        <v>525</v>
      </c>
      <c r="C241">
        <v>1430016</v>
      </c>
      <c r="D241">
        <v>40.045364999999997</v>
      </c>
      <c r="E241">
        <v>-75.430081000000001</v>
      </c>
      <c r="F241" s="5">
        <v>1430016</v>
      </c>
      <c r="G241" s="5" t="s">
        <v>1752</v>
      </c>
    </row>
    <row r="242" spans="1:7" x14ac:dyDescent="0.3">
      <c r="A242">
        <v>296247</v>
      </c>
      <c r="B242" t="s">
        <v>577</v>
      </c>
      <c r="C242">
        <v>1430016</v>
      </c>
      <c r="D242">
        <v>40.035469999999997</v>
      </c>
      <c r="E242">
        <v>-75.511949999999999</v>
      </c>
      <c r="F242" s="5">
        <v>1430016</v>
      </c>
      <c r="G242" s="5" t="s">
        <v>1752</v>
      </c>
    </row>
    <row r="243" spans="1:7" x14ac:dyDescent="0.3">
      <c r="A243">
        <v>296325</v>
      </c>
      <c r="B243" t="s">
        <v>579</v>
      </c>
      <c r="C243">
        <v>1430016</v>
      </c>
      <c r="D243">
        <v>40.088863000000003</v>
      </c>
      <c r="E243">
        <v>-75.179925999999995</v>
      </c>
      <c r="F243" s="5">
        <v>1430016</v>
      </c>
      <c r="G243" s="5" t="s">
        <v>1752</v>
      </c>
    </row>
    <row r="244" spans="1:7" x14ac:dyDescent="0.3">
      <c r="A244">
        <v>299033</v>
      </c>
      <c r="B244" t="s">
        <v>601</v>
      </c>
      <c r="C244">
        <v>1430016</v>
      </c>
      <c r="D244">
        <v>40.079588999999999</v>
      </c>
      <c r="E244">
        <v>-75.310717999999994</v>
      </c>
      <c r="F244" s="5">
        <v>1430016</v>
      </c>
      <c r="G244" s="5" t="s">
        <v>1752</v>
      </c>
    </row>
    <row r="245" spans="1:7" x14ac:dyDescent="0.3">
      <c r="A245">
        <v>303635</v>
      </c>
      <c r="B245" t="s">
        <v>617</v>
      </c>
      <c r="C245">
        <v>1430016</v>
      </c>
      <c r="D245">
        <v>40.061514000000003</v>
      </c>
      <c r="E245">
        <v>-75.642668999999998</v>
      </c>
      <c r="F245" s="5">
        <v>1430016</v>
      </c>
      <c r="G245" s="5" t="s">
        <v>1752</v>
      </c>
    </row>
    <row r="246" spans="1:7" x14ac:dyDescent="0.3">
      <c r="A246">
        <v>309392</v>
      </c>
      <c r="B246" t="s">
        <v>657</v>
      </c>
      <c r="C246">
        <v>1430016</v>
      </c>
      <c r="D246">
        <v>40.031834000000003</v>
      </c>
      <c r="E246">
        <v>-75.326818000000003</v>
      </c>
      <c r="F246" s="5">
        <v>1430016</v>
      </c>
      <c r="G246" s="5" t="s">
        <v>1752</v>
      </c>
    </row>
    <row r="247" spans="1:7" x14ac:dyDescent="0.3">
      <c r="A247">
        <v>319931</v>
      </c>
      <c r="B247" t="s">
        <v>687</v>
      </c>
      <c r="C247">
        <v>1430016</v>
      </c>
      <c r="D247">
        <v>40.044398999999999</v>
      </c>
      <c r="E247">
        <v>-75.425315999999995</v>
      </c>
      <c r="F247" s="5">
        <v>1430016</v>
      </c>
      <c r="G247" s="5" t="s">
        <v>1752</v>
      </c>
    </row>
    <row r="248" spans="1:7" x14ac:dyDescent="0.3">
      <c r="A248">
        <v>331272</v>
      </c>
      <c r="B248" t="s">
        <v>727</v>
      </c>
      <c r="C248">
        <v>1430013</v>
      </c>
      <c r="D248">
        <v>40.046349999999997</v>
      </c>
      <c r="E248">
        <v>-75.353767000000005</v>
      </c>
      <c r="F248" s="5">
        <v>1430016</v>
      </c>
      <c r="G248" s="4" t="s">
        <v>1753</v>
      </c>
    </row>
    <row r="249" spans="1:7" x14ac:dyDescent="0.3">
      <c r="A249">
        <v>339092</v>
      </c>
      <c r="B249" t="s">
        <v>743</v>
      </c>
      <c r="C249">
        <v>1430016</v>
      </c>
      <c r="D249">
        <v>40.045946999999998</v>
      </c>
      <c r="E249">
        <v>-75.440398000000002</v>
      </c>
      <c r="F249" s="5">
        <v>1430016</v>
      </c>
      <c r="G249" s="5" t="s">
        <v>1752</v>
      </c>
    </row>
    <row r="250" spans="1:7" x14ac:dyDescent="0.3">
      <c r="A250">
        <v>343427</v>
      </c>
      <c r="B250" t="s">
        <v>763</v>
      </c>
      <c r="C250">
        <v>1430016</v>
      </c>
      <c r="D250">
        <v>40.076630000000002</v>
      </c>
      <c r="E250">
        <v>-75.252816999999993</v>
      </c>
      <c r="F250" s="5">
        <v>1430016</v>
      </c>
      <c r="G250" s="5" t="s">
        <v>1752</v>
      </c>
    </row>
    <row r="251" spans="1:7" x14ac:dyDescent="0.3">
      <c r="A251">
        <v>345425</v>
      </c>
      <c r="B251" t="s">
        <v>776</v>
      </c>
      <c r="C251">
        <v>1430016</v>
      </c>
      <c r="D251">
        <v>40.039400999999998</v>
      </c>
      <c r="E251">
        <v>-75.506704999999997</v>
      </c>
      <c r="F251" s="5">
        <v>1430016</v>
      </c>
      <c r="G251" s="5" t="s">
        <v>1752</v>
      </c>
    </row>
    <row r="252" spans="1:7" x14ac:dyDescent="0.3">
      <c r="A252">
        <v>416716</v>
      </c>
      <c r="B252" t="s">
        <v>854</v>
      </c>
      <c r="C252">
        <v>1430016</v>
      </c>
      <c r="D252">
        <v>40.10248</v>
      </c>
      <c r="E252">
        <v>-75.266859999999994</v>
      </c>
      <c r="F252" s="5">
        <v>1430016</v>
      </c>
      <c r="G252" s="5" t="s">
        <v>1752</v>
      </c>
    </row>
    <row r="253" spans="1:7" x14ac:dyDescent="0.3">
      <c r="A253">
        <v>417399</v>
      </c>
      <c r="B253" t="s">
        <v>1534</v>
      </c>
      <c r="C253">
        <v>1430016</v>
      </c>
      <c r="D253">
        <v>40.044302999999999</v>
      </c>
      <c r="E253">
        <v>-75.579829000000004</v>
      </c>
      <c r="F253" s="5">
        <v>1430016</v>
      </c>
      <c r="G253" s="5" t="s">
        <v>1752</v>
      </c>
    </row>
    <row r="254" spans="1:7" x14ac:dyDescent="0.3">
      <c r="A254">
        <v>418385</v>
      </c>
      <c r="B254" t="s">
        <v>943</v>
      </c>
      <c r="C254">
        <v>1430016</v>
      </c>
      <c r="D254">
        <v>40.115628000000001</v>
      </c>
      <c r="E254">
        <v>-75.295199999999994</v>
      </c>
      <c r="F254" s="5">
        <v>1430016</v>
      </c>
      <c r="G254" s="5" t="s">
        <v>1752</v>
      </c>
    </row>
    <row r="255" spans="1:7" x14ac:dyDescent="0.3">
      <c r="A255">
        <v>418387</v>
      </c>
      <c r="B255" t="s">
        <v>945</v>
      </c>
      <c r="C255">
        <v>1430016</v>
      </c>
      <c r="D255">
        <v>40.099080000000001</v>
      </c>
      <c r="E255">
        <v>-75.270030000000006</v>
      </c>
      <c r="F255" s="5">
        <v>1430016</v>
      </c>
      <c r="G255" s="5" t="s">
        <v>1752</v>
      </c>
    </row>
    <row r="256" spans="1:7" x14ac:dyDescent="0.3">
      <c r="A256">
        <v>418444</v>
      </c>
      <c r="B256" t="s">
        <v>953</v>
      </c>
      <c r="C256">
        <v>1430016</v>
      </c>
      <c r="D256">
        <v>40.039439999999999</v>
      </c>
      <c r="E256">
        <v>-75.360119999999995</v>
      </c>
      <c r="F256" s="5">
        <v>1430016</v>
      </c>
      <c r="G256" s="5" t="s">
        <v>1752</v>
      </c>
    </row>
    <row r="257" spans="1:7" x14ac:dyDescent="0.3">
      <c r="A257">
        <v>418481</v>
      </c>
      <c r="B257" t="s">
        <v>957</v>
      </c>
      <c r="C257">
        <v>1430016</v>
      </c>
      <c r="D257">
        <v>40.097589999999997</v>
      </c>
      <c r="E257">
        <v>-75.290285999999995</v>
      </c>
      <c r="F257" s="5">
        <v>1430016</v>
      </c>
      <c r="G257" s="5" t="s">
        <v>1752</v>
      </c>
    </row>
    <row r="258" spans="1:7" x14ac:dyDescent="0.3">
      <c r="A258">
        <v>418850</v>
      </c>
      <c r="B258" t="s">
        <v>975</v>
      </c>
      <c r="C258">
        <v>1430016</v>
      </c>
      <c r="D258">
        <v>40.047181999999999</v>
      </c>
      <c r="E258">
        <v>-75.449449999999999</v>
      </c>
      <c r="F258" s="5">
        <v>1430016</v>
      </c>
      <c r="G258" s="5" t="s">
        <v>1752</v>
      </c>
    </row>
    <row r="259" spans="1:7" x14ac:dyDescent="0.3">
      <c r="A259">
        <v>431926</v>
      </c>
      <c r="B259" t="s">
        <v>1070</v>
      </c>
      <c r="C259">
        <v>1430016</v>
      </c>
      <c r="D259">
        <v>40.071077000000002</v>
      </c>
      <c r="E259">
        <v>-75.686532</v>
      </c>
      <c r="F259" s="5">
        <v>1430016</v>
      </c>
      <c r="G259" s="5" t="s">
        <v>1752</v>
      </c>
    </row>
    <row r="260" spans="1:7" x14ac:dyDescent="0.3">
      <c r="A260">
        <v>460002</v>
      </c>
      <c r="B260" t="s">
        <v>1205</v>
      </c>
      <c r="C260">
        <v>1430016</v>
      </c>
      <c r="D260">
        <v>40.044600000000003</v>
      </c>
      <c r="E260">
        <v>-75.38776</v>
      </c>
      <c r="F260" s="5">
        <v>1430016</v>
      </c>
      <c r="G260" s="5" t="s">
        <v>1752</v>
      </c>
    </row>
    <row r="261" spans="1:7" x14ac:dyDescent="0.3">
      <c r="A261">
        <v>469218</v>
      </c>
      <c r="B261" t="s">
        <v>1288</v>
      </c>
      <c r="C261">
        <v>1430016</v>
      </c>
      <c r="D261">
        <v>40.027290000000001</v>
      </c>
      <c r="E261">
        <v>-75.315470000000005</v>
      </c>
      <c r="F261" s="5">
        <v>1430016</v>
      </c>
      <c r="G261" s="5" t="s">
        <v>1752</v>
      </c>
    </row>
    <row r="262" spans="1:7" x14ac:dyDescent="0.3">
      <c r="A262">
        <v>470628</v>
      </c>
      <c r="B262" t="s">
        <v>1310</v>
      </c>
      <c r="C262">
        <v>1430016</v>
      </c>
      <c r="D262">
        <v>40.077438000000001</v>
      </c>
      <c r="E262">
        <v>-75.187529999999995</v>
      </c>
      <c r="F262" s="5">
        <v>1430016</v>
      </c>
      <c r="G262" s="5" t="s">
        <v>1752</v>
      </c>
    </row>
    <row r="263" spans="1:7" x14ac:dyDescent="0.3">
      <c r="A263">
        <v>480500</v>
      </c>
      <c r="B263" t="s">
        <v>1362</v>
      </c>
      <c r="C263">
        <v>1430016</v>
      </c>
      <c r="D263">
        <v>40.078482000000001</v>
      </c>
      <c r="E263">
        <v>-75.248406000000003</v>
      </c>
      <c r="F263" s="5">
        <v>1430016</v>
      </c>
      <c r="G263" s="5" t="s">
        <v>1752</v>
      </c>
    </row>
    <row r="264" spans="1:7" x14ac:dyDescent="0.3">
      <c r="A264">
        <v>481112</v>
      </c>
      <c r="B264" t="s">
        <v>1377</v>
      </c>
      <c r="C264">
        <v>1430016</v>
      </c>
      <c r="D264">
        <v>40.081271000000001</v>
      </c>
      <c r="E264">
        <v>-75.421974000000006</v>
      </c>
      <c r="F264" s="5">
        <v>1430016</v>
      </c>
      <c r="G264" s="5" t="s">
        <v>1752</v>
      </c>
    </row>
    <row r="265" spans="1:7" x14ac:dyDescent="0.3">
      <c r="A265">
        <v>279782</v>
      </c>
      <c r="B265" t="s">
        <v>523</v>
      </c>
      <c r="C265">
        <v>1430033</v>
      </c>
      <c r="D265">
        <v>40.756923999999998</v>
      </c>
      <c r="E265">
        <v>-75.537763999999996</v>
      </c>
      <c r="F265" s="5">
        <v>1430033</v>
      </c>
      <c r="G265" s="5" t="s">
        <v>1752</v>
      </c>
    </row>
    <row r="266" spans="1:7" x14ac:dyDescent="0.3">
      <c r="A266">
        <v>299906</v>
      </c>
      <c r="B266" t="s">
        <v>609</v>
      </c>
      <c r="C266">
        <v>1430014</v>
      </c>
      <c r="D266">
        <v>40.878660000000004</v>
      </c>
      <c r="E266">
        <v>-75.214595000000003</v>
      </c>
      <c r="F266" s="5">
        <v>1430014</v>
      </c>
      <c r="G266" s="5" t="s">
        <v>1752</v>
      </c>
    </row>
    <row r="267" spans="1:7" x14ac:dyDescent="0.3">
      <c r="A267">
        <v>306637</v>
      </c>
      <c r="B267" t="s">
        <v>639</v>
      </c>
      <c r="C267">
        <v>1430014</v>
      </c>
      <c r="D267">
        <v>40.855868000000001</v>
      </c>
      <c r="E267">
        <v>-75.200770000000006</v>
      </c>
      <c r="F267" s="5">
        <v>1430014</v>
      </c>
      <c r="G267" s="5" t="s">
        <v>1752</v>
      </c>
    </row>
    <row r="268" spans="1:7" x14ac:dyDescent="0.3">
      <c r="A268">
        <v>416689</v>
      </c>
      <c r="B268" t="s">
        <v>852</v>
      </c>
      <c r="C268">
        <v>1430014</v>
      </c>
      <c r="D268">
        <v>40.922745999999997</v>
      </c>
      <c r="E268">
        <v>-75.403645999999995</v>
      </c>
      <c r="F268" s="5">
        <v>1430033</v>
      </c>
      <c r="G268" s="4" t="s">
        <v>1753</v>
      </c>
    </row>
    <row r="269" spans="1:7" x14ac:dyDescent="0.3">
      <c r="A269">
        <v>480252</v>
      </c>
      <c r="B269" t="s">
        <v>1356</v>
      </c>
      <c r="C269">
        <v>1430014</v>
      </c>
      <c r="D269">
        <v>40.855868000000001</v>
      </c>
      <c r="E269">
        <v>-75.200770000000006</v>
      </c>
      <c r="F269" s="5">
        <v>1430014</v>
      </c>
      <c r="G269" s="5" t="s">
        <v>1752</v>
      </c>
    </row>
    <row r="270" spans="1:7" x14ac:dyDescent="0.3">
      <c r="A270">
        <v>241276</v>
      </c>
      <c r="B270" t="s">
        <v>282</v>
      </c>
      <c r="C270">
        <v>1430016</v>
      </c>
      <c r="D270">
        <v>40.621958999999997</v>
      </c>
      <c r="E270">
        <v>-75.447389000000001</v>
      </c>
      <c r="F270" s="5">
        <v>1430033</v>
      </c>
      <c r="G270" s="4" t="s">
        <v>1753</v>
      </c>
    </row>
    <row r="271" spans="1:7" x14ac:dyDescent="0.3">
      <c r="A271">
        <v>243967</v>
      </c>
      <c r="B271" t="s">
        <v>370</v>
      </c>
      <c r="C271">
        <v>1430016</v>
      </c>
      <c r="D271">
        <v>40.440883999999997</v>
      </c>
      <c r="E271">
        <v>-75.375559999999993</v>
      </c>
      <c r="F271" s="5">
        <v>1430016</v>
      </c>
      <c r="G271" s="5" t="s">
        <v>1752</v>
      </c>
    </row>
    <row r="272" spans="1:7" x14ac:dyDescent="0.3">
      <c r="A272">
        <v>244689</v>
      </c>
      <c r="B272" t="s">
        <v>394</v>
      </c>
      <c r="C272">
        <v>1430016</v>
      </c>
      <c r="D272">
        <v>40.429423999999997</v>
      </c>
      <c r="E272">
        <v>-75.350738000000007</v>
      </c>
      <c r="F272" s="5">
        <v>1430005</v>
      </c>
      <c r="G272" s="4" t="s">
        <v>1753</v>
      </c>
    </row>
    <row r="273" spans="1:7" x14ac:dyDescent="0.3">
      <c r="A273">
        <v>246467</v>
      </c>
      <c r="B273" t="s">
        <v>435</v>
      </c>
      <c r="C273">
        <v>1430005</v>
      </c>
      <c r="D273">
        <v>40.430525000000003</v>
      </c>
      <c r="E273">
        <v>-75.234277000000006</v>
      </c>
      <c r="F273" s="5">
        <v>1430005</v>
      </c>
      <c r="G273" s="5" t="s">
        <v>1752</v>
      </c>
    </row>
    <row r="274" spans="1:7" x14ac:dyDescent="0.3">
      <c r="A274">
        <v>269945</v>
      </c>
      <c r="B274" t="s">
        <v>491</v>
      </c>
      <c r="C274">
        <v>1430016</v>
      </c>
      <c r="D274">
        <v>40.582904999999997</v>
      </c>
      <c r="E274">
        <v>-75.477538999999993</v>
      </c>
      <c r="F274" s="5">
        <v>1430033</v>
      </c>
      <c r="G274" s="4" t="s">
        <v>1753</v>
      </c>
    </row>
    <row r="275" spans="1:7" x14ac:dyDescent="0.3">
      <c r="A275">
        <v>297316</v>
      </c>
      <c r="B275" t="s">
        <v>589</v>
      </c>
      <c r="C275">
        <v>1430016</v>
      </c>
      <c r="D275">
        <v>40.324551</v>
      </c>
      <c r="E275">
        <v>-75.298706999999993</v>
      </c>
      <c r="F275" s="5">
        <v>1430016</v>
      </c>
      <c r="G275" s="5" t="s">
        <v>1752</v>
      </c>
    </row>
    <row r="276" spans="1:7" x14ac:dyDescent="0.3">
      <c r="A276">
        <v>418310</v>
      </c>
      <c r="B276" t="s">
        <v>909</v>
      </c>
      <c r="C276">
        <v>1430015</v>
      </c>
      <c r="D276">
        <v>40.346812</v>
      </c>
      <c r="E276">
        <v>-75.276370999999997</v>
      </c>
      <c r="F276" s="5">
        <v>1430005</v>
      </c>
      <c r="G276" s="4" t="s">
        <v>1753</v>
      </c>
    </row>
    <row r="277" spans="1:7" x14ac:dyDescent="0.3">
      <c r="A277">
        <v>418311</v>
      </c>
      <c r="B277" t="s">
        <v>911</v>
      </c>
      <c r="C277">
        <v>1430015</v>
      </c>
      <c r="D277">
        <v>40.366259999999997</v>
      </c>
      <c r="E277">
        <v>-75.305400000000006</v>
      </c>
      <c r="F277" s="5">
        <v>1430015</v>
      </c>
      <c r="G277" s="5" t="s">
        <v>1752</v>
      </c>
    </row>
    <row r="278" spans="1:7" x14ac:dyDescent="0.3">
      <c r="A278">
        <v>418313</v>
      </c>
      <c r="B278" t="s">
        <v>913</v>
      </c>
      <c r="C278">
        <v>1430015</v>
      </c>
      <c r="D278">
        <v>40.366999</v>
      </c>
      <c r="E278">
        <v>-75.326257999999996</v>
      </c>
      <c r="F278" s="5">
        <v>1430005</v>
      </c>
      <c r="G278" s="4" t="s">
        <v>1753</v>
      </c>
    </row>
    <row r="279" spans="1:7" x14ac:dyDescent="0.3">
      <c r="A279">
        <v>418316</v>
      </c>
      <c r="B279" t="s">
        <v>915</v>
      </c>
      <c r="C279">
        <v>1430015</v>
      </c>
      <c r="D279">
        <v>40.389856000000002</v>
      </c>
      <c r="E279">
        <v>-75.270972999999998</v>
      </c>
      <c r="F279" s="5">
        <v>1430015</v>
      </c>
      <c r="G279" s="5" t="s">
        <v>1752</v>
      </c>
    </row>
    <row r="280" spans="1:7" x14ac:dyDescent="0.3">
      <c r="A280">
        <v>418317</v>
      </c>
      <c r="B280" t="s">
        <v>1539</v>
      </c>
      <c r="C280">
        <v>1430015</v>
      </c>
      <c r="D280">
        <v>40.387129999999999</v>
      </c>
      <c r="E280">
        <v>-75.275689999999997</v>
      </c>
      <c r="F280" s="5">
        <v>1430015</v>
      </c>
      <c r="G280" s="5" t="s">
        <v>1752</v>
      </c>
    </row>
    <row r="281" spans="1:7" x14ac:dyDescent="0.3">
      <c r="A281">
        <v>425066</v>
      </c>
      <c r="B281" t="s">
        <v>1022</v>
      </c>
      <c r="C281">
        <v>1430016</v>
      </c>
      <c r="D281">
        <v>40.323979000000001</v>
      </c>
      <c r="E281">
        <v>-75.262671999999995</v>
      </c>
      <c r="F281" s="5">
        <v>1430005</v>
      </c>
      <c r="G281" s="4" t="s">
        <v>1753</v>
      </c>
    </row>
    <row r="282" spans="1:7" x14ac:dyDescent="0.3">
      <c r="A282">
        <v>467433</v>
      </c>
      <c r="B282" t="s">
        <v>1262</v>
      </c>
      <c r="C282">
        <v>1430005</v>
      </c>
      <c r="D282">
        <v>40.422778000000001</v>
      </c>
      <c r="E282">
        <v>-75.194889000000003</v>
      </c>
      <c r="F282" s="5">
        <v>1430005</v>
      </c>
      <c r="G282" s="5" t="s">
        <v>1752</v>
      </c>
    </row>
    <row r="283" spans="1:7" x14ac:dyDescent="0.3">
      <c r="A283">
        <v>467434</v>
      </c>
      <c r="B283" t="s">
        <v>1264</v>
      </c>
      <c r="C283">
        <v>1430015</v>
      </c>
      <c r="D283">
        <v>40.399579000000003</v>
      </c>
      <c r="E283">
        <v>-75.276538000000002</v>
      </c>
      <c r="F283" s="5">
        <v>1430005</v>
      </c>
      <c r="G283" s="4" t="s">
        <v>1753</v>
      </c>
    </row>
    <row r="284" spans="1:7" x14ac:dyDescent="0.3">
      <c r="A284">
        <v>467450</v>
      </c>
      <c r="B284" t="s">
        <v>1266</v>
      </c>
      <c r="C284">
        <v>1430015</v>
      </c>
      <c r="D284">
        <v>40.379044</v>
      </c>
      <c r="E284">
        <v>-75.288049999999998</v>
      </c>
      <c r="F284" s="5">
        <v>1430015</v>
      </c>
      <c r="G284" s="5" t="s">
        <v>1752</v>
      </c>
    </row>
    <row r="285" spans="1:7" x14ac:dyDescent="0.3">
      <c r="A285">
        <v>467451</v>
      </c>
      <c r="B285" t="s">
        <v>1268</v>
      </c>
      <c r="C285">
        <v>1430015</v>
      </c>
      <c r="D285">
        <v>40.349645000000002</v>
      </c>
      <c r="E285">
        <v>-75.306590999999997</v>
      </c>
      <c r="F285" s="5">
        <v>1430005</v>
      </c>
      <c r="G285" s="4" t="s">
        <v>1753</v>
      </c>
    </row>
    <row r="286" spans="1:7" x14ac:dyDescent="0.3">
      <c r="A286">
        <v>467452</v>
      </c>
      <c r="B286" t="s">
        <v>1565</v>
      </c>
      <c r="C286">
        <v>1430005</v>
      </c>
      <c r="D286">
        <v>40.353532999999999</v>
      </c>
      <c r="E286">
        <v>-75.252911999999995</v>
      </c>
      <c r="F286" s="5">
        <v>1430005</v>
      </c>
      <c r="G286" s="5" t="s">
        <v>1752</v>
      </c>
    </row>
    <row r="287" spans="1:7" x14ac:dyDescent="0.3">
      <c r="A287">
        <v>239139</v>
      </c>
      <c r="B287" t="s">
        <v>168</v>
      </c>
      <c r="C287">
        <v>1430016</v>
      </c>
      <c r="D287">
        <v>40.158999000000001</v>
      </c>
      <c r="E287">
        <v>-76.203177999999994</v>
      </c>
      <c r="F287" s="5">
        <v>1430016</v>
      </c>
      <c r="G287" s="5" t="s">
        <v>1752</v>
      </c>
    </row>
    <row r="288" spans="1:7" x14ac:dyDescent="0.3">
      <c r="A288">
        <v>239249</v>
      </c>
      <c r="B288" t="s">
        <v>1420</v>
      </c>
      <c r="C288">
        <v>1430016</v>
      </c>
      <c r="D288">
        <v>40.403661999999997</v>
      </c>
      <c r="E288">
        <v>-75.586273000000006</v>
      </c>
      <c r="F288" s="5">
        <v>1430016</v>
      </c>
      <c r="G288" s="5" t="s">
        <v>1752</v>
      </c>
    </row>
    <row r="289" spans="1:7" x14ac:dyDescent="0.3">
      <c r="A289">
        <v>239344</v>
      </c>
      <c r="B289" t="s">
        <v>176</v>
      </c>
      <c r="C289">
        <v>1430016</v>
      </c>
      <c r="D289">
        <v>40.170828999999998</v>
      </c>
      <c r="E289">
        <v>-76.307000000000002</v>
      </c>
      <c r="F289" s="5">
        <v>1430016</v>
      </c>
      <c r="G289" s="5" t="s">
        <v>1752</v>
      </c>
    </row>
    <row r="290" spans="1:7" x14ac:dyDescent="0.3">
      <c r="A290">
        <v>239352</v>
      </c>
      <c r="B290" t="s">
        <v>178</v>
      </c>
      <c r="C290">
        <v>1430016</v>
      </c>
      <c r="D290">
        <v>40.154747</v>
      </c>
      <c r="E290">
        <v>-76.205475000000007</v>
      </c>
      <c r="F290" s="5">
        <v>1430016</v>
      </c>
      <c r="G290" s="5" t="s">
        <v>1752</v>
      </c>
    </row>
    <row r="291" spans="1:7" x14ac:dyDescent="0.3">
      <c r="A291">
        <v>239862</v>
      </c>
      <c r="B291" t="s">
        <v>192</v>
      </c>
      <c r="C291">
        <v>1430016</v>
      </c>
      <c r="D291">
        <v>40.204771999999998</v>
      </c>
      <c r="E291">
        <v>-76.211579</v>
      </c>
      <c r="F291" s="5">
        <v>1430016</v>
      </c>
      <c r="G291" s="5" t="s">
        <v>1752</v>
      </c>
    </row>
    <row r="292" spans="1:7" x14ac:dyDescent="0.3">
      <c r="A292">
        <v>239903</v>
      </c>
      <c r="B292" t="s">
        <v>194</v>
      </c>
      <c r="C292">
        <v>1430016</v>
      </c>
      <c r="D292">
        <v>39.963889999999999</v>
      </c>
      <c r="E292">
        <v>-75.995024000000001</v>
      </c>
      <c r="F292" s="5">
        <v>1430016</v>
      </c>
      <c r="G292" s="5" t="s">
        <v>1752</v>
      </c>
    </row>
    <row r="293" spans="1:7" x14ac:dyDescent="0.3">
      <c r="A293">
        <v>239958</v>
      </c>
      <c r="B293" t="s">
        <v>198</v>
      </c>
      <c r="C293">
        <v>1430016</v>
      </c>
      <c r="D293">
        <v>40.505113000000001</v>
      </c>
      <c r="E293">
        <v>-75.707582000000002</v>
      </c>
      <c r="F293" s="5">
        <v>1430033</v>
      </c>
      <c r="G293" s="4" t="s">
        <v>1753</v>
      </c>
    </row>
    <row r="294" spans="1:7" x14ac:dyDescent="0.3">
      <c r="A294">
        <v>239986</v>
      </c>
      <c r="B294" t="s">
        <v>204</v>
      </c>
      <c r="C294">
        <v>1430016</v>
      </c>
      <c r="D294">
        <v>40.183608999999997</v>
      </c>
      <c r="E294">
        <v>-76.175785000000005</v>
      </c>
      <c r="F294" s="5">
        <v>1430016</v>
      </c>
      <c r="G294" s="5" t="s">
        <v>1752</v>
      </c>
    </row>
    <row r="295" spans="1:7" x14ac:dyDescent="0.3">
      <c r="A295">
        <v>239994</v>
      </c>
      <c r="B295" t="s">
        <v>206</v>
      </c>
      <c r="C295">
        <v>1430016</v>
      </c>
      <c r="D295">
        <v>40.166134999999997</v>
      </c>
      <c r="E295">
        <v>-76.172785000000005</v>
      </c>
      <c r="F295" s="5">
        <v>1430016</v>
      </c>
      <c r="G295" s="5" t="s">
        <v>1752</v>
      </c>
    </row>
    <row r="296" spans="1:7" x14ac:dyDescent="0.3">
      <c r="A296">
        <v>239999</v>
      </c>
      <c r="B296" t="s">
        <v>208</v>
      </c>
      <c r="C296">
        <v>1430016</v>
      </c>
      <c r="D296">
        <v>40.185971000000002</v>
      </c>
      <c r="E296">
        <v>-76.192802999999998</v>
      </c>
      <c r="F296" s="5">
        <v>1430016</v>
      </c>
      <c r="G296" s="5" t="s">
        <v>1752</v>
      </c>
    </row>
    <row r="297" spans="1:7" x14ac:dyDescent="0.3">
      <c r="A297">
        <v>239999</v>
      </c>
      <c r="B297" t="s">
        <v>208</v>
      </c>
      <c r="C297">
        <v>1430016</v>
      </c>
      <c r="D297">
        <v>40.185971000000002</v>
      </c>
      <c r="E297">
        <v>-76.192802999999998</v>
      </c>
      <c r="F297" s="5">
        <v>1430016</v>
      </c>
      <c r="G297" s="5" t="s">
        <v>1752</v>
      </c>
    </row>
    <row r="298" spans="1:7" x14ac:dyDescent="0.3">
      <c r="A298">
        <v>240444</v>
      </c>
      <c r="B298" t="s">
        <v>232</v>
      </c>
      <c r="C298">
        <v>1430016</v>
      </c>
      <c r="D298">
        <v>40.177098999999998</v>
      </c>
      <c r="E298">
        <v>-75.840390999999997</v>
      </c>
      <c r="F298" s="5">
        <v>1430016</v>
      </c>
      <c r="G298" s="5" t="s">
        <v>1752</v>
      </c>
    </row>
    <row r="299" spans="1:7" x14ac:dyDescent="0.3">
      <c r="A299">
        <v>241236</v>
      </c>
      <c r="B299" t="s">
        <v>278</v>
      </c>
      <c r="C299">
        <v>1430016</v>
      </c>
      <c r="D299">
        <v>40.101635000000002</v>
      </c>
      <c r="E299">
        <v>-76.088273999999998</v>
      </c>
      <c r="F299" s="5">
        <v>1430016</v>
      </c>
      <c r="G299" s="5" t="s">
        <v>1752</v>
      </c>
    </row>
    <row r="300" spans="1:7" x14ac:dyDescent="0.3">
      <c r="A300">
        <v>241326</v>
      </c>
      <c r="B300" t="s">
        <v>286</v>
      </c>
      <c r="C300">
        <v>1430016</v>
      </c>
      <c r="D300">
        <v>40.185729000000002</v>
      </c>
      <c r="E300">
        <v>-76.173181999999997</v>
      </c>
      <c r="F300" s="5">
        <v>1430016</v>
      </c>
      <c r="G300" s="5" t="s">
        <v>1752</v>
      </c>
    </row>
    <row r="301" spans="1:7" x14ac:dyDescent="0.3">
      <c r="A301">
        <v>243127</v>
      </c>
      <c r="B301" t="s">
        <v>1474</v>
      </c>
      <c r="C301">
        <v>1430016</v>
      </c>
      <c r="D301">
        <v>40.125934999999998</v>
      </c>
      <c r="E301">
        <v>-75.314384000000004</v>
      </c>
      <c r="F301" s="5">
        <v>1430016</v>
      </c>
      <c r="G301" s="5" t="s">
        <v>1752</v>
      </c>
    </row>
    <row r="302" spans="1:7" x14ac:dyDescent="0.3">
      <c r="A302">
        <v>243232</v>
      </c>
      <c r="B302" t="s">
        <v>1471</v>
      </c>
      <c r="C302">
        <v>1430005</v>
      </c>
      <c r="D302">
        <v>40.295889000000003</v>
      </c>
      <c r="E302">
        <v>-75.085280999999995</v>
      </c>
      <c r="F302" s="5">
        <v>1430005</v>
      </c>
      <c r="G302" s="5" t="s">
        <v>1752</v>
      </c>
    </row>
    <row r="303" spans="1:7" x14ac:dyDescent="0.3">
      <c r="A303">
        <v>243526</v>
      </c>
      <c r="B303" t="s">
        <v>354</v>
      </c>
      <c r="C303">
        <v>1430016</v>
      </c>
      <c r="D303">
        <v>40.114249999999998</v>
      </c>
      <c r="E303">
        <v>-75.070020999999997</v>
      </c>
      <c r="F303" s="5">
        <v>1430016</v>
      </c>
      <c r="G303" s="5" t="s">
        <v>1752</v>
      </c>
    </row>
    <row r="304" spans="1:7" x14ac:dyDescent="0.3">
      <c r="A304">
        <v>243564</v>
      </c>
      <c r="B304" t="s">
        <v>356</v>
      </c>
      <c r="C304">
        <v>1430016</v>
      </c>
      <c r="D304">
        <v>40.274248999999998</v>
      </c>
      <c r="E304">
        <v>-75.129638999999997</v>
      </c>
      <c r="F304" s="5">
        <v>1430005</v>
      </c>
      <c r="G304" s="4" t="s">
        <v>1753</v>
      </c>
    </row>
    <row r="305" spans="1:7" x14ac:dyDescent="0.3">
      <c r="A305">
        <v>243766</v>
      </c>
      <c r="B305" t="s">
        <v>362</v>
      </c>
      <c r="C305">
        <v>1430016</v>
      </c>
      <c r="D305">
        <v>40.268953000000003</v>
      </c>
      <c r="E305">
        <v>-75.723974999999996</v>
      </c>
      <c r="F305" s="5">
        <v>1430016</v>
      </c>
      <c r="G305" s="5" t="s">
        <v>1752</v>
      </c>
    </row>
    <row r="306" spans="1:7" x14ac:dyDescent="0.3">
      <c r="A306">
        <v>243948</v>
      </c>
      <c r="B306" t="s">
        <v>368</v>
      </c>
      <c r="C306">
        <v>1430016</v>
      </c>
      <c r="D306">
        <v>40.175550999999999</v>
      </c>
      <c r="E306">
        <v>-75.398491000000007</v>
      </c>
      <c r="F306" s="5">
        <v>1430016</v>
      </c>
      <c r="G306" s="5" t="s">
        <v>1752</v>
      </c>
    </row>
    <row r="307" spans="1:7" x14ac:dyDescent="0.3">
      <c r="A307">
        <v>244248</v>
      </c>
      <c r="B307" t="s">
        <v>386</v>
      </c>
      <c r="C307">
        <v>1430016</v>
      </c>
      <c r="D307">
        <v>40.255547999999997</v>
      </c>
      <c r="E307">
        <v>-75.669038999999998</v>
      </c>
      <c r="F307" s="5">
        <v>1430016</v>
      </c>
      <c r="G307" s="5" t="s">
        <v>1752</v>
      </c>
    </row>
    <row r="308" spans="1:7" x14ac:dyDescent="0.3">
      <c r="A308">
        <v>244896</v>
      </c>
      <c r="B308" t="s">
        <v>400</v>
      </c>
      <c r="C308">
        <v>1430016</v>
      </c>
      <c r="D308">
        <v>40.295901000000001</v>
      </c>
      <c r="E308">
        <v>-75.185512000000003</v>
      </c>
      <c r="F308" s="5">
        <v>1430005</v>
      </c>
      <c r="G308" s="4" t="s">
        <v>1753</v>
      </c>
    </row>
    <row r="309" spans="1:7" x14ac:dyDescent="0.3">
      <c r="A309">
        <v>245283</v>
      </c>
      <c r="B309" t="s">
        <v>404</v>
      </c>
      <c r="C309">
        <v>1430016</v>
      </c>
      <c r="D309">
        <v>40.255631999999999</v>
      </c>
      <c r="E309">
        <v>-75.239473000000004</v>
      </c>
      <c r="F309" s="5">
        <v>1430016</v>
      </c>
      <c r="G309" s="5" t="s">
        <v>1752</v>
      </c>
    </row>
    <row r="310" spans="1:7" x14ac:dyDescent="0.3">
      <c r="A310">
        <v>245576</v>
      </c>
      <c r="B310" t="s">
        <v>414</v>
      </c>
      <c r="C310">
        <v>1430016</v>
      </c>
      <c r="D310">
        <v>39.999966000000001</v>
      </c>
      <c r="E310">
        <v>-75.727404000000007</v>
      </c>
      <c r="F310" s="5">
        <v>1430016</v>
      </c>
      <c r="G310" s="5" t="s">
        <v>1752</v>
      </c>
    </row>
    <row r="311" spans="1:7" x14ac:dyDescent="0.3">
      <c r="A311">
        <v>245667</v>
      </c>
      <c r="B311" t="s">
        <v>416</v>
      </c>
      <c r="C311">
        <v>1430016</v>
      </c>
      <c r="D311">
        <v>40.134709999999998</v>
      </c>
      <c r="E311">
        <v>-75.198195999999996</v>
      </c>
      <c r="F311" s="5">
        <v>1430016</v>
      </c>
      <c r="G311" s="5" t="s">
        <v>1752</v>
      </c>
    </row>
    <row r="312" spans="1:7" x14ac:dyDescent="0.3">
      <c r="A312">
        <v>246009</v>
      </c>
      <c r="B312" t="s">
        <v>870</v>
      </c>
      <c r="C312">
        <v>1430016</v>
      </c>
      <c r="D312">
        <v>40.206142999999997</v>
      </c>
      <c r="E312">
        <v>-75.459605999999994</v>
      </c>
      <c r="F312" s="5">
        <v>1430016</v>
      </c>
      <c r="G312" s="5" t="s">
        <v>1752</v>
      </c>
    </row>
    <row r="313" spans="1:7" x14ac:dyDescent="0.3">
      <c r="A313">
        <v>246033</v>
      </c>
      <c r="B313" t="s">
        <v>422</v>
      </c>
      <c r="C313">
        <v>1430016</v>
      </c>
      <c r="D313">
        <v>40.255631999999999</v>
      </c>
      <c r="E313">
        <v>-75.239473000000004</v>
      </c>
      <c r="F313" s="5">
        <v>1430016</v>
      </c>
      <c r="G313" s="5" t="s">
        <v>1752</v>
      </c>
    </row>
    <row r="314" spans="1:7" x14ac:dyDescent="0.3">
      <c r="A314">
        <v>246395</v>
      </c>
      <c r="B314" t="s">
        <v>431</v>
      </c>
      <c r="C314">
        <v>1430016</v>
      </c>
      <c r="D314">
        <v>40.198191999999999</v>
      </c>
      <c r="E314">
        <v>-75.139306000000005</v>
      </c>
      <c r="F314" s="5">
        <v>1430016</v>
      </c>
      <c r="G314" s="5" t="s">
        <v>1752</v>
      </c>
    </row>
    <row r="315" spans="1:7" x14ac:dyDescent="0.3">
      <c r="A315">
        <v>246511</v>
      </c>
      <c r="B315" t="s">
        <v>439</v>
      </c>
      <c r="C315">
        <v>1430016</v>
      </c>
      <c r="D315">
        <v>40.205300000000001</v>
      </c>
      <c r="E315">
        <v>-75.107990000000001</v>
      </c>
      <c r="F315" s="5">
        <v>1430016</v>
      </c>
      <c r="G315" s="5" t="s">
        <v>1752</v>
      </c>
    </row>
    <row r="316" spans="1:7" x14ac:dyDescent="0.3">
      <c r="A316">
        <v>246526</v>
      </c>
      <c r="B316" t="s">
        <v>443</v>
      </c>
      <c r="C316">
        <v>1430016</v>
      </c>
      <c r="D316">
        <v>39.925927000000001</v>
      </c>
      <c r="E316">
        <v>-75.583779000000007</v>
      </c>
      <c r="F316" s="5">
        <v>1430016</v>
      </c>
      <c r="G316" s="5" t="s">
        <v>1752</v>
      </c>
    </row>
    <row r="317" spans="1:7" x14ac:dyDescent="0.3">
      <c r="A317">
        <v>246720</v>
      </c>
      <c r="B317" t="s">
        <v>449</v>
      </c>
      <c r="C317">
        <v>1430016</v>
      </c>
      <c r="D317">
        <v>40.218958000000001</v>
      </c>
      <c r="E317">
        <v>-75.142736999999997</v>
      </c>
      <c r="F317" s="5">
        <v>1430016</v>
      </c>
      <c r="G317" s="5" t="s">
        <v>1752</v>
      </c>
    </row>
    <row r="318" spans="1:7" x14ac:dyDescent="0.3">
      <c r="A318">
        <v>251656</v>
      </c>
      <c r="B318" t="s">
        <v>459</v>
      </c>
      <c r="C318">
        <v>1430016</v>
      </c>
      <c r="D318">
        <v>40.091197999999999</v>
      </c>
      <c r="E318">
        <v>-75.626737000000006</v>
      </c>
      <c r="F318" s="5">
        <v>1430016</v>
      </c>
      <c r="G318" s="5" t="s">
        <v>1752</v>
      </c>
    </row>
    <row r="319" spans="1:7" x14ac:dyDescent="0.3">
      <c r="A319">
        <v>254632</v>
      </c>
      <c r="B319" t="s">
        <v>461</v>
      </c>
      <c r="C319">
        <v>1430005</v>
      </c>
      <c r="D319">
        <v>40.339120000000001</v>
      </c>
      <c r="E319">
        <v>-75.130560000000003</v>
      </c>
      <c r="F319" s="5">
        <v>1430005</v>
      </c>
      <c r="G319" s="5" t="s">
        <v>1752</v>
      </c>
    </row>
    <row r="320" spans="1:7" x14ac:dyDescent="0.3">
      <c r="A320">
        <v>265838</v>
      </c>
      <c r="B320" t="s">
        <v>1290</v>
      </c>
      <c r="C320">
        <v>1430016</v>
      </c>
      <c r="D320">
        <v>40.301665999999997</v>
      </c>
      <c r="E320">
        <v>-75.142174999999995</v>
      </c>
      <c r="F320" s="5">
        <v>1430005</v>
      </c>
      <c r="G320" s="4" t="s">
        <v>1753</v>
      </c>
    </row>
    <row r="321" spans="1:7" x14ac:dyDescent="0.3">
      <c r="A321">
        <v>267431</v>
      </c>
      <c r="B321" t="s">
        <v>1487</v>
      </c>
      <c r="C321">
        <v>1430016</v>
      </c>
      <c r="D321">
        <v>40.277768999999999</v>
      </c>
      <c r="E321">
        <v>-75.188795999999996</v>
      </c>
      <c r="F321" s="5">
        <v>1430016</v>
      </c>
      <c r="G321" s="5" t="s">
        <v>1752</v>
      </c>
    </row>
    <row r="322" spans="1:7" x14ac:dyDescent="0.3">
      <c r="A322">
        <v>269078</v>
      </c>
      <c r="B322" t="s">
        <v>485</v>
      </c>
      <c r="C322">
        <v>1430016</v>
      </c>
      <c r="D322">
        <v>40.228050000000003</v>
      </c>
      <c r="E322">
        <v>-75.539027000000004</v>
      </c>
      <c r="F322" s="5">
        <v>1430016</v>
      </c>
      <c r="G322" s="5" t="s">
        <v>1752</v>
      </c>
    </row>
    <row r="323" spans="1:7" x14ac:dyDescent="0.3">
      <c r="A323">
        <v>269602</v>
      </c>
      <c r="B323" t="s">
        <v>1489</v>
      </c>
      <c r="C323">
        <v>1430016</v>
      </c>
      <c r="D323">
        <v>40.09684</v>
      </c>
      <c r="E323">
        <v>-75.031102000000004</v>
      </c>
      <c r="F323" s="5">
        <v>1430016</v>
      </c>
      <c r="G323" s="5" t="s">
        <v>1752</v>
      </c>
    </row>
    <row r="324" spans="1:7" x14ac:dyDescent="0.3">
      <c r="A324">
        <v>272808</v>
      </c>
      <c r="B324" t="s">
        <v>509</v>
      </c>
      <c r="C324">
        <v>1430016</v>
      </c>
      <c r="D324">
        <v>40.162660000000002</v>
      </c>
      <c r="E324">
        <v>-76.309629999999999</v>
      </c>
      <c r="F324" s="5">
        <v>1430016</v>
      </c>
      <c r="G324" s="5" t="s">
        <v>1752</v>
      </c>
    </row>
    <row r="325" spans="1:7" x14ac:dyDescent="0.3">
      <c r="A325">
        <v>279103</v>
      </c>
      <c r="B325" t="s">
        <v>519</v>
      </c>
      <c r="C325">
        <v>1430016</v>
      </c>
      <c r="D325">
        <v>39.959240999999999</v>
      </c>
      <c r="E325">
        <v>-75.608982999999995</v>
      </c>
      <c r="F325" s="5">
        <v>1430016</v>
      </c>
      <c r="G325" s="5" t="s">
        <v>1752</v>
      </c>
    </row>
    <row r="326" spans="1:7" x14ac:dyDescent="0.3">
      <c r="A326">
        <v>279123</v>
      </c>
      <c r="B326" t="s">
        <v>521</v>
      </c>
      <c r="C326">
        <v>1430016</v>
      </c>
      <c r="D326">
        <v>40.23509</v>
      </c>
      <c r="E326">
        <v>-75.508489999999995</v>
      </c>
      <c r="F326" s="5">
        <v>1430016</v>
      </c>
      <c r="G326" s="5" t="s">
        <v>1752</v>
      </c>
    </row>
    <row r="327" spans="1:7" x14ac:dyDescent="0.3">
      <c r="A327">
        <v>282370</v>
      </c>
      <c r="B327" t="s">
        <v>531</v>
      </c>
      <c r="C327">
        <v>1430016</v>
      </c>
      <c r="D327">
        <v>40.008902999999997</v>
      </c>
      <c r="E327">
        <v>-75.688132999999993</v>
      </c>
      <c r="F327" s="5">
        <v>1430016</v>
      </c>
      <c r="G327" s="5" t="s">
        <v>1752</v>
      </c>
    </row>
    <row r="328" spans="1:7" x14ac:dyDescent="0.3">
      <c r="A328">
        <v>283059</v>
      </c>
      <c r="B328" t="s">
        <v>533</v>
      </c>
      <c r="C328">
        <v>1430016</v>
      </c>
      <c r="D328">
        <v>40.008268000000001</v>
      </c>
      <c r="E328">
        <v>-75.715478000000004</v>
      </c>
      <c r="F328" s="5">
        <v>1430016</v>
      </c>
      <c r="G328" s="5" t="s">
        <v>1752</v>
      </c>
    </row>
    <row r="329" spans="1:7" x14ac:dyDescent="0.3">
      <c r="A329">
        <v>285568</v>
      </c>
      <c r="B329" t="s">
        <v>549</v>
      </c>
      <c r="C329">
        <v>1430016</v>
      </c>
      <c r="D329">
        <v>40.206840999999997</v>
      </c>
      <c r="E329">
        <v>-75.355316999999999</v>
      </c>
      <c r="F329" s="5">
        <v>1430016</v>
      </c>
      <c r="G329" s="5" t="s">
        <v>1752</v>
      </c>
    </row>
    <row r="330" spans="1:7" x14ac:dyDescent="0.3">
      <c r="A330">
        <v>292196</v>
      </c>
      <c r="B330" t="s">
        <v>555</v>
      </c>
      <c r="C330">
        <v>1430016</v>
      </c>
      <c r="D330">
        <v>40.210194000000001</v>
      </c>
      <c r="E330">
        <v>-75.274989000000005</v>
      </c>
      <c r="F330" s="5">
        <v>1430016</v>
      </c>
      <c r="G330" s="5" t="s">
        <v>1752</v>
      </c>
    </row>
    <row r="331" spans="1:7" x14ac:dyDescent="0.3">
      <c r="A331">
        <v>294039</v>
      </c>
      <c r="B331" t="s">
        <v>561</v>
      </c>
      <c r="C331">
        <v>1430016</v>
      </c>
      <c r="D331">
        <v>40.178626000000001</v>
      </c>
      <c r="E331">
        <v>-76.310322999999997</v>
      </c>
      <c r="F331" s="5">
        <v>1430016</v>
      </c>
      <c r="G331" s="5" t="s">
        <v>1752</v>
      </c>
    </row>
    <row r="332" spans="1:7" x14ac:dyDescent="0.3">
      <c r="A332">
        <v>294842</v>
      </c>
      <c r="B332" t="s">
        <v>567</v>
      </c>
      <c r="C332">
        <v>1430016</v>
      </c>
      <c r="D332">
        <v>40.243938</v>
      </c>
      <c r="E332">
        <v>-75.320262999999997</v>
      </c>
      <c r="F332" s="5">
        <v>1430016</v>
      </c>
      <c r="G332" s="5" t="s">
        <v>1752</v>
      </c>
    </row>
    <row r="333" spans="1:7" x14ac:dyDescent="0.3">
      <c r="A333">
        <v>295439</v>
      </c>
      <c r="B333" t="s">
        <v>571</v>
      </c>
      <c r="C333">
        <v>1430016</v>
      </c>
      <c r="D333">
        <v>40.200870000000002</v>
      </c>
      <c r="E333">
        <v>-75.138760000000005</v>
      </c>
      <c r="F333" s="5">
        <v>1430016</v>
      </c>
      <c r="G333" s="5" t="s">
        <v>1752</v>
      </c>
    </row>
    <row r="334" spans="1:7" x14ac:dyDescent="0.3">
      <c r="A334">
        <v>296066</v>
      </c>
      <c r="B334" t="s">
        <v>1502</v>
      </c>
      <c r="C334">
        <v>1430016</v>
      </c>
      <c r="D334">
        <v>40.164029999999997</v>
      </c>
      <c r="E334">
        <v>-75.384950000000003</v>
      </c>
      <c r="F334" s="5">
        <v>1430016</v>
      </c>
      <c r="G334" s="5" t="s">
        <v>1752</v>
      </c>
    </row>
    <row r="335" spans="1:7" x14ac:dyDescent="0.3">
      <c r="A335">
        <v>296097</v>
      </c>
      <c r="B335" t="s">
        <v>575</v>
      </c>
      <c r="C335">
        <v>1430016</v>
      </c>
      <c r="D335">
        <v>40.194769999999998</v>
      </c>
      <c r="E335">
        <v>-76.197507999999999</v>
      </c>
      <c r="F335" s="5">
        <v>1430016</v>
      </c>
      <c r="G335" s="5" t="s">
        <v>1752</v>
      </c>
    </row>
    <row r="336" spans="1:7" x14ac:dyDescent="0.3">
      <c r="A336">
        <v>298530</v>
      </c>
      <c r="B336" t="s">
        <v>597</v>
      </c>
      <c r="C336">
        <v>1430016</v>
      </c>
      <c r="D336">
        <v>40.168464999999998</v>
      </c>
      <c r="E336">
        <v>-76.311350000000004</v>
      </c>
      <c r="F336" s="5">
        <v>1430016</v>
      </c>
      <c r="G336" s="5" t="s">
        <v>1752</v>
      </c>
    </row>
    <row r="337" spans="1:7" x14ac:dyDescent="0.3">
      <c r="A337">
        <v>298872</v>
      </c>
      <c r="B337" t="s">
        <v>599</v>
      </c>
      <c r="C337">
        <v>1430016</v>
      </c>
      <c r="D337">
        <v>40.288924999999999</v>
      </c>
      <c r="E337">
        <v>-75.375711999999993</v>
      </c>
      <c r="F337" s="5">
        <v>1430016</v>
      </c>
      <c r="G337" s="5" t="s">
        <v>1752</v>
      </c>
    </row>
    <row r="338" spans="1:7" x14ac:dyDescent="0.3">
      <c r="A338">
        <v>299233</v>
      </c>
      <c r="B338" t="s">
        <v>603</v>
      </c>
      <c r="C338">
        <v>1430005</v>
      </c>
      <c r="D338">
        <v>40.315849999999998</v>
      </c>
      <c r="E338">
        <v>-75.175259999999994</v>
      </c>
      <c r="F338" s="5">
        <v>1430005</v>
      </c>
      <c r="G338" s="5" t="s">
        <v>1752</v>
      </c>
    </row>
    <row r="339" spans="1:7" x14ac:dyDescent="0.3">
      <c r="A339">
        <v>301074</v>
      </c>
      <c r="B339" t="s">
        <v>1506</v>
      </c>
      <c r="C339">
        <v>1430016</v>
      </c>
      <c r="D339">
        <v>40.295654999999996</v>
      </c>
      <c r="E339">
        <v>-75.276687999999993</v>
      </c>
      <c r="F339" s="5">
        <v>1430016</v>
      </c>
      <c r="G339" s="5" t="s">
        <v>1752</v>
      </c>
    </row>
    <row r="340" spans="1:7" x14ac:dyDescent="0.3">
      <c r="A340">
        <v>303872</v>
      </c>
      <c r="B340" t="s">
        <v>621</v>
      </c>
      <c r="C340">
        <v>1430016</v>
      </c>
      <c r="D340">
        <v>40.077731</v>
      </c>
      <c r="E340">
        <v>-75.864459999999994</v>
      </c>
      <c r="F340" s="5">
        <v>1430016</v>
      </c>
      <c r="G340" s="5" t="s">
        <v>1752</v>
      </c>
    </row>
    <row r="341" spans="1:7" x14ac:dyDescent="0.3">
      <c r="A341">
        <v>306450</v>
      </c>
      <c r="B341" t="s">
        <v>635</v>
      </c>
      <c r="C341">
        <v>1430016</v>
      </c>
      <c r="D341">
        <v>40.173532999999999</v>
      </c>
      <c r="E341">
        <v>-76.312708000000001</v>
      </c>
      <c r="F341" s="5">
        <v>1430016</v>
      </c>
      <c r="G341" s="5" t="s">
        <v>1752</v>
      </c>
    </row>
    <row r="342" spans="1:7" x14ac:dyDescent="0.3">
      <c r="A342">
        <v>307803</v>
      </c>
      <c r="B342" t="s">
        <v>651</v>
      </c>
      <c r="C342">
        <v>1430016</v>
      </c>
      <c r="D342">
        <v>40.141263000000002</v>
      </c>
      <c r="E342">
        <v>-75.522552000000005</v>
      </c>
      <c r="F342" s="5">
        <v>1430016</v>
      </c>
      <c r="G342" s="5" t="s">
        <v>1752</v>
      </c>
    </row>
    <row r="343" spans="1:7" x14ac:dyDescent="0.3">
      <c r="A343">
        <v>308434</v>
      </c>
      <c r="B343" t="s">
        <v>653</v>
      </c>
      <c r="C343">
        <v>1430016</v>
      </c>
      <c r="D343">
        <v>40.186391</v>
      </c>
      <c r="E343">
        <v>-75.463661999999999</v>
      </c>
      <c r="F343" s="5">
        <v>1430016</v>
      </c>
      <c r="G343" s="5" t="s">
        <v>1752</v>
      </c>
    </row>
    <row r="344" spans="1:7" x14ac:dyDescent="0.3">
      <c r="A344">
        <v>308438</v>
      </c>
      <c r="B344" t="s">
        <v>1513</v>
      </c>
      <c r="C344">
        <v>1430016</v>
      </c>
      <c r="D344">
        <v>40.187761000000002</v>
      </c>
      <c r="E344">
        <v>-75.463194999999999</v>
      </c>
      <c r="F344" s="5">
        <v>1430016</v>
      </c>
      <c r="G344" s="5" t="s">
        <v>1752</v>
      </c>
    </row>
    <row r="345" spans="1:7" x14ac:dyDescent="0.3">
      <c r="A345">
        <v>308805</v>
      </c>
      <c r="B345" t="s">
        <v>1210</v>
      </c>
      <c r="C345">
        <v>1430016</v>
      </c>
      <c r="D345">
        <v>40.208469999999998</v>
      </c>
      <c r="E345">
        <v>-75.851822999999996</v>
      </c>
      <c r="F345" s="5">
        <v>1430016</v>
      </c>
      <c r="G345" s="5" t="s">
        <v>1752</v>
      </c>
    </row>
    <row r="346" spans="1:7" x14ac:dyDescent="0.3">
      <c r="A346">
        <v>311144</v>
      </c>
      <c r="B346" t="s">
        <v>661</v>
      </c>
      <c r="C346">
        <v>1430016</v>
      </c>
      <c r="D346">
        <v>40.131014</v>
      </c>
      <c r="E346">
        <v>-75.566310000000001</v>
      </c>
      <c r="F346" s="5">
        <v>1430016</v>
      </c>
      <c r="G346" s="5" t="s">
        <v>1752</v>
      </c>
    </row>
    <row r="347" spans="1:7" x14ac:dyDescent="0.3">
      <c r="A347">
        <v>312114</v>
      </c>
      <c r="B347" t="s">
        <v>663</v>
      </c>
      <c r="C347">
        <v>1430016</v>
      </c>
      <c r="D347">
        <v>40.020603999999999</v>
      </c>
      <c r="E347">
        <v>-75.651256000000004</v>
      </c>
      <c r="F347" s="5">
        <v>1430016</v>
      </c>
      <c r="G347" s="5" t="s">
        <v>1752</v>
      </c>
    </row>
    <row r="348" spans="1:7" x14ac:dyDescent="0.3">
      <c r="A348">
        <v>318492</v>
      </c>
      <c r="B348" t="s">
        <v>679</v>
      </c>
      <c r="C348">
        <v>1430016</v>
      </c>
      <c r="D348">
        <v>40.163792000000001</v>
      </c>
      <c r="E348">
        <v>-75.873322000000002</v>
      </c>
      <c r="F348" s="5">
        <v>1430016</v>
      </c>
      <c r="G348" s="5" t="s">
        <v>1752</v>
      </c>
    </row>
    <row r="349" spans="1:7" x14ac:dyDescent="0.3">
      <c r="A349">
        <v>321216</v>
      </c>
      <c r="B349" t="s">
        <v>695</v>
      </c>
      <c r="C349">
        <v>1430016</v>
      </c>
      <c r="D349">
        <v>40.582909999999998</v>
      </c>
      <c r="E349">
        <v>-75.612475000000003</v>
      </c>
      <c r="F349" s="5">
        <v>1430033</v>
      </c>
      <c r="G349" s="4" t="s">
        <v>1753</v>
      </c>
    </row>
    <row r="350" spans="1:7" x14ac:dyDescent="0.3">
      <c r="A350">
        <v>323699</v>
      </c>
      <c r="B350" t="s">
        <v>1524</v>
      </c>
      <c r="C350">
        <v>1430016</v>
      </c>
      <c r="D350">
        <v>40.154474999999998</v>
      </c>
      <c r="E350">
        <v>-76.207736999999995</v>
      </c>
      <c r="F350" s="5">
        <v>1430016</v>
      </c>
      <c r="G350" s="5" t="s">
        <v>1752</v>
      </c>
    </row>
    <row r="351" spans="1:7" x14ac:dyDescent="0.3">
      <c r="A351">
        <v>334799</v>
      </c>
      <c r="B351" t="s">
        <v>737</v>
      </c>
      <c r="C351">
        <v>1430016</v>
      </c>
      <c r="D351">
        <v>40.156984999999999</v>
      </c>
      <c r="E351">
        <v>-75.180559000000002</v>
      </c>
      <c r="F351" s="5">
        <v>1430016</v>
      </c>
      <c r="G351" s="5" t="s">
        <v>1752</v>
      </c>
    </row>
    <row r="352" spans="1:7" x14ac:dyDescent="0.3">
      <c r="A352">
        <v>336669</v>
      </c>
      <c r="B352" t="s">
        <v>739</v>
      </c>
      <c r="C352">
        <v>1430016</v>
      </c>
      <c r="D352">
        <v>40.168194</v>
      </c>
      <c r="E352">
        <v>-76.205004000000002</v>
      </c>
      <c r="F352" s="5">
        <v>1430016</v>
      </c>
      <c r="G352" s="5" t="s">
        <v>1752</v>
      </c>
    </row>
    <row r="353" spans="1:7" x14ac:dyDescent="0.3">
      <c r="A353">
        <v>341011</v>
      </c>
      <c r="B353" t="s">
        <v>747</v>
      </c>
      <c r="C353">
        <v>1430016</v>
      </c>
      <c r="D353">
        <v>40.176229999999997</v>
      </c>
      <c r="E353">
        <v>-76.311414999999997</v>
      </c>
      <c r="F353" s="5">
        <v>1430016</v>
      </c>
      <c r="G353" s="5" t="s">
        <v>1752</v>
      </c>
    </row>
    <row r="354" spans="1:7" x14ac:dyDescent="0.3">
      <c r="A354">
        <v>341494</v>
      </c>
      <c r="B354" t="s">
        <v>1530</v>
      </c>
      <c r="C354">
        <v>1430016</v>
      </c>
      <c r="D354">
        <v>40.536369000000001</v>
      </c>
      <c r="E354">
        <v>-75.737105</v>
      </c>
      <c r="F354" s="5">
        <v>1430033</v>
      </c>
      <c r="G354" s="4" t="s">
        <v>1753</v>
      </c>
    </row>
    <row r="355" spans="1:7" x14ac:dyDescent="0.3">
      <c r="A355">
        <v>341596</v>
      </c>
      <c r="B355" t="s">
        <v>749</v>
      </c>
      <c r="C355">
        <v>1430016</v>
      </c>
      <c r="D355">
        <v>40.048267000000003</v>
      </c>
      <c r="E355">
        <v>-75.653437999999994</v>
      </c>
      <c r="F355" s="5">
        <v>1430016</v>
      </c>
      <c r="G355" s="5" t="s">
        <v>1752</v>
      </c>
    </row>
    <row r="356" spans="1:7" x14ac:dyDescent="0.3">
      <c r="A356">
        <v>343897</v>
      </c>
      <c r="B356" t="s">
        <v>194</v>
      </c>
      <c r="C356">
        <v>1430016</v>
      </c>
      <c r="D356">
        <v>40.167709000000002</v>
      </c>
      <c r="E356">
        <v>-76.200198</v>
      </c>
      <c r="F356" s="5">
        <v>1430016</v>
      </c>
      <c r="G356" s="5" t="s">
        <v>1752</v>
      </c>
    </row>
    <row r="357" spans="1:7" x14ac:dyDescent="0.3">
      <c r="A357">
        <v>344300</v>
      </c>
      <c r="B357" t="s">
        <v>772</v>
      </c>
      <c r="C357">
        <v>1430016</v>
      </c>
      <c r="D357">
        <v>40.166240000000002</v>
      </c>
      <c r="E357">
        <v>-75.370718999999994</v>
      </c>
      <c r="F357" s="5">
        <v>1430016</v>
      </c>
      <c r="G357" s="5" t="s">
        <v>1752</v>
      </c>
    </row>
    <row r="358" spans="1:7" x14ac:dyDescent="0.3">
      <c r="A358">
        <v>344307</v>
      </c>
      <c r="B358" t="s">
        <v>1477</v>
      </c>
      <c r="C358">
        <v>1430016</v>
      </c>
      <c r="D358">
        <v>40.233794000000003</v>
      </c>
      <c r="E358">
        <v>-75.132788000000005</v>
      </c>
      <c r="F358" s="5">
        <v>1430016</v>
      </c>
      <c r="G358" s="5" t="s">
        <v>1752</v>
      </c>
    </row>
    <row r="359" spans="1:7" x14ac:dyDescent="0.3">
      <c r="A359">
        <v>345426</v>
      </c>
      <c r="B359" t="s">
        <v>778</v>
      </c>
      <c r="C359">
        <v>1430016</v>
      </c>
      <c r="D359">
        <v>39.956546000000003</v>
      </c>
      <c r="E359">
        <v>-75.763119000000003</v>
      </c>
      <c r="F359" s="5">
        <v>1430016</v>
      </c>
      <c r="G359" s="5" t="s">
        <v>1752</v>
      </c>
    </row>
    <row r="360" spans="1:7" x14ac:dyDescent="0.3">
      <c r="A360">
        <v>345513</v>
      </c>
      <c r="B360" t="s">
        <v>780</v>
      </c>
      <c r="C360">
        <v>1430016</v>
      </c>
      <c r="D360">
        <v>40.160615</v>
      </c>
      <c r="E360">
        <v>-75.323715000000007</v>
      </c>
      <c r="F360" s="5">
        <v>1430016</v>
      </c>
      <c r="G360" s="5" t="s">
        <v>1752</v>
      </c>
    </row>
    <row r="361" spans="1:7" x14ac:dyDescent="0.3">
      <c r="A361">
        <v>415765</v>
      </c>
      <c r="B361" t="s">
        <v>825</v>
      </c>
      <c r="C361">
        <v>1430016</v>
      </c>
      <c r="D361">
        <v>40.157521000000003</v>
      </c>
      <c r="E361">
        <v>-75.822281000000004</v>
      </c>
      <c r="F361" s="5">
        <v>1430016</v>
      </c>
      <c r="G361" s="5" t="s">
        <v>1752</v>
      </c>
    </row>
    <row r="362" spans="1:7" x14ac:dyDescent="0.3">
      <c r="A362">
        <v>416252</v>
      </c>
      <c r="B362" t="s">
        <v>836</v>
      </c>
      <c r="C362">
        <v>1430016</v>
      </c>
      <c r="D362">
        <v>40.252648000000001</v>
      </c>
      <c r="E362">
        <v>-75.671985000000006</v>
      </c>
      <c r="F362" s="5">
        <v>1430016</v>
      </c>
      <c r="G362" s="5" t="s">
        <v>1752</v>
      </c>
    </row>
    <row r="363" spans="1:7" x14ac:dyDescent="0.3">
      <c r="A363">
        <v>416280</v>
      </c>
      <c r="B363" t="s">
        <v>838</v>
      </c>
      <c r="C363">
        <v>1430016</v>
      </c>
      <c r="D363">
        <v>39.997323000000002</v>
      </c>
      <c r="E363">
        <v>-75.698976999999999</v>
      </c>
      <c r="F363" s="5">
        <v>1430016</v>
      </c>
      <c r="G363" s="5" t="s">
        <v>1752</v>
      </c>
    </row>
    <row r="364" spans="1:7" x14ac:dyDescent="0.3">
      <c r="A364">
        <v>416348</v>
      </c>
      <c r="B364" t="s">
        <v>840</v>
      </c>
      <c r="C364">
        <v>1430016</v>
      </c>
      <c r="D364">
        <v>40.120511</v>
      </c>
      <c r="E364">
        <v>-75.522120999999999</v>
      </c>
      <c r="F364" s="5">
        <v>1430016</v>
      </c>
      <c r="G364" s="5" t="s">
        <v>1752</v>
      </c>
    </row>
    <row r="365" spans="1:7" x14ac:dyDescent="0.3">
      <c r="A365">
        <v>416599</v>
      </c>
      <c r="B365" t="s">
        <v>848</v>
      </c>
      <c r="C365">
        <v>1430016</v>
      </c>
      <c r="D365">
        <v>40.267364000000001</v>
      </c>
      <c r="E365">
        <v>-75.133725999999996</v>
      </c>
      <c r="F365" s="5">
        <v>1430005</v>
      </c>
      <c r="G365" s="4" t="s">
        <v>1753</v>
      </c>
    </row>
    <row r="366" spans="1:7" x14ac:dyDescent="0.3">
      <c r="A366">
        <v>416717</v>
      </c>
      <c r="B366" t="s">
        <v>856</v>
      </c>
      <c r="C366">
        <v>1430016</v>
      </c>
      <c r="D366">
        <v>40.126927000000002</v>
      </c>
      <c r="E366">
        <v>-75.309571000000005</v>
      </c>
      <c r="F366" s="5">
        <v>1430016</v>
      </c>
      <c r="G366" s="5" t="s">
        <v>1752</v>
      </c>
    </row>
    <row r="367" spans="1:7" x14ac:dyDescent="0.3">
      <c r="A367">
        <v>416794</v>
      </c>
      <c r="B367" t="s">
        <v>858</v>
      </c>
      <c r="C367">
        <v>1430016</v>
      </c>
      <c r="D367">
        <v>40.148110000000003</v>
      </c>
      <c r="E367">
        <v>-75.201840000000004</v>
      </c>
      <c r="F367" s="5">
        <v>1430016</v>
      </c>
      <c r="G367" s="5" t="s">
        <v>1752</v>
      </c>
    </row>
    <row r="368" spans="1:7" x14ac:dyDescent="0.3">
      <c r="A368">
        <v>417171</v>
      </c>
      <c r="B368" t="s">
        <v>871</v>
      </c>
      <c r="C368">
        <v>1430016</v>
      </c>
      <c r="D368">
        <v>40.218251000000002</v>
      </c>
      <c r="E368">
        <v>-75.462352999999993</v>
      </c>
      <c r="F368" s="5">
        <v>1430016</v>
      </c>
      <c r="G368" s="5" t="s">
        <v>1752</v>
      </c>
    </row>
    <row r="369" spans="1:7" x14ac:dyDescent="0.3">
      <c r="A369">
        <v>417248</v>
      </c>
      <c r="B369" t="s">
        <v>873</v>
      </c>
      <c r="C369">
        <v>1430016</v>
      </c>
      <c r="D369">
        <v>40.259630000000001</v>
      </c>
      <c r="E369">
        <v>-75.630162999999996</v>
      </c>
      <c r="F369" s="5">
        <v>1430016</v>
      </c>
      <c r="G369" s="5" t="s">
        <v>1752</v>
      </c>
    </row>
    <row r="370" spans="1:7" x14ac:dyDescent="0.3">
      <c r="A370">
        <v>417403</v>
      </c>
      <c r="B370" t="s">
        <v>881</v>
      </c>
      <c r="C370">
        <v>1430016</v>
      </c>
      <c r="D370">
        <v>39.864480999999998</v>
      </c>
      <c r="E370">
        <v>-75.666745000000006</v>
      </c>
      <c r="F370" s="5">
        <v>1430016</v>
      </c>
      <c r="G370" s="5" t="s">
        <v>1752</v>
      </c>
    </row>
    <row r="371" spans="1:7" x14ac:dyDescent="0.3">
      <c r="A371">
        <v>417743</v>
      </c>
      <c r="B371" t="s">
        <v>1537</v>
      </c>
      <c r="C371">
        <v>1430016</v>
      </c>
      <c r="D371">
        <v>40.210940000000001</v>
      </c>
      <c r="E371">
        <v>-75.278232000000003</v>
      </c>
      <c r="F371" s="5">
        <v>1430016</v>
      </c>
      <c r="G371" s="5" t="s">
        <v>1752</v>
      </c>
    </row>
    <row r="372" spans="1:7" x14ac:dyDescent="0.3">
      <c r="A372">
        <v>417787</v>
      </c>
      <c r="B372" t="s">
        <v>890</v>
      </c>
      <c r="C372">
        <v>1430016</v>
      </c>
      <c r="D372">
        <v>40.255744</v>
      </c>
      <c r="E372">
        <v>-75.648055999999997</v>
      </c>
      <c r="F372" s="5">
        <v>1430016</v>
      </c>
      <c r="G372" s="5" t="s">
        <v>1752</v>
      </c>
    </row>
    <row r="373" spans="1:7" x14ac:dyDescent="0.3">
      <c r="A373">
        <v>418076</v>
      </c>
      <c r="B373" t="s">
        <v>1538</v>
      </c>
      <c r="C373">
        <v>1430016</v>
      </c>
      <c r="D373">
        <v>40.142180000000003</v>
      </c>
      <c r="E373">
        <v>-75.427580000000006</v>
      </c>
      <c r="F373" s="5">
        <v>1430016</v>
      </c>
      <c r="G373" s="5" t="s">
        <v>1752</v>
      </c>
    </row>
    <row r="374" spans="1:7" x14ac:dyDescent="0.3">
      <c r="A374">
        <v>418338</v>
      </c>
      <c r="B374" t="s">
        <v>931</v>
      </c>
      <c r="C374">
        <v>1430016</v>
      </c>
      <c r="D374">
        <v>40.200434000000001</v>
      </c>
      <c r="E374">
        <v>-75.465421000000006</v>
      </c>
      <c r="F374" s="5">
        <v>1430016</v>
      </c>
      <c r="G374" s="5" t="s">
        <v>1752</v>
      </c>
    </row>
    <row r="375" spans="1:7" x14ac:dyDescent="0.3">
      <c r="A375">
        <v>418339</v>
      </c>
      <c r="B375" t="s">
        <v>933</v>
      </c>
      <c r="C375">
        <v>1430016</v>
      </c>
      <c r="D375">
        <v>40.212421999999997</v>
      </c>
      <c r="E375">
        <v>-75.545598999999996</v>
      </c>
      <c r="F375" s="5">
        <v>1430016</v>
      </c>
      <c r="G375" s="5" t="s">
        <v>1752</v>
      </c>
    </row>
    <row r="376" spans="1:7" x14ac:dyDescent="0.3">
      <c r="A376">
        <v>418340</v>
      </c>
      <c r="B376" t="s">
        <v>933</v>
      </c>
      <c r="C376">
        <v>1430016</v>
      </c>
      <c r="D376">
        <v>40.277748000000003</v>
      </c>
      <c r="E376">
        <v>-75.496187000000006</v>
      </c>
      <c r="F376" s="5">
        <v>1430016</v>
      </c>
      <c r="G376" s="5" t="s">
        <v>1752</v>
      </c>
    </row>
    <row r="377" spans="1:7" x14ac:dyDescent="0.3">
      <c r="A377">
        <v>418342</v>
      </c>
      <c r="B377" t="s">
        <v>936</v>
      </c>
      <c r="C377">
        <v>1430016</v>
      </c>
      <c r="D377">
        <v>40.219107999999999</v>
      </c>
      <c r="E377">
        <v>-75.456517000000005</v>
      </c>
      <c r="F377" s="5">
        <v>1430016</v>
      </c>
      <c r="G377" s="5" t="s">
        <v>1752</v>
      </c>
    </row>
    <row r="378" spans="1:7" x14ac:dyDescent="0.3">
      <c r="A378">
        <v>418407</v>
      </c>
      <c r="B378" t="s">
        <v>1540</v>
      </c>
      <c r="C378">
        <v>1430016</v>
      </c>
      <c r="D378">
        <v>40.253512999999998</v>
      </c>
      <c r="E378">
        <v>-75.639133999999999</v>
      </c>
      <c r="F378" s="5">
        <v>1430016</v>
      </c>
      <c r="G378" s="5" t="s">
        <v>1752</v>
      </c>
    </row>
    <row r="379" spans="1:7" x14ac:dyDescent="0.3">
      <c r="A379">
        <v>418409</v>
      </c>
      <c r="B379" t="s">
        <v>1541</v>
      </c>
      <c r="C379">
        <v>1430016</v>
      </c>
      <c r="D379">
        <v>40.252861000000003</v>
      </c>
      <c r="E379">
        <v>-75.635897999999997</v>
      </c>
      <c r="F379" s="5">
        <v>1430016</v>
      </c>
      <c r="G379" s="5" t="s">
        <v>1752</v>
      </c>
    </row>
    <row r="380" spans="1:7" x14ac:dyDescent="0.3">
      <c r="A380">
        <v>418582</v>
      </c>
      <c r="B380" t="s">
        <v>963</v>
      </c>
      <c r="C380">
        <v>1430016</v>
      </c>
      <c r="D380">
        <v>40.250006999999997</v>
      </c>
      <c r="E380">
        <v>-75.464208999999997</v>
      </c>
      <c r="F380" s="5">
        <v>1430016</v>
      </c>
      <c r="G380" s="5" t="s">
        <v>1752</v>
      </c>
    </row>
    <row r="381" spans="1:7" x14ac:dyDescent="0.3">
      <c r="A381">
        <v>418701</v>
      </c>
      <c r="B381" t="s">
        <v>969</v>
      </c>
      <c r="C381">
        <v>1430016</v>
      </c>
      <c r="D381">
        <v>40.189256</v>
      </c>
      <c r="E381">
        <v>-75.511246</v>
      </c>
      <c r="F381" s="5">
        <v>1430016</v>
      </c>
      <c r="G381" s="5" t="s">
        <v>1752</v>
      </c>
    </row>
    <row r="382" spans="1:7" x14ac:dyDescent="0.3">
      <c r="A382">
        <v>418900</v>
      </c>
      <c r="B382" t="s">
        <v>979</v>
      </c>
      <c r="C382">
        <v>1430016</v>
      </c>
      <c r="D382">
        <v>40.152939000000003</v>
      </c>
      <c r="E382">
        <v>-75.199939999999998</v>
      </c>
      <c r="F382" s="5">
        <v>1430016</v>
      </c>
      <c r="G382" s="5" t="s">
        <v>1752</v>
      </c>
    </row>
    <row r="383" spans="1:7" x14ac:dyDescent="0.3">
      <c r="A383">
        <v>419003</v>
      </c>
      <c r="B383" t="s">
        <v>1544</v>
      </c>
      <c r="C383">
        <v>1430016</v>
      </c>
      <c r="D383">
        <v>39.952159999999999</v>
      </c>
      <c r="E383">
        <v>-75.591359999999995</v>
      </c>
      <c r="F383" s="5">
        <v>1430016</v>
      </c>
      <c r="G383" s="5" t="s">
        <v>1752</v>
      </c>
    </row>
    <row r="384" spans="1:7" x14ac:dyDescent="0.3">
      <c r="A384">
        <v>423432</v>
      </c>
      <c r="B384" t="s">
        <v>1000</v>
      </c>
      <c r="C384">
        <v>1430016</v>
      </c>
      <c r="D384">
        <v>40.163586000000002</v>
      </c>
      <c r="E384">
        <v>-75.184139000000002</v>
      </c>
      <c r="F384" s="5">
        <v>1430016</v>
      </c>
      <c r="G384" s="5" t="s">
        <v>1752</v>
      </c>
    </row>
    <row r="385" spans="1:7" x14ac:dyDescent="0.3">
      <c r="A385">
        <v>425017</v>
      </c>
      <c r="B385" t="s">
        <v>1020</v>
      </c>
      <c r="C385">
        <v>1430016</v>
      </c>
      <c r="D385">
        <v>39.873525000000001</v>
      </c>
      <c r="E385">
        <v>-75.599418</v>
      </c>
      <c r="F385" s="5">
        <v>1430016</v>
      </c>
      <c r="G385" s="5" t="s">
        <v>1752</v>
      </c>
    </row>
    <row r="386" spans="1:7" x14ac:dyDescent="0.3">
      <c r="A386">
        <v>428193</v>
      </c>
      <c r="B386" t="s">
        <v>1547</v>
      </c>
      <c r="C386">
        <v>1430016</v>
      </c>
      <c r="D386">
        <v>40.085250000000002</v>
      </c>
      <c r="E386">
        <v>-76.068960000000004</v>
      </c>
      <c r="F386" s="5">
        <v>1430016</v>
      </c>
      <c r="G386" s="5" t="s">
        <v>1752</v>
      </c>
    </row>
    <row r="387" spans="1:7" x14ac:dyDescent="0.3">
      <c r="A387">
        <v>429836</v>
      </c>
      <c r="B387" t="s">
        <v>1043</v>
      </c>
      <c r="C387">
        <v>1430016</v>
      </c>
      <c r="D387">
        <v>39.900292999999998</v>
      </c>
      <c r="E387">
        <v>-75.629649999999998</v>
      </c>
      <c r="F387" s="5">
        <v>1430016</v>
      </c>
      <c r="G387" s="5" t="s">
        <v>1752</v>
      </c>
    </row>
    <row r="388" spans="1:7" x14ac:dyDescent="0.3">
      <c r="A388">
        <v>433003</v>
      </c>
      <c r="B388" t="s">
        <v>1078</v>
      </c>
      <c r="C388">
        <v>1430016</v>
      </c>
      <c r="D388">
        <v>39.997748000000001</v>
      </c>
      <c r="E388">
        <v>-75.797452000000007</v>
      </c>
      <c r="F388" s="5">
        <v>1430016</v>
      </c>
      <c r="G388" s="5" t="s">
        <v>1752</v>
      </c>
    </row>
    <row r="389" spans="1:7" x14ac:dyDescent="0.3">
      <c r="A389">
        <v>434667</v>
      </c>
      <c r="B389" t="s">
        <v>1089</v>
      </c>
      <c r="C389">
        <v>1430016</v>
      </c>
      <c r="D389">
        <v>40.214331000000001</v>
      </c>
      <c r="E389">
        <v>-75.418256</v>
      </c>
      <c r="F389" s="5">
        <v>1430016</v>
      </c>
      <c r="G389" s="5" t="s">
        <v>1752</v>
      </c>
    </row>
    <row r="390" spans="1:7" x14ac:dyDescent="0.3">
      <c r="A390">
        <v>435816</v>
      </c>
      <c r="B390" t="s">
        <v>1093</v>
      </c>
      <c r="C390">
        <v>1430016</v>
      </c>
      <c r="D390">
        <v>40.172778999999998</v>
      </c>
      <c r="E390">
        <v>-76.310666999999995</v>
      </c>
      <c r="F390" s="5">
        <v>1430016</v>
      </c>
      <c r="G390" s="5" t="s">
        <v>1752</v>
      </c>
    </row>
    <row r="391" spans="1:7" x14ac:dyDescent="0.3">
      <c r="A391">
        <v>436840</v>
      </c>
      <c r="B391" t="s">
        <v>1553</v>
      </c>
      <c r="C391">
        <v>1430016</v>
      </c>
      <c r="D391">
        <v>40.250335999999997</v>
      </c>
      <c r="E391">
        <v>-75.271413999999993</v>
      </c>
      <c r="F391" s="5">
        <v>1430016</v>
      </c>
      <c r="G391" s="5" t="s">
        <v>1752</v>
      </c>
    </row>
    <row r="392" spans="1:7" x14ac:dyDescent="0.3">
      <c r="A392">
        <v>437511</v>
      </c>
      <c r="B392" t="s">
        <v>1097</v>
      </c>
      <c r="C392">
        <v>1430016</v>
      </c>
      <c r="D392">
        <v>40.176082000000001</v>
      </c>
      <c r="E392">
        <v>-75.176591000000002</v>
      </c>
      <c r="F392" s="5">
        <v>1430016</v>
      </c>
      <c r="G392" s="5" t="s">
        <v>1752</v>
      </c>
    </row>
    <row r="393" spans="1:7" x14ac:dyDescent="0.3">
      <c r="A393">
        <v>440865</v>
      </c>
      <c r="B393" t="s">
        <v>1111</v>
      </c>
      <c r="C393">
        <v>1430016</v>
      </c>
      <c r="D393">
        <v>40.272835000000001</v>
      </c>
      <c r="E393">
        <v>-75.311076</v>
      </c>
      <c r="F393" s="5">
        <v>1430016</v>
      </c>
      <c r="G393" s="5" t="s">
        <v>1752</v>
      </c>
    </row>
    <row r="394" spans="1:7" x14ac:dyDescent="0.3">
      <c r="A394">
        <v>441660</v>
      </c>
      <c r="B394" t="s">
        <v>549</v>
      </c>
      <c r="C394">
        <v>1430016</v>
      </c>
      <c r="D394">
        <v>40.206840999999997</v>
      </c>
      <c r="E394">
        <v>-75.355316999999999</v>
      </c>
      <c r="F394" s="5">
        <v>1430016</v>
      </c>
      <c r="G394" s="5" t="s">
        <v>1752</v>
      </c>
    </row>
    <row r="395" spans="1:7" x14ac:dyDescent="0.3">
      <c r="A395">
        <v>452760</v>
      </c>
      <c r="B395" t="s">
        <v>1169</v>
      </c>
      <c r="C395">
        <v>1430016</v>
      </c>
      <c r="D395">
        <v>40.457704</v>
      </c>
      <c r="E395">
        <v>-75.748790999999997</v>
      </c>
      <c r="F395" s="5">
        <v>1430016</v>
      </c>
      <c r="G395" s="5" t="s">
        <v>1752</v>
      </c>
    </row>
    <row r="396" spans="1:7" x14ac:dyDescent="0.3">
      <c r="A396">
        <v>453637</v>
      </c>
      <c r="B396" t="s">
        <v>120</v>
      </c>
      <c r="C396">
        <v>1430021</v>
      </c>
      <c r="D396">
        <v>39.866930000000004</v>
      </c>
      <c r="E396">
        <v>-76.154252999999997</v>
      </c>
      <c r="F396" s="5">
        <v>1430021</v>
      </c>
      <c r="G396" s="5" t="s">
        <v>1752</v>
      </c>
    </row>
    <row r="397" spans="1:7" x14ac:dyDescent="0.3">
      <c r="A397">
        <v>453639</v>
      </c>
      <c r="B397" t="s">
        <v>124</v>
      </c>
      <c r="C397">
        <v>1430021</v>
      </c>
      <c r="D397">
        <v>39.809621999999997</v>
      </c>
      <c r="E397">
        <v>-76.158494000000005</v>
      </c>
      <c r="F397" s="5">
        <v>1430021</v>
      </c>
      <c r="G397" s="5" t="s">
        <v>1752</v>
      </c>
    </row>
    <row r="398" spans="1:7" x14ac:dyDescent="0.3">
      <c r="A398">
        <v>453640</v>
      </c>
      <c r="B398" t="s">
        <v>126</v>
      </c>
      <c r="C398">
        <v>1430016</v>
      </c>
      <c r="D398">
        <v>39.888849999999998</v>
      </c>
      <c r="E398">
        <v>-76.073869999999999</v>
      </c>
      <c r="F398" s="5">
        <v>1430016</v>
      </c>
      <c r="G398" s="5" t="s">
        <v>1752</v>
      </c>
    </row>
    <row r="399" spans="1:7" x14ac:dyDescent="0.3">
      <c r="A399">
        <v>453641</v>
      </c>
      <c r="B399" t="s">
        <v>128</v>
      </c>
      <c r="C399">
        <v>1430021</v>
      </c>
      <c r="D399">
        <v>39.808577999999997</v>
      </c>
      <c r="E399">
        <v>-76.158298000000002</v>
      </c>
      <c r="F399" s="5">
        <v>1430021</v>
      </c>
      <c r="G399" s="5" t="s">
        <v>1752</v>
      </c>
    </row>
    <row r="400" spans="1:7" x14ac:dyDescent="0.3">
      <c r="A400">
        <v>454719</v>
      </c>
      <c r="B400" t="s">
        <v>1175</v>
      </c>
      <c r="C400">
        <v>1430016</v>
      </c>
      <c r="D400">
        <v>40.218815999999997</v>
      </c>
      <c r="E400">
        <v>-75.115173999999996</v>
      </c>
      <c r="F400" s="5">
        <v>1430016</v>
      </c>
      <c r="G400" s="5" t="s">
        <v>1752</v>
      </c>
    </row>
    <row r="401" spans="1:7" x14ac:dyDescent="0.3">
      <c r="A401">
        <v>455042</v>
      </c>
      <c r="B401" t="s">
        <v>1177</v>
      </c>
      <c r="C401">
        <v>1430016</v>
      </c>
      <c r="D401">
        <v>40.194043000000001</v>
      </c>
      <c r="E401">
        <v>-76.171971999999997</v>
      </c>
      <c r="F401" s="5">
        <v>1430016</v>
      </c>
      <c r="G401" s="5" t="s">
        <v>1752</v>
      </c>
    </row>
    <row r="402" spans="1:7" x14ac:dyDescent="0.3">
      <c r="A402">
        <v>455677</v>
      </c>
      <c r="B402" t="s">
        <v>1183</v>
      </c>
      <c r="C402">
        <v>1430016</v>
      </c>
      <c r="D402">
        <v>40.127847000000003</v>
      </c>
      <c r="E402">
        <v>-75.169946999999993</v>
      </c>
      <c r="F402" s="5">
        <v>1430016</v>
      </c>
      <c r="G402" s="5" t="s">
        <v>1752</v>
      </c>
    </row>
    <row r="403" spans="1:7" x14ac:dyDescent="0.3">
      <c r="A403">
        <v>458350</v>
      </c>
      <c r="B403" t="s">
        <v>1195</v>
      </c>
      <c r="C403">
        <v>1430016</v>
      </c>
      <c r="D403">
        <v>40.279730999999998</v>
      </c>
      <c r="E403">
        <v>-75.306882000000002</v>
      </c>
      <c r="F403" s="5">
        <v>1430016</v>
      </c>
      <c r="G403" s="5" t="s">
        <v>1752</v>
      </c>
    </row>
    <row r="404" spans="1:7" x14ac:dyDescent="0.3">
      <c r="A404">
        <v>458869</v>
      </c>
      <c r="B404" t="s">
        <v>1197</v>
      </c>
      <c r="C404">
        <v>1430016</v>
      </c>
      <c r="D404">
        <v>40.235339000000003</v>
      </c>
      <c r="E404">
        <v>-75.347082</v>
      </c>
      <c r="F404" s="5">
        <v>1430016</v>
      </c>
      <c r="G404" s="5" t="s">
        <v>1752</v>
      </c>
    </row>
    <row r="405" spans="1:7" x14ac:dyDescent="0.3">
      <c r="A405">
        <v>459054</v>
      </c>
      <c r="B405" t="s">
        <v>1199</v>
      </c>
      <c r="C405">
        <v>1430005</v>
      </c>
      <c r="D405">
        <v>40.312230999999997</v>
      </c>
      <c r="E405">
        <v>-75.131529</v>
      </c>
      <c r="F405" s="5">
        <v>1430005</v>
      </c>
      <c r="G405" s="5" t="s">
        <v>1752</v>
      </c>
    </row>
    <row r="406" spans="1:7" x14ac:dyDescent="0.3">
      <c r="A406">
        <v>460766</v>
      </c>
      <c r="B406" t="s">
        <v>416</v>
      </c>
      <c r="C406">
        <v>1430016</v>
      </c>
      <c r="D406">
        <v>40.134709999999998</v>
      </c>
      <c r="E406">
        <v>-75.198195999999996</v>
      </c>
      <c r="F406" s="5">
        <v>1430016</v>
      </c>
      <c r="G406" s="5" t="s">
        <v>1752</v>
      </c>
    </row>
    <row r="407" spans="1:7" x14ac:dyDescent="0.3">
      <c r="A407">
        <v>461409</v>
      </c>
      <c r="B407" t="s">
        <v>1211</v>
      </c>
      <c r="C407">
        <v>1430016</v>
      </c>
      <c r="D407">
        <v>40.208469999999998</v>
      </c>
      <c r="E407">
        <v>-75.851822999999996</v>
      </c>
      <c r="F407" s="5">
        <v>1430016</v>
      </c>
      <c r="G407" s="5" t="s">
        <v>1752</v>
      </c>
    </row>
    <row r="408" spans="1:7" x14ac:dyDescent="0.3">
      <c r="A408">
        <v>461667</v>
      </c>
      <c r="B408" t="s">
        <v>1213</v>
      </c>
      <c r="C408">
        <v>1430016</v>
      </c>
      <c r="D408">
        <v>40.266975000000002</v>
      </c>
      <c r="E408">
        <v>-75.277696000000006</v>
      </c>
      <c r="F408" s="5">
        <v>1430016</v>
      </c>
      <c r="G408" s="5" t="s">
        <v>1752</v>
      </c>
    </row>
    <row r="409" spans="1:7" x14ac:dyDescent="0.3">
      <c r="A409">
        <v>462025</v>
      </c>
      <c r="B409" t="s">
        <v>1215</v>
      </c>
      <c r="C409">
        <v>1430016</v>
      </c>
      <c r="D409">
        <v>40.141539999999999</v>
      </c>
      <c r="E409">
        <v>-75.144919999999999</v>
      </c>
      <c r="F409" s="5">
        <v>1430016</v>
      </c>
      <c r="G409" s="5" t="s">
        <v>1752</v>
      </c>
    </row>
    <row r="410" spans="1:7" x14ac:dyDescent="0.3">
      <c r="A410">
        <v>463788</v>
      </c>
      <c r="B410" t="s">
        <v>1223</v>
      </c>
      <c r="C410">
        <v>1430016</v>
      </c>
      <c r="D410">
        <v>40.176180000000002</v>
      </c>
      <c r="E410">
        <v>-76.179929999999999</v>
      </c>
      <c r="F410" s="5">
        <v>1430016</v>
      </c>
      <c r="G410" s="5" t="s">
        <v>1752</v>
      </c>
    </row>
    <row r="411" spans="1:7" x14ac:dyDescent="0.3">
      <c r="A411">
        <v>463918</v>
      </c>
      <c r="B411" t="s">
        <v>1225</v>
      </c>
      <c r="C411">
        <v>1430016</v>
      </c>
      <c r="D411">
        <v>40.168984000000002</v>
      </c>
      <c r="E411">
        <v>-75.149709999999999</v>
      </c>
      <c r="F411" s="5">
        <v>1430016</v>
      </c>
      <c r="G411" s="5" t="s">
        <v>1752</v>
      </c>
    </row>
    <row r="412" spans="1:7" x14ac:dyDescent="0.3">
      <c r="A412">
        <v>467950</v>
      </c>
      <c r="B412" t="s">
        <v>1274</v>
      </c>
      <c r="C412">
        <v>1430016</v>
      </c>
      <c r="D412">
        <v>40.233919</v>
      </c>
      <c r="E412">
        <v>-75.664897999999994</v>
      </c>
      <c r="F412" s="5">
        <v>1430016</v>
      </c>
      <c r="G412" s="5" t="s">
        <v>1752</v>
      </c>
    </row>
    <row r="413" spans="1:7" x14ac:dyDescent="0.3">
      <c r="A413">
        <v>469599</v>
      </c>
      <c r="B413" t="s">
        <v>1293</v>
      </c>
      <c r="C413">
        <v>1430016</v>
      </c>
      <c r="D413">
        <v>40.162182000000001</v>
      </c>
      <c r="E413">
        <v>-75.856538999999998</v>
      </c>
      <c r="F413" s="5">
        <v>1430016</v>
      </c>
      <c r="G413" s="5" t="s">
        <v>1752</v>
      </c>
    </row>
    <row r="414" spans="1:7" x14ac:dyDescent="0.3">
      <c r="A414">
        <v>470951</v>
      </c>
      <c r="B414" t="s">
        <v>1314</v>
      </c>
      <c r="C414">
        <v>1430016</v>
      </c>
      <c r="D414">
        <v>40.30115</v>
      </c>
      <c r="E414">
        <v>-75.525989999999993</v>
      </c>
      <c r="F414" s="5">
        <v>1430016</v>
      </c>
      <c r="G414" s="5" t="s">
        <v>1752</v>
      </c>
    </row>
    <row r="415" spans="1:7" x14ac:dyDescent="0.3">
      <c r="A415">
        <v>472455</v>
      </c>
      <c r="B415" t="s">
        <v>1328</v>
      </c>
      <c r="C415">
        <v>1430016</v>
      </c>
      <c r="D415">
        <v>40.350605000000002</v>
      </c>
      <c r="E415">
        <v>-75.628136999999995</v>
      </c>
      <c r="F415" s="5">
        <v>1430016</v>
      </c>
      <c r="G415" s="5" t="s">
        <v>1752</v>
      </c>
    </row>
    <row r="416" spans="1:7" x14ac:dyDescent="0.3">
      <c r="A416">
        <v>474555</v>
      </c>
      <c r="B416" t="s">
        <v>1475</v>
      </c>
      <c r="C416">
        <v>1430005</v>
      </c>
      <c r="D416">
        <v>40.315457000000002</v>
      </c>
      <c r="E416">
        <v>-75.134568000000002</v>
      </c>
      <c r="F416" s="5">
        <v>1430005</v>
      </c>
      <c r="G416" s="5" t="s">
        <v>1752</v>
      </c>
    </row>
    <row r="417" spans="1:7" x14ac:dyDescent="0.3">
      <c r="A417">
        <v>474992</v>
      </c>
      <c r="B417" t="s">
        <v>1338</v>
      </c>
      <c r="C417">
        <v>1430016</v>
      </c>
      <c r="D417">
        <v>40.568904000000003</v>
      </c>
      <c r="E417">
        <v>-75.551199999999994</v>
      </c>
      <c r="F417" s="5">
        <v>1430033</v>
      </c>
      <c r="G417" s="4" t="s">
        <v>1753</v>
      </c>
    </row>
    <row r="418" spans="1:7" x14ac:dyDescent="0.3">
      <c r="A418">
        <v>244176</v>
      </c>
      <c r="B418" t="s">
        <v>382</v>
      </c>
      <c r="C418">
        <v>1430017</v>
      </c>
      <c r="D418">
        <v>40.036239999999999</v>
      </c>
      <c r="E418">
        <v>-74.703289999999996</v>
      </c>
      <c r="F418" s="5">
        <v>1430017</v>
      </c>
      <c r="G418" s="5" t="s">
        <v>1752</v>
      </c>
    </row>
    <row r="419" spans="1:7" x14ac:dyDescent="0.3">
      <c r="A419">
        <v>245453</v>
      </c>
      <c r="B419" t="s">
        <v>412</v>
      </c>
      <c r="C419">
        <v>1430017</v>
      </c>
      <c r="D419">
        <v>40.035013999999997</v>
      </c>
      <c r="E419">
        <v>-74.618955999999997</v>
      </c>
      <c r="F419" s="5">
        <v>1430017</v>
      </c>
      <c r="G419" s="5" t="s">
        <v>1752</v>
      </c>
    </row>
    <row r="420" spans="1:7" x14ac:dyDescent="0.3">
      <c r="A420">
        <v>246269</v>
      </c>
      <c r="B420" t="s">
        <v>429</v>
      </c>
      <c r="C420">
        <v>1430017</v>
      </c>
      <c r="D420">
        <v>39.818153000000002</v>
      </c>
      <c r="E420">
        <v>-74.765299999999996</v>
      </c>
      <c r="F420" s="5">
        <v>1430010</v>
      </c>
      <c r="G420" s="4" t="s">
        <v>1753</v>
      </c>
    </row>
    <row r="421" spans="1:7" x14ac:dyDescent="0.3">
      <c r="A421">
        <v>307689</v>
      </c>
      <c r="B421" t="s">
        <v>647</v>
      </c>
      <c r="C421">
        <v>1430017</v>
      </c>
      <c r="D421">
        <v>40.030892999999999</v>
      </c>
      <c r="E421">
        <v>-75.034557000000007</v>
      </c>
      <c r="F421" s="5">
        <v>1430017</v>
      </c>
      <c r="G421" s="5" t="s">
        <v>1752</v>
      </c>
    </row>
    <row r="422" spans="1:7" x14ac:dyDescent="0.3">
      <c r="A422">
        <v>316969</v>
      </c>
      <c r="B422" t="s">
        <v>1522</v>
      </c>
      <c r="C422">
        <v>1430016</v>
      </c>
      <c r="D422">
        <v>40.16919</v>
      </c>
      <c r="E422">
        <v>-74.224239999999995</v>
      </c>
      <c r="F422" s="5">
        <v>1430016</v>
      </c>
      <c r="G422" s="5" t="s">
        <v>1752</v>
      </c>
    </row>
    <row r="423" spans="1:7" x14ac:dyDescent="0.3">
      <c r="A423">
        <v>345928</v>
      </c>
      <c r="B423" t="s">
        <v>786</v>
      </c>
      <c r="C423">
        <v>1430017</v>
      </c>
      <c r="D423">
        <v>39.999296000000001</v>
      </c>
      <c r="E423">
        <v>-74.755014000000003</v>
      </c>
      <c r="F423" s="5">
        <v>1430017</v>
      </c>
      <c r="G423" s="5" t="s">
        <v>1752</v>
      </c>
    </row>
    <row r="424" spans="1:7" x14ac:dyDescent="0.3">
      <c r="A424">
        <v>417471</v>
      </c>
      <c r="B424" t="s">
        <v>883</v>
      </c>
      <c r="C424">
        <v>1430017</v>
      </c>
      <c r="D424">
        <v>39.818153000000002</v>
      </c>
      <c r="E424">
        <v>-74.765299999999996</v>
      </c>
      <c r="F424" s="5">
        <v>1430010</v>
      </c>
      <c r="G424" s="4" t="s">
        <v>1753</v>
      </c>
    </row>
    <row r="425" spans="1:7" x14ac:dyDescent="0.3">
      <c r="A425">
        <v>418691</v>
      </c>
      <c r="B425" t="s">
        <v>967</v>
      </c>
      <c r="C425">
        <v>1430010</v>
      </c>
      <c r="D425">
        <v>39.712710000000001</v>
      </c>
      <c r="E425">
        <v>-74.259990000000002</v>
      </c>
      <c r="F425" s="5">
        <v>1430010</v>
      </c>
      <c r="G425" s="5" t="s">
        <v>1752</v>
      </c>
    </row>
    <row r="426" spans="1:7" x14ac:dyDescent="0.3">
      <c r="A426">
        <v>424869</v>
      </c>
      <c r="B426" t="s">
        <v>1014</v>
      </c>
      <c r="C426">
        <v>1430005</v>
      </c>
      <c r="D426">
        <v>40.154380000000003</v>
      </c>
      <c r="E426">
        <v>-74.686930000000004</v>
      </c>
      <c r="F426" s="5">
        <v>1430005</v>
      </c>
      <c r="G426" s="5" t="s">
        <v>1752</v>
      </c>
    </row>
    <row r="427" spans="1:7" x14ac:dyDescent="0.3">
      <c r="A427">
        <v>424965</v>
      </c>
      <c r="B427" t="s">
        <v>1016</v>
      </c>
      <c r="C427">
        <v>1430017</v>
      </c>
      <c r="D427">
        <v>40.092970999999999</v>
      </c>
      <c r="E427">
        <v>-74.793289000000001</v>
      </c>
      <c r="F427" s="5">
        <v>1430005</v>
      </c>
      <c r="G427" s="4" t="s">
        <v>1753</v>
      </c>
    </row>
    <row r="428" spans="1:7" x14ac:dyDescent="0.3">
      <c r="A428">
        <v>424994</v>
      </c>
      <c r="B428" t="s">
        <v>1018</v>
      </c>
      <c r="C428">
        <v>1430010</v>
      </c>
      <c r="D428">
        <v>39.702285000000003</v>
      </c>
      <c r="E428">
        <v>-74.283676999999997</v>
      </c>
      <c r="F428" s="5">
        <v>1430010</v>
      </c>
      <c r="G428" s="5" t="s">
        <v>1752</v>
      </c>
    </row>
    <row r="429" spans="1:7" x14ac:dyDescent="0.3">
      <c r="A429">
        <v>432021</v>
      </c>
      <c r="B429" t="s">
        <v>1072</v>
      </c>
      <c r="C429">
        <v>1430017</v>
      </c>
      <c r="D429">
        <v>40.119073999999998</v>
      </c>
      <c r="E429">
        <v>-74.796539999999993</v>
      </c>
      <c r="F429" s="5">
        <v>1430005</v>
      </c>
      <c r="G429" s="4" t="s">
        <v>1753</v>
      </c>
    </row>
    <row r="430" spans="1:7" x14ac:dyDescent="0.3">
      <c r="A430">
        <v>433841</v>
      </c>
      <c r="B430" t="s">
        <v>1080</v>
      </c>
      <c r="C430">
        <v>1430017</v>
      </c>
      <c r="D430">
        <v>40.073664999999998</v>
      </c>
      <c r="E430">
        <v>-74.588700000000003</v>
      </c>
      <c r="F430" s="5">
        <v>1430016</v>
      </c>
      <c r="G430" s="4" t="s">
        <v>1753</v>
      </c>
    </row>
    <row r="431" spans="1:7" x14ac:dyDescent="0.3">
      <c r="A431">
        <v>441294</v>
      </c>
      <c r="B431" t="s">
        <v>1113</v>
      </c>
      <c r="C431">
        <v>1430017</v>
      </c>
      <c r="D431">
        <v>39.891700999999998</v>
      </c>
      <c r="E431">
        <v>-74.204239999999999</v>
      </c>
      <c r="F431" s="5">
        <v>1430017</v>
      </c>
      <c r="G431" s="5" t="s">
        <v>1752</v>
      </c>
    </row>
    <row r="432" spans="1:7" x14ac:dyDescent="0.3">
      <c r="A432">
        <v>470410</v>
      </c>
      <c r="B432" t="s">
        <v>1567</v>
      </c>
      <c r="C432">
        <v>1430017</v>
      </c>
      <c r="D432">
        <v>39.972752</v>
      </c>
      <c r="E432">
        <v>-74.785448000000002</v>
      </c>
      <c r="F432" s="5">
        <v>1430017</v>
      </c>
      <c r="G432" s="5" t="s">
        <v>1752</v>
      </c>
    </row>
    <row r="433" spans="1:7" x14ac:dyDescent="0.3">
      <c r="A433">
        <v>265344</v>
      </c>
      <c r="B433" t="s">
        <v>1486</v>
      </c>
      <c r="C433">
        <v>1430018</v>
      </c>
      <c r="D433">
        <v>39.433335999999997</v>
      </c>
      <c r="E433">
        <v>-75.688388000000003</v>
      </c>
      <c r="F433" s="5">
        <v>1430018</v>
      </c>
      <c r="G433" s="5" t="s">
        <v>1752</v>
      </c>
    </row>
    <row r="434" spans="1:7" x14ac:dyDescent="0.3">
      <c r="A434">
        <v>271271</v>
      </c>
      <c r="B434" t="s">
        <v>495</v>
      </c>
      <c r="C434">
        <v>1430018</v>
      </c>
      <c r="D434">
        <v>39.439292999999999</v>
      </c>
      <c r="E434">
        <v>-75.699010000000001</v>
      </c>
      <c r="F434" s="5">
        <v>1430018</v>
      </c>
      <c r="G434" s="5" t="s">
        <v>1752</v>
      </c>
    </row>
    <row r="435" spans="1:7" x14ac:dyDescent="0.3">
      <c r="A435">
        <v>416425</v>
      </c>
      <c r="B435" t="s">
        <v>842</v>
      </c>
      <c r="C435">
        <v>1430018</v>
      </c>
      <c r="D435">
        <v>39.458976</v>
      </c>
      <c r="E435">
        <v>-75.686577999999997</v>
      </c>
      <c r="F435" s="5">
        <v>1430018</v>
      </c>
      <c r="G435" s="5" t="s">
        <v>1752</v>
      </c>
    </row>
    <row r="436" spans="1:7" x14ac:dyDescent="0.3">
      <c r="A436">
        <v>416571</v>
      </c>
      <c r="B436" t="s">
        <v>844</v>
      </c>
      <c r="C436">
        <v>1430018</v>
      </c>
      <c r="D436">
        <v>39.501474999999999</v>
      </c>
      <c r="E436">
        <v>-75.687318000000005</v>
      </c>
      <c r="F436" s="5">
        <v>1430018</v>
      </c>
      <c r="G436" s="5" t="s">
        <v>1752</v>
      </c>
    </row>
    <row r="437" spans="1:7" x14ac:dyDescent="0.3">
      <c r="A437">
        <v>416942</v>
      </c>
      <c r="B437" t="s">
        <v>862</v>
      </c>
      <c r="C437">
        <v>1430018</v>
      </c>
      <c r="D437">
        <v>39.455367000000003</v>
      </c>
      <c r="E437">
        <v>-75.662514999999999</v>
      </c>
      <c r="F437" s="5">
        <v>1430018</v>
      </c>
      <c r="G437" s="5" t="s">
        <v>1752</v>
      </c>
    </row>
    <row r="438" spans="1:7" x14ac:dyDescent="0.3">
      <c r="A438">
        <v>418074</v>
      </c>
      <c r="B438" t="s">
        <v>901</v>
      </c>
      <c r="C438">
        <v>1430018</v>
      </c>
      <c r="D438">
        <v>39.443024999999999</v>
      </c>
      <c r="E438">
        <v>-75.717442000000005</v>
      </c>
      <c r="F438" s="5">
        <v>1430018</v>
      </c>
      <c r="G438" s="5" t="s">
        <v>1752</v>
      </c>
    </row>
    <row r="439" spans="1:7" x14ac:dyDescent="0.3">
      <c r="A439">
        <v>418088</v>
      </c>
      <c r="B439" t="s">
        <v>905</v>
      </c>
      <c r="C439">
        <v>1430018</v>
      </c>
      <c r="D439">
        <v>39.450270000000003</v>
      </c>
      <c r="E439">
        <v>-75.692639999999997</v>
      </c>
      <c r="F439" s="5">
        <v>1430018</v>
      </c>
      <c r="G439" s="5" t="s">
        <v>1752</v>
      </c>
    </row>
    <row r="440" spans="1:7" x14ac:dyDescent="0.3">
      <c r="A440">
        <v>418456</v>
      </c>
      <c r="B440" t="s">
        <v>955</v>
      </c>
      <c r="C440">
        <v>1430018</v>
      </c>
      <c r="D440">
        <v>39.451627999999999</v>
      </c>
      <c r="E440">
        <v>-75.710164000000006</v>
      </c>
      <c r="F440" s="5">
        <v>1430018</v>
      </c>
      <c r="G440" s="5" t="s">
        <v>1752</v>
      </c>
    </row>
    <row r="441" spans="1:7" x14ac:dyDescent="0.3">
      <c r="A441">
        <v>418663</v>
      </c>
      <c r="B441" t="s">
        <v>965</v>
      </c>
      <c r="C441">
        <v>1430018</v>
      </c>
      <c r="D441">
        <v>39.446776999999997</v>
      </c>
      <c r="E441">
        <v>-75.709957000000003</v>
      </c>
      <c r="F441" s="5">
        <v>1430018</v>
      </c>
      <c r="G441" s="5" t="s">
        <v>1752</v>
      </c>
    </row>
    <row r="442" spans="1:7" x14ac:dyDescent="0.3">
      <c r="A442">
        <v>418834</v>
      </c>
      <c r="B442" t="s">
        <v>973</v>
      </c>
      <c r="C442">
        <v>1430018</v>
      </c>
      <c r="D442">
        <v>39.395912000000003</v>
      </c>
      <c r="E442">
        <v>-75.688072000000005</v>
      </c>
      <c r="F442" s="5">
        <v>1430018</v>
      </c>
      <c r="G442" s="5" t="s">
        <v>1752</v>
      </c>
    </row>
    <row r="443" spans="1:7" x14ac:dyDescent="0.3">
      <c r="A443">
        <v>430033</v>
      </c>
      <c r="B443" t="s">
        <v>1049</v>
      </c>
      <c r="C443">
        <v>1430018</v>
      </c>
      <c r="D443">
        <v>39.503543000000001</v>
      </c>
      <c r="E443">
        <v>-75.689160000000001</v>
      </c>
      <c r="F443" s="5">
        <v>1430018</v>
      </c>
      <c r="G443" s="5" t="s">
        <v>1752</v>
      </c>
    </row>
    <row r="444" spans="1:7" x14ac:dyDescent="0.3">
      <c r="A444">
        <v>430824</v>
      </c>
      <c r="B444" t="s">
        <v>1063</v>
      </c>
      <c r="C444">
        <v>1430018</v>
      </c>
      <c r="D444">
        <v>39.454368000000002</v>
      </c>
      <c r="E444">
        <v>-75.748199999999997</v>
      </c>
      <c r="F444" s="5">
        <v>1430018</v>
      </c>
      <c r="G444" s="5" t="s">
        <v>1752</v>
      </c>
    </row>
    <row r="445" spans="1:7" x14ac:dyDescent="0.3">
      <c r="A445">
        <v>437513</v>
      </c>
      <c r="B445" t="s">
        <v>1099</v>
      </c>
      <c r="C445">
        <v>1430018</v>
      </c>
      <c r="D445">
        <v>39.455522000000002</v>
      </c>
      <c r="E445">
        <v>-75.744101000000001</v>
      </c>
      <c r="F445" s="5">
        <v>1430018</v>
      </c>
      <c r="G445" s="5" t="s">
        <v>1752</v>
      </c>
    </row>
    <row r="446" spans="1:7" x14ac:dyDescent="0.3">
      <c r="A446">
        <v>449436</v>
      </c>
      <c r="B446" t="s">
        <v>1150</v>
      </c>
      <c r="C446">
        <v>1430018</v>
      </c>
      <c r="D446">
        <v>39.436813000000001</v>
      </c>
      <c r="E446">
        <v>-75.651060999999999</v>
      </c>
      <c r="F446" s="5">
        <v>1430018</v>
      </c>
      <c r="G446" s="5" t="s">
        <v>1752</v>
      </c>
    </row>
    <row r="447" spans="1:7" x14ac:dyDescent="0.3">
      <c r="A447">
        <v>463704</v>
      </c>
      <c r="B447" t="s">
        <v>1221</v>
      </c>
      <c r="C447">
        <v>1430018</v>
      </c>
      <c r="D447">
        <v>39.499935000000001</v>
      </c>
      <c r="E447">
        <v>-75.691751999999994</v>
      </c>
      <c r="F447" s="5">
        <v>1430018</v>
      </c>
      <c r="G447" s="5" t="s">
        <v>1752</v>
      </c>
    </row>
    <row r="448" spans="1:7" x14ac:dyDescent="0.3">
      <c r="A448">
        <v>470537</v>
      </c>
      <c r="B448" t="s">
        <v>1298</v>
      </c>
      <c r="C448">
        <v>1430018</v>
      </c>
      <c r="D448">
        <v>39.532910999999999</v>
      </c>
      <c r="E448">
        <v>-75.680645999999996</v>
      </c>
      <c r="F448" s="5">
        <v>1430018</v>
      </c>
      <c r="G448" s="5" t="s">
        <v>1752</v>
      </c>
    </row>
    <row r="449" spans="1:7" x14ac:dyDescent="0.3">
      <c r="A449">
        <v>482350</v>
      </c>
      <c r="B449" t="s">
        <v>1387</v>
      </c>
      <c r="C449">
        <v>1430018</v>
      </c>
      <c r="D449">
        <v>39.524920000000002</v>
      </c>
      <c r="E449">
        <v>-75.715630000000004</v>
      </c>
      <c r="F449" s="5">
        <v>1430018</v>
      </c>
      <c r="G449" s="5" t="s">
        <v>1752</v>
      </c>
    </row>
    <row r="450" spans="1:7" x14ac:dyDescent="0.3">
      <c r="A450">
        <v>243460</v>
      </c>
      <c r="B450" t="s">
        <v>352</v>
      </c>
      <c r="C450">
        <v>1430016</v>
      </c>
      <c r="D450">
        <v>40.216115000000002</v>
      </c>
      <c r="E450">
        <v>-75.219499999999996</v>
      </c>
      <c r="F450" s="5">
        <v>1430016</v>
      </c>
      <c r="G450" s="5" t="s">
        <v>1752</v>
      </c>
    </row>
    <row r="451" spans="1:7" x14ac:dyDescent="0.3">
      <c r="A451">
        <v>296716</v>
      </c>
      <c r="B451" t="s">
        <v>583</v>
      </c>
      <c r="C451">
        <v>1430016</v>
      </c>
      <c r="D451">
        <v>40.218085000000002</v>
      </c>
      <c r="E451">
        <v>-75.261835000000005</v>
      </c>
      <c r="F451" s="5">
        <v>1430016</v>
      </c>
      <c r="G451" s="5" t="s">
        <v>1752</v>
      </c>
    </row>
    <row r="452" spans="1:7" x14ac:dyDescent="0.3">
      <c r="A452">
        <v>305232</v>
      </c>
      <c r="B452" t="s">
        <v>625</v>
      </c>
      <c r="C452">
        <v>1430016</v>
      </c>
      <c r="D452">
        <v>40.155794</v>
      </c>
      <c r="E452">
        <v>-75.214309</v>
      </c>
      <c r="F452" s="5">
        <v>1430016</v>
      </c>
      <c r="G452" s="5" t="s">
        <v>1752</v>
      </c>
    </row>
    <row r="453" spans="1:7" x14ac:dyDescent="0.3">
      <c r="A453">
        <v>320010</v>
      </c>
      <c r="B453" t="s">
        <v>689</v>
      </c>
      <c r="C453">
        <v>1430016</v>
      </c>
      <c r="D453">
        <v>40.184460000000001</v>
      </c>
      <c r="E453">
        <v>-75.225620000000006</v>
      </c>
      <c r="F453" s="5">
        <v>1430016</v>
      </c>
      <c r="G453" s="5" t="s">
        <v>1752</v>
      </c>
    </row>
    <row r="454" spans="1:7" x14ac:dyDescent="0.3">
      <c r="A454">
        <v>456118</v>
      </c>
      <c r="B454" t="s">
        <v>1185</v>
      </c>
      <c r="C454">
        <v>1430016</v>
      </c>
      <c r="D454">
        <v>40.226613</v>
      </c>
      <c r="E454">
        <v>-75.227559999999997</v>
      </c>
      <c r="F454" s="5">
        <v>1430016</v>
      </c>
      <c r="G454" s="5" t="s">
        <v>1752</v>
      </c>
    </row>
    <row r="455" spans="1:7" x14ac:dyDescent="0.3">
      <c r="A455">
        <v>239133</v>
      </c>
      <c r="B455" t="s">
        <v>166</v>
      </c>
      <c r="C455">
        <v>1430021</v>
      </c>
      <c r="D455">
        <v>40.086306</v>
      </c>
      <c r="E455">
        <v>-76.182950000000005</v>
      </c>
      <c r="F455" s="5">
        <v>1430021</v>
      </c>
      <c r="G455" s="5" t="s">
        <v>1752</v>
      </c>
    </row>
    <row r="456" spans="1:7" x14ac:dyDescent="0.3">
      <c r="A456">
        <v>239318</v>
      </c>
      <c r="B456" t="s">
        <v>172</v>
      </c>
      <c r="C456">
        <v>1430021</v>
      </c>
      <c r="D456">
        <v>40.038179999999997</v>
      </c>
      <c r="E456">
        <v>-76.175129999999996</v>
      </c>
      <c r="F456" s="5">
        <v>1430021</v>
      </c>
      <c r="G456" s="5" t="s">
        <v>1752</v>
      </c>
    </row>
    <row r="457" spans="1:7" x14ac:dyDescent="0.3">
      <c r="A457">
        <v>239777</v>
      </c>
      <c r="B457" t="s">
        <v>188</v>
      </c>
      <c r="C457">
        <v>1430021</v>
      </c>
      <c r="D457">
        <v>40.085590000000003</v>
      </c>
      <c r="E457">
        <v>-76.180800000000005</v>
      </c>
      <c r="F457" s="5">
        <v>1430021</v>
      </c>
      <c r="G457" s="5" t="s">
        <v>1752</v>
      </c>
    </row>
    <row r="458" spans="1:7" x14ac:dyDescent="0.3">
      <c r="A458">
        <v>240040</v>
      </c>
      <c r="B458" t="s">
        <v>210</v>
      </c>
      <c r="C458">
        <v>1430022</v>
      </c>
      <c r="D458">
        <v>40.039504999999998</v>
      </c>
      <c r="E458">
        <v>-76.234322000000006</v>
      </c>
      <c r="F458" s="5">
        <v>1430021</v>
      </c>
      <c r="G458" s="4" t="s">
        <v>1753</v>
      </c>
    </row>
    <row r="459" spans="1:7" x14ac:dyDescent="0.3">
      <c r="A459">
        <v>240091</v>
      </c>
      <c r="B459" t="s">
        <v>212</v>
      </c>
      <c r="C459">
        <v>1430021</v>
      </c>
      <c r="D459">
        <v>39.981138000000001</v>
      </c>
      <c r="E459">
        <v>-76.178820000000002</v>
      </c>
      <c r="F459" s="5">
        <v>1430021</v>
      </c>
      <c r="G459" s="5" t="s">
        <v>1752</v>
      </c>
    </row>
    <row r="460" spans="1:7" x14ac:dyDescent="0.3">
      <c r="A460">
        <v>240154</v>
      </c>
      <c r="B460" t="s">
        <v>25</v>
      </c>
      <c r="C460">
        <v>1430021</v>
      </c>
      <c r="D460">
        <v>39.916902</v>
      </c>
      <c r="E460">
        <v>-76.184398999999999</v>
      </c>
      <c r="F460" s="5">
        <v>1430021</v>
      </c>
      <c r="G460" s="5" t="s">
        <v>1752</v>
      </c>
    </row>
    <row r="461" spans="1:7" x14ac:dyDescent="0.3">
      <c r="A461">
        <v>240218</v>
      </c>
      <c r="B461" t="s">
        <v>224</v>
      </c>
      <c r="C461">
        <v>1430021</v>
      </c>
      <c r="D461">
        <v>40.042729000000001</v>
      </c>
      <c r="E461">
        <v>-76.198098000000002</v>
      </c>
      <c r="F461" s="5">
        <v>1430021</v>
      </c>
      <c r="G461" s="5" t="s">
        <v>1752</v>
      </c>
    </row>
    <row r="462" spans="1:7" x14ac:dyDescent="0.3">
      <c r="A462">
        <v>240422</v>
      </c>
      <c r="B462" t="s">
        <v>230</v>
      </c>
      <c r="C462">
        <v>1430021</v>
      </c>
      <c r="D462">
        <v>40.086227999999998</v>
      </c>
      <c r="E462">
        <v>-76.181743999999995</v>
      </c>
      <c r="F462" s="5">
        <v>1430021</v>
      </c>
      <c r="G462" s="5" t="s">
        <v>1752</v>
      </c>
    </row>
    <row r="463" spans="1:7" x14ac:dyDescent="0.3">
      <c r="A463">
        <v>240754</v>
      </c>
      <c r="B463" t="s">
        <v>1425</v>
      </c>
      <c r="C463">
        <v>1430021</v>
      </c>
      <c r="D463">
        <v>40.027222000000002</v>
      </c>
      <c r="E463">
        <v>-76.227894000000006</v>
      </c>
      <c r="F463" s="5">
        <v>1430021</v>
      </c>
      <c r="G463" s="5" t="s">
        <v>1752</v>
      </c>
    </row>
    <row r="464" spans="1:7" x14ac:dyDescent="0.3">
      <c r="A464">
        <v>241814</v>
      </c>
      <c r="B464" t="s">
        <v>308</v>
      </c>
      <c r="C464">
        <v>1430016</v>
      </c>
      <c r="D464">
        <v>40.083860000000001</v>
      </c>
      <c r="E464">
        <v>-76.098110000000005</v>
      </c>
      <c r="F464" s="5">
        <v>1430016</v>
      </c>
      <c r="G464" s="5" t="s">
        <v>1752</v>
      </c>
    </row>
    <row r="465" spans="1:7" x14ac:dyDescent="0.3">
      <c r="A465">
        <v>241839</v>
      </c>
      <c r="B465" t="s">
        <v>310</v>
      </c>
      <c r="C465">
        <v>1430021</v>
      </c>
      <c r="D465">
        <v>40.089592000000003</v>
      </c>
      <c r="E465">
        <v>-76.178089999999997</v>
      </c>
      <c r="F465" s="5">
        <v>1430021</v>
      </c>
      <c r="G465" s="5" t="s">
        <v>1752</v>
      </c>
    </row>
    <row r="466" spans="1:7" x14ac:dyDescent="0.3">
      <c r="A466">
        <v>241967</v>
      </c>
      <c r="B466" t="s">
        <v>316</v>
      </c>
      <c r="C466">
        <v>1430021</v>
      </c>
      <c r="D466">
        <v>40.003610000000002</v>
      </c>
      <c r="E466">
        <v>-76.217280000000002</v>
      </c>
      <c r="F466" s="5">
        <v>1430021</v>
      </c>
      <c r="G466" s="5" t="s">
        <v>1752</v>
      </c>
    </row>
    <row r="467" spans="1:7" x14ac:dyDescent="0.3">
      <c r="A467">
        <v>242572</v>
      </c>
      <c r="B467" t="s">
        <v>334</v>
      </c>
      <c r="C467">
        <v>1430021</v>
      </c>
      <c r="D467">
        <v>40.038156999999998</v>
      </c>
      <c r="E467">
        <v>-76.174486999999999</v>
      </c>
      <c r="F467" s="5">
        <v>1430021</v>
      </c>
      <c r="G467" s="5" t="s">
        <v>1752</v>
      </c>
    </row>
    <row r="468" spans="1:7" x14ac:dyDescent="0.3">
      <c r="A468">
        <v>247051</v>
      </c>
      <c r="B468" t="s">
        <v>453</v>
      </c>
      <c r="C468">
        <v>1430016</v>
      </c>
      <c r="D468">
        <v>39.968767</v>
      </c>
      <c r="E468">
        <v>-76.065610000000007</v>
      </c>
      <c r="F468" s="5">
        <v>1430016</v>
      </c>
      <c r="G468" s="5" t="s">
        <v>1752</v>
      </c>
    </row>
    <row r="469" spans="1:7" x14ac:dyDescent="0.3">
      <c r="A469">
        <v>247675</v>
      </c>
      <c r="B469" t="s">
        <v>1482</v>
      </c>
      <c r="C469">
        <v>1430021</v>
      </c>
      <c r="D469">
        <v>40.029527000000002</v>
      </c>
      <c r="E469">
        <v>-76.170320000000004</v>
      </c>
      <c r="F469" s="5">
        <v>1430021</v>
      </c>
      <c r="G469" s="5" t="s">
        <v>1752</v>
      </c>
    </row>
    <row r="470" spans="1:7" x14ac:dyDescent="0.3">
      <c r="A470">
        <v>280526</v>
      </c>
      <c r="B470" t="s">
        <v>93</v>
      </c>
      <c r="C470">
        <v>1430021</v>
      </c>
      <c r="D470">
        <v>39.887189999999997</v>
      </c>
      <c r="E470">
        <v>-76.161510000000007</v>
      </c>
      <c r="F470" s="5">
        <v>1430021</v>
      </c>
      <c r="G470" s="5" t="s">
        <v>1752</v>
      </c>
    </row>
    <row r="471" spans="1:7" x14ac:dyDescent="0.3">
      <c r="A471">
        <v>297010</v>
      </c>
      <c r="B471" t="s">
        <v>587</v>
      </c>
      <c r="C471">
        <v>1430021</v>
      </c>
      <c r="D471">
        <v>40.017643999999997</v>
      </c>
      <c r="E471">
        <v>-76.166921000000002</v>
      </c>
      <c r="F471" s="5">
        <v>1430021</v>
      </c>
      <c r="G471" s="5" t="s">
        <v>1752</v>
      </c>
    </row>
    <row r="472" spans="1:7" x14ac:dyDescent="0.3">
      <c r="A472">
        <v>300735</v>
      </c>
      <c r="B472" t="s">
        <v>613</v>
      </c>
      <c r="C472">
        <v>1430016</v>
      </c>
      <c r="D472">
        <v>40.00508</v>
      </c>
      <c r="E472">
        <v>-76.102467000000004</v>
      </c>
      <c r="F472" s="5">
        <v>1430016</v>
      </c>
      <c r="G472" s="5" t="s">
        <v>1752</v>
      </c>
    </row>
    <row r="473" spans="1:7" x14ac:dyDescent="0.3">
      <c r="A473">
        <v>310741</v>
      </c>
      <c r="B473" t="s">
        <v>1516</v>
      </c>
      <c r="C473">
        <v>1430021</v>
      </c>
      <c r="D473">
        <v>39.985475000000001</v>
      </c>
      <c r="E473">
        <v>-76.151471999999998</v>
      </c>
      <c r="F473" s="5">
        <v>1430021</v>
      </c>
      <c r="G473" s="5" t="s">
        <v>1752</v>
      </c>
    </row>
    <row r="474" spans="1:7" x14ac:dyDescent="0.3">
      <c r="A474">
        <v>312881</v>
      </c>
      <c r="B474" t="s">
        <v>1520</v>
      </c>
      <c r="C474">
        <v>1430021</v>
      </c>
      <c r="D474">
        <v>39.988773999999999</v>
      </c>
      <c r="E474">
        <v>-76.176559999999995</v>
      </c>
      <c r="F474" s="5">
        <v>1430021</v>
      </c>
      <c r="G474" s="5" t="s">
        <v>1752</v>
      </c>
    </row>
    <row r="475" spans="1:7" x14ac:dyDescent="0.3">
      <c r="A475">
        <v>320822</v>
      </c>
      <c r="B475" t="s">
        <v>691</v>
      </c>
      <c r="C475">
        <v>1430022</v>
      </c>
      <c r="D475">
        <v>40.047500999999997</v>
      </c>
      <c r="E475">
        <v>-76.241240000000005</v>
      </c>
      <c r="F475" s="5">
        <v>1430022</v>
      </c>
      <c r="G475" s="5" t="s">
        <v>1752</v>
      </c>
    </row>
    <row r="476" spans="1:7" x14ac:dyDescent="0.3">
      <c r="A476">
        <v>337114</v>
      </c>
      <c r="B476" t="s">
        <v>1527</v>
      </c>
      <c r="C476">
        <v>1430016</v>
      </c>
      <c r="D476">
        <v>39.993547</v>
      </c>
      <c r="E476">
        <v>-76.027844000000002</v>
      </c>
      <c r="F476" s="5">
        <v>1430016</v>
      </c>
      <c r="G476" s="5" t="s">
        <v>1752</v>
      </c>
    </row>
    <row r="477" spans="1:7" x14ac:dyDescent="0.3">
      <c r="A477">
        <v>423139</v>
      </c>
      <c r="B477" t="s">
        <v>996</v>
      </c>
      <c r="C477">
        <v>1430021</v>
      </c>
      <c r="D477">
        <v>40.038972000000001</v>
      </c>
      <c r="E477">
        <v>-76.207966999999996</v>
      </c>
      <c r="F477" s="5">
        <v>1430021</v>
      </c>
      <c r="G477" s="5" t="s">
        <v>1752</v>
      </c>
    </row>
    <row r="478" spans="1:7" x14ac:dyDescent="0.3">
      <c r="A478">
        <v>453635</v>
      </c>
      <c r="B478" t="s">
        <v>116</v>
      </c>
      <c r="C478">
        <v>1430021</v>
      </c>
      <c r="D478">
        <v>39.917549999999999</v>
      </c>
      <c r="E478">
        <v>-76.207024000000004</v>
      </c>
      <c r="F478" s="5">
        <v>1430021</v>
      </c>
      <c r="G478" s="5" t="s">
        <v>1752</v>
      </c>
    </row>
    <row r="479" spans="1:7" x14ac:dyDescent="0.3">
      <c r="A479">
        <v>453636</v>
      </c>
      <c r="B479" t="s">
        <v>118</v>
      </c>
      <c r="C479">
        <v>1430021</v>
      </c>
      <c r="D479">
        <v>39.893841999999999</v>
      </c>
      <c r="E479">
        <v>-76.158860000000004</v>
      </c>
      <c r="F479" s="5">
        <v>1430021</v>
      </c>
      <c r="G479" s="5" t="s">
        <v>1752</v>
      </c>
    </row>
    <row r="480" spans="1:7" x14ac:dyDescent="0.3">
      <c r="A480">
        <v>453638</v>
      </c>
      <c r="B480" t="s">
        <v>122</v>
      </c>
      <c r="C480">
        <v>1430021</v>
      </c>
      <c r="D480">
        <v>39.895314999999997</v>
      </c>
      <c r="E480">
        <v>-76.147137999999998</v>
      </c>
      <c r="F480" s="5">
        <v>1430021</v>
      </c>
      <c r="G480" s="5" t="s">
        <v>1752</v>
      </c>
    </row>
    <row r="481" spans="1:7" x14ac:dyDescent="0.3">
      <c r="A481">
        <v>481761</v>
      </c>
      <c r="B481" t="s">
        <v>1381</v>
      </c>
      <c r="C481">
        <v>1430021</v>
      </c>
      <c r="D481">
        <v>40.050960000000003</v>
      </c>
      <c r="E481">
        <v>-76.217029999999994</v>
      </c>
      <c r="F481" s="5">
        <v>1430021</v>
      </c>
      <c r="G481" s="5" t="s">
        <v>1752</v>
      </c>
    </row>
    <row r="482" spans="1:7" x14ac:dyDescent="0.3">
      <c r="A482">
        <v>239536</v>
      </c>
      <c r="B482" t="s">
        <v>182</v>
      </c>
      <c r="C482">
        <v>1430022</v>
      </c>
      <c r="D482">
        <v>40.038133999999999</v>
      </c>
      <c r="E482">
        <v>-76.450134000000006</v>
      </c>
      <c r="F482" s="5">
        <v>1430035</v>
      </c>
      <c r="G482" s="4" t="s">
        <v>1753</v>
      </c>
    </row>
    <row r="483" spans="1:7" x14ac:dyDescent="0.3">
      <c r="A483">
        <v>239653</v>
      </c>
      <c r="B483" t="s">
        <v>184</v>
      </c>
      <c r="C483">
        <v>1430022</v>
      </c>
      <c r="D483">
        <v>40.035975999999998</v>
      </c>
      <c r="E483">
        <v>-76.502403000000001</v>
      </c>
      <c r="F483" s="5">
        <v>1430035</v>
      </c>
      <c r="G483" s="4" t="s">
        <v>1753</v>
      </c>
    </row>
    <row r="484" spans="1:7" x14ac:dyDescent="0.3">
      <c r="A484">
        <v>239751</v>
      </c>
      <c r="B484" t="s">
        <v>17</v>
      </c>
      <c r="C484">
        <v>1430021</v>
      </c>
      <c r="D484">
        <v>39.872438000000002</v>
      </c>
      <c r="E484">
        <v>-76.225246999999996</v>
      </c>
      <c r="F484" s="5">
        <v>1430021</v>
      </c>
      <c r="G484" s="5" t="s">
        <v>1752</v>
      </c>
    </row>
    <row r="485" spans="1:7" x14ac:dyDescent="0.3">
      <c r="A485">
        <v>239793</v>
      </c>
      <c r="B485" t="s">
        <v>190</v>
      </c>
      <c r="C485">
        <v>1430022</v>
      </c>
      <c r="D485">
        <v>40.042865999999997</v>
      </c>
      <c r="E485">
        <v>-76.426608999999999</v>
      </c>
      <c r="F485" s="5">
        <v>1430022</v>
      </c>
      <c r="G485" s="5" t="s">
        <v>1752</v>
      </c>
    </row>
    <row r="486" spans="1:7" x14ac:dyDescent="0.3">
      <c r="A486">
        <v>239896</v>
      </c>
      <c r="B486" t="s">
        <v>19</v>
      </c>
      <c r="C486">
        <v>1430022</v>
      </c>
      <c r="D486">
        <v>40.053511999999998</v>
      </c>
      <c r="E486">
        <v>-76.399518999999998</v>
      </c>
      <c r="F486" s="5">
        <v>1430022</v>
      </c>
      <c r="G486" s="5" t="s">
        <v>1752</v>
      </c>
    </row>
    <row r="487" spans="1:7" x14ac:dyDescent="0.3">
      <c r="A487">
        <v>239898</v>
      </c>
      <c r="B487" t="s">
        <v>21</v>
      </c>
      <c r="C487">
        <v>1430022</v>
      </c>
      <c r="D487">
        <v>40.055542000000003</v>
      </c>
      <c r="E487">
        <v>-76.363370000000003</v>
      </c>
      <c r="F487" s="5">
        <v>1430022</v>
      </c>
      <c r="G487" s="5" t="s">
        <v>1752</v>
      </c>
    </row>
    <row r="488" spans="1:7" x14ac:dyDescent="0.3">
      <c r="A488">
        <v>240356</v>
      </c>
      <c r="B488" t="s">
        <v>27</v>
      </c>
      <c r="C488">
        <v>1430022</v>
      </c>
      <c r="D488">
        <v>40.068688999999999</v>
      </c>
      <c r="E488">
        <v>-76.413719</v>
      </c>
      <c r="F488" s="5">
        <v>1430022</v>
      </c>
      <c r="G488" s="5" t="s">
        <v>1752</v>
      </c>
    </row>
    <row r="489" spans="1:7" x14ac:dyDescent="0.3">
      <c r="A489">
        <v>240765</v>
      </c>
      <c r="B489" t="s">
        <v>248</v>
      </c>
      <c r="C489">
        <v>1430022</v>
      </c>
      <c r="D489">
        <v>40.088250000000002</v>
      </c>
      <c r="E489">
        <v>-76.353095999999994</v>
      </c>
      <c r="F489" s="5">
        <v>1430022</v>
      </c>
      <c r="G489" s="5" t="s">
        <v>1752</v>
      </c>
    </row>
    <row r="490" spans="1:7" x14ac:dyDescent="0.3">
      <c r="A490">
        <v>240777</v>
      </c>
      <c r="B490" t="s">
        <v>250</v>
      </c>
      <c r="C490">
        <v>1430022</v>
      </c>
      <c r="D490">
        <v>40.089401000000002</v>
      </c>
      <c r="E490">
        <v>-76.346693000000002</v>
      </c>
      <c r="F490" s="5">
        <v>1430022</v>
      </c>
      <c r="G490" s="5" t="s">
        <v>1752</v>
      </c>
    </row>
    <row r="491" spans="1:7" x14ac:dyDescent="0.3">
      <c r="A491">
        <v>241023</v>
      </c>
      <c r="B491" t="s">
        <v>45</v>
      </c>
      <c r="C491">
        <v>1430022</v>
      </c>
      <c r="D491">
        <v>40.020619000000003</v>
      </c>
      <c r="E491">
        <v>-76.433154999999999</v>
      </c>
      <c r="F491" s="5">
        <v>1430035</v>
      </c>
      <c r="G491" s="4" t="s">
        <v>1753</v>
      </c>
    </row>
    <row r="492" spans="1:7" x14ac:dyDescent="0.3">
      <c r="A492">
        <v>241169</v>
      </c>
      <c r="B492" t="s">
        <v>274</v>
      </c>
      <c r="C492">
        <v>1430022</v>
      </c>
      <c r="D492">
        <v>40.041739999999997</v>
      </c>
      <c r="E492">
        <v>-76.427357999999998</v>
      </c>
      <c r="F492" s="5">
        <v>1430022</v>
      </c>
      <c r="G492" s="5" t="s">
        <v>1752</v>
      </c>
    </row>
    <row r="493" spans="1:7" x14ac:dyDescent="0.3">
      <c r="A493">
        <v>241351</v>
      </c>
      <c r="B493" t="s">
        <v>53</v>
      </c>
      <c r="C493">
        <v>1430022</v>
      </c>
      <c r="D493">
        <v>40.090538000000002</v>
      </c>
      <c r="E493">
        <v>-76.356438999999995</v>
      </c>
      <c r="F493" s="5">
        <v>1430022</v>
      </c>
      <c r="G493" s="5" t="s">
        <v>1752</v>
      </c>
    </row>
    <row r="494" spans="1:7" x14ac:dyDescent="0.3">
      <c r="A494">
        <v>241624</v>
      </c>
      <c r="B494" t="s">
        <v>55</v>
      </c>
      <c r="C494">
        <v>1430022</v>
      </c>
      <c r="D494">
        <v>40.05151</v>
      </c>
      <c r="E494">
        <v>-76.363822999999996</v>
      </c>
      <c r="F494" s="5">
        <v>1430022</v>
      </c>
      <c r="G494" s="5" t="s">
        <v>1752</v>
      </c>
    </row>
    <row r="495" spans="1:7" x14ac:dyDescent="0.3">
      <c r="A495">
        <v>241655</v>
      </c>
      <c r="B495" t="s">
        <v>1434</v>
      </c>
      <c r="C495">
        <v>1430048</v>
      </c>
      <c r="D495">
        <v>39.862848999999997</v>
      </c>
      <c r="E495">
        <v>-76.463646999999995</v>
      </c>
      <c r="F495" s="5">
        <v>1430048</v>
      </c>
      <c r="G495" s="5" t="s">
        <v>1752</v>
      </c>
    </row>
    <row r="496" spans="1:7" x14ac:dyDescent="0.3">
      <c r="A496">
        <v>241682</v>
      </c>
      <c r="B496" t="s">
        <v>298</v>
      </c>
      <c r="C496">
        <v>1430035</v>
      </c>
      <c r="D496">
        <v>40.063577000000002</v>
      </c>
      <c r="E496">
        <v>-76.542636000000002</v>
      </c>
      <c r="F496" s="5">
        <v>1430035</v>
      </c>
      <c r="G496" s="5" t="s">
        <v>1752</v>
      </c>
    </row>
    <row r="497" spans="1:7" x14ac:dyDescent="0.3">
      <c r="A497">
        <v>241724</v>
      </c>
      <c r="B497" t="s">
        <v>57</v>
      </c>
      <c r="C497">
        <v>1430022</v>
      </c>
      <c r="D497">
        <v>40.053249000000001</v>
      </c>
      <c r="E497">
        <v>-76.363705999999993</v>
      </c>
      <c r="F497" s="5">
        <v>1430022</v>
      </c>
      <c r="G497" s="5" t="s">
        <v>1752</v>
      </c>
    </row>
    <row r="498" spans="1:7" x14ac:dyDescent="0.3">
      <c r="A498">
        <v>242085</v>
      </c>
      <c r="B498" t="s">
        <v>65</v>
      </c>
      <c r="C498">
        <v>1430021</v>
      </c>
      <c r="D498">
        <v>39.881760999999997</v>
      </c>
      <c r="E498">
        <v>-76.231024000000005</v>
      </c>
      <c r="F498" s="5">
        <v>1430021</v>
      </c>
      <c r="G498" s="5" t="s">
        <v>1752</v>
      </c>
    </row>
    <row r="499" spans="1:7" x14ac:dyDescent="0.3">
      <c r="A499">
        <v>242183</v>
      </c>
      <c r="B499" t="s">
        <v>71</v>
      </c>
      <c r="C499">
        <v>1430035</v>
      </c>
      <c r="D499">
        <v>39.960667000000001</v>
      </c>
      <c r="E499">
        <v>-76.447085000000001</v>
      </c>
      <c r="F499" s="5">
        <v>1430035</v>
      </c>
      <c r="G499" s="5" t="s">
        <v>1752</v>
      </c>
    </row>
    <row r="500" spans="1:7" x14ac:dyDescent="0.3">
      <c r="A500">
        <v>242367</v>
      </c>
      <c r="B500" t="s">
        <v>75</v>
      </c>
      <c r="C500">
        <v>1430022</v>
      </c>
      <c r="D500">
        <v>40.004930000000002</v>
      </c>
      <c r="E500">
        <v>-76.355879999999999</v>
      </c>
      <c r="F500" s="5">
        <v>1430022</v>
      </c>
      <c r="G500" s="5" t="s">
        <v>1752</v>
      </c>
    </row>
    <row r="501" spans="1:7" x14ac:dyDescent="0.3">
      <c r="A501">
        <v>242394</v>
      </c>
      <c r="B501" t="s">
        <v>330</v>
      </c>
      <c r="C501">
        <v>1430035</v>
      </c>
      <c r="D501">
        <v>40.11065</v>
      </c>
      <c r="E501">
        <v>-76.477564000000001</v>
      </c>
      <c r="F501" s="5">
        <v>1430035</v>
      </c>
      <c r="G501" s="5" t="s">
        <v>1752</v>
      </c>
    </row>
    <row r="502" spans="1:7" x14ac:dyDescent="0.3">
      <c r="A502">
        <v>242575</v>
      </c>
      <c r="B502" t="s">
        <v>77</v>
      </c>
      <c r="C502">
        <v>1430022</v>
      </c>
      <c r="D502">
        <v>40.087502000000001</v>
      </c>
      <c r="E502">
        <v>-76.348461</v>
      </c>
      <c r="F502" s="5">
        <v>1430022</v>
      </c>
      <c r="G502" s="5" t="s">
        <v>1752</v>
      </c>
    </row>
    <row r="503" spans="1:7" x14ac:dyDescent="0.3">
      <c r="A503">
        <v>249200</v>
      </c>
      <c r="B503" t="s">
        <v>457</v>
      </c>
      <c r="C503">
        <v>1430048</v>
      </c>
      <c r="D503">
        <v>40.009610000000002</v>
      </c>
      <c r="E503">
        <v>-76.548370000000006</v>
      </c>
      <c r="F503" s="5">
        <v>1430048</v>
      </c>
      <c r="G503" s="5" t="s">
        <v>1752</v>
      </c>
    </row>
    <row r="504" spans="1:7" x14ac:dyDescent="0.3">
      <c r="A504">
        <v>264345</v>
      </c>
      <c r="B504" t="s">
        <v>467</v>
      </c>
      <c r="C504">
        <v>1430035</v>
      </c>
      <c r="D504">
        <v>40.064005000000002</v>
      </c>
      <c r="E504">
        <v>-76.545789999999997</v>
      </c>
      <c r="F504" s="5">
        <v>1430035</v>
      </c>
      <c r="G504" s="5" t="s">
        <v>1752</v>
      </c>
    </row>
    <row r="505" spans="1:7" x14ac:dyDescent="0.3">
      <c r="A505">
        <v>264881</v>
      </c>
      <c r="B505" t="s">
        <v>83</v>
      </c>
      <c r="C505">
        <v>1430021</v>
      </c>
      <c r="D505">
        <v>39.9041</v>
      </c>
      <c r="E505">
        <v>-76.201769999999996</v>
      </c>
      <c r="F505" s="5">
        <v>1430021</v>
      </c>
      <c r="G505" s="5" t="s">
        <v>1752</v>
      </c>
    </row>
    <row r="506" spans="1:7" x14ac:dyDescent="0.3">
      <c r="A506">
        <v>265209</v>
      </c>
      <c r="B506" t="s">
        <v>85</v>
      </c>
      <c r="C506">
        <v>1430022</v>
      </c>
      <c r="D506">
        <v>40.062254000000003</v>
      </c>
      <c r="E506">
        <v>-76.351652000000001</v>
      </c>
      <c r="F506" s="5">
        <v>1430022</v>
      </c>
      <c r="G506" s="5" t="s">
        <v>1752</v>
      </c>
    </row>
    <row r="507" spans="1:7" x14ac:dyDescent="0.3">
      <c r="A507">
        <v>271965</v>
      </c>
      <c r="B507" t="s">
        <v>499</v>
      </c>
      <c r="C507">
        <v>1430022</v>
      </c>
      <c r="D507">
        <v>40.028236</v>
      </c>
      <c r="E507">
        <v>-76.528757999999996</v>
      </c>
      <c r="F507" s="5">
        <v>1430035</v>
      </c>
      <c r="G507" s="4" t="s">
        <v>1753</v>
      </c>
    </row>
    <row r="508" spans="1:7" x14ac:dyDescent="0.3">
      <c r="A508">
        <v>273124</v>
      </c>
      <c r="B508" t="s">
        <v>1495</v>
      </c>
      <c r="C508">
        <v>1430022</v>
      </c>
      <c r="D508">
        <v>40.024892000000001</v>
      </c>
      <c r="E508">
        <v>-76.543481999999997</v>
      </c>
      <c r="F508" s="5">
        <v>1430035</v>
      </c>
      <c r="G508" s="4" t="s">
        <v>1753</v>
      </c>
    </row>
    <row r="509" spans="1:7" x14ac:dyDescent="0.3">
      <c r="A509">
        <v>284763</v>
      </c>
      <c r="B509" t="s">
        <v>545</v>
      </c>
      <c r="C509">
        <v>1430016</v>
      </c>
      <c r="D509">
        <v>40.063885999999997</v>
      </c>
      <c r="E509">
        <v>-76.570380999999998</v>
      </c>
      <c r="F509" s="5">
        <v>1430033</v>
      </c>
      <c r="G509" s="4" t="s">
        <v>1753</v>
      </c>
    </row>
    <row r="510" spans="1:7" x14ac:dyDescent="0.3">
      <c r="A510">
        <v>286426</v>
      </c>
      <c r="B510" t="s">
        <v>553</v>
      </c>
      <c r="C510">
        <v>1430035</v>
      </c>
      <c r="D510">
        <v>40.105853000000003</v>
      </c>
      <c r="E510">
        <v>-76.419331</v>
      </c>
      <c r="F510" s="5">
        <v>1430035</v>
      </c>
      <c r="G510" s="5" t="s">
        <v>1752</v>
      </c>
    </row>
    <row r="511" spans="1:7" x14ac:dyDescent="0.3">
      <c r="A511">
        <v>293616</v>
      </c>
      <c r="B511" t="s">
        <v>1500</v>
      </c>
      <c r="C511">
        <v>1430022</v>
      </c>
      <c r="D511">
        <v>40.035915000000003</v>
      </c>
      <c r="E511">
        <v>-76.449337999999997</v>
      </c>
      <c r="F511" s="5">
        <v>1430035</v>
      </c>
      <c r="G511" s="4" t="s">
        <v>1753</v>
      </c>
    </row>
    <row r="512" spans="1:7" x14ac:dyDescent="0.3">
      <c r="A512">
        <v>295895</v>
      </c>
      <c r="B512" t="s">
        <v>95</v>
      </c>
      <c r="C512">
        <v>1430022</v>
      </c>
      <c r="D512">
        <v>40.085596000000002</v>
      </c>
      <c r="E512">
        <v>-76.348422999999997</v>
      </c>
      <c r="F512" s="5">
        <v>1430022</v>
      </c>
      <c r="G512" s="5" t="s">
        <v>1752</v>
      </c>
    </row>
    <row r="513" spans="1:7" x14ac:dyDescent="0.3">
      <c r="A513">
        <v>301337</v>
      </c>
      <c r="B513" t="s">
        <v>1507</v>
      </c>
      <c r="C513">
        <v>1430022</v>
      </c>
      <c r="D513">
        <v>40.043922000000002</v>
      </c>
      <c r="E513">
        <v>-76.421694000000002</v>
      </c>
      <c r="F513" s="5">
        <v>1430022</v>
      </c>
      <c r="G513" s="5" t="s">
        <v>1752</v>
      </c>
    </row>
    <row r="514" spans="1:7" x14ac:dyDescent="0.3">
      <c r="A514">
        <v>308948</v>
      </c>
      <c r="B514" t="s">
        <v>655</v>
      </c>
      <c r="C514">
        <v>1430048</v>
      </c>
      <c r="D514">
        <v>39.885109999999997</v>
      </c>
      <c r="E514">
        <v>-76.367869999999996</v>
      </c>
      <c r="F514" s="5">
        <v>1430048</v>
      </c>
      <c r="G514" s="5" t="s">
        <v>1752</v>
      </c>
    </row>
    <row r="515" spans="1:7" x14ac:dyDescent="0.3">
      <c r="A515">
        <v>328860</v>
      </c>
      <c r="B515" t="s">
        <v>101</v>
      </c>
      <c r="C515">
        <v>1430022</v>
      </c>
      <c r="D515">
        <v>40.073275000000002</v>
      </c>
      <c r="E515">
        <v>-76.360940999999997</v>
      </c>
      <c r="F515" s="5">
        <v>1430022</v>
      </c>
      <c r="G515" s="5" t="s">
        <v>1752</v>
      </c>
    </row>
    <row r="516" spans="1:7" x14ac:dyDescent="0.3">
      <c r="A516">
        <v>415422</v>
      </c>
      <c r="B516" t="s">
        <v>799</v>
      </c>
      <c r="C516">
        <v>1430022</v>
      </c>
      <c r="D516">
        <v>40.045758999999997</v>
      </c>
      <c r="E516">
        <v>-76.497259</v>
      </c>
      <c r="F516" s="5">
        <v>1430035</v>
      </c>
      <c r="G516" s="4" t="s">
        <v>1753</v>
      </c>
    </row>
    <row r="517" spans="1:7" x14ac:dyDescent="0.3">
      <c r="A517">
        <v>415442</v>
      </c>
      <c r="B517" t="s">
        <v>803</v>
      </c>
      <c r="C517">
        <v>1430035</v>
      </c>
      <c r="D517">
        <v>40.062922</v>
      </c>
      <c r="E517">
        <v>-76.545993999999993</v>
      </c>
      <c r="F517" s="5">
        <v>1430035</v>
      </c>
      <c r="G517" s="5" t="s">
        <v>1752</v>
      </c>
    </row>
    <row r="518" spans="1:7" x14ac:dyDescent="0.3">
      <c r="A518">
        <v>415721</v>
      </c>
      <c r="B518" t="s">
        <v>103</v>
      </c>
      <c r="C518">
        <v>1430022</v>
      </c>
      <c r="D518">
        <v>40.046328000000003</v>
      </c>
      <c r="E518">
        <v>-76.362039999999993</v>
      </c>
      <c r="F518" s="5">
        <v>1430022</v>
      </c>
      <c r="G518" s="5" t="s">
        <v>1752</v>
      </c>
    </row>
    <row r="519" spans="1:7" x14ac:dyDescent="0.3">
      <c r="A519">
        <v>415766</v>
      </c>
      <c r="B519" t="s">
        <v>105</v>
      </c>
      <c r="C519">
        <v>1430022</v>
      </c>
      <c r="D519">
        <v>40.065161000000003</v>
      </c>
      <c r="E519">
        <v>-76.350793999999993</v>
      </c>
      <c r="F519" s="5">
        <v>1430022</v>
      </c>
      <c r="G519" s="5" t="s">
        <v>1752</v>
      </c>
    </row>
    <row r="520" spans="1:7" x14ac:dyDescent="0.3">
      <c r="A520">
        <v>424470</v>
      </c>
      <c r="B520" t="s">
        <v>109</v>
      </c>
      <c r="C520">
        <v>1430022</v>
      </c>
      <c r="D520">
        <v>40.069071999999998</v>
      </c>
      <c r="E520">
        <v>-76.35566</v>
      </c>
      <c r="F520" s="5">
        <v>1430022</v>
      </c>
      <c r="G520" s="5" t="s">
        <v>1752</v>
      </c>
    </row>
    <row r="521" spans="1:7" x14ac:dyDescent="0.3">
      <c r="A521">
        <v>433393</v>
      </c>
      <c r="B521" t="s">
        <v>111</v>
      </c>
      <c r="C521">
        <v>1430022</v>
      </c>
      <c r="D521">
        <v>40.046328000000003</v>
      </c>
      <c r="E521">
        <v>-76.362039999999993</v>
      </c>
      <c r="F521" s="5">
        <v>1430022</v>
      </c>
      <c r="G521" s="5" t="s">
        <v>1752</v>
      </c>
    </row>
    <row r="522" spans="1:7" x14ac:dyDescent="0.3">
      <c r="A522">
        <v>434177</v>
      </c>
      <c r="B522" t="s">
        <v>1082</v>
      </c>
      <c r="C522">
        <v>1430035</v>
      </c>
      <c r="D522">
        <v>40.109200000000001</v>
      </c>
      <c r="E522">
        <v>-76.450689999999994</v>
      </c>
      <c r="F522" s="5">
        <v>1430035</v>
      </c>
      <c r="G522" s="5" t="s">
        <v>1752</v>
      </c>
    </row>
    <row r="523" spans="1:7" x14ac:dyDescent="0.3">
      <c r="A523">
        <v>447723</v>
      </c>
      <c r="B523" t="s">
        <v>1137</v>
      </c>
      <c r="C523">
        <v>1430035</v>
      </c>
      <c r="D523">
        <v>40.091239999999999</v>
      </c>
      <c r="E523">
        <v>-76.518420000000006</v>
      </c>
      <c r="F523" s="5">
        <v>1430035</v>
      </c>
      <c r="G523" s="5" t="s">
        <v>1752</v>
      </c>
    </row>
    <row r="524" spans="1:7" x14ac:dyDescent="0.3">
      <c r="A524">
        <v>447724</v>
      </c>
      <c r="B524" t="s">
        <v>1139</v>
      </c>
      <c r="C524">
        <v>1430035</v>
      </c>
      <c r="D524">
        <v>40.096815999999997</v>
      </c>
      <c r="E524">
        <v>-76.507250999999997</v>
      </c>
      <c r="F524" s="5">
        <v>1430035</v>
      </c>
      <c r="G524" s="5" t="s">
        <v>1752</v>
      </c>
    </row>
    <row r="525" spans="1:7" x14ac:dyDescent="0.3">
      <c r="A525">
        <v>464042</v>
      </c>
      <c r="B525" t="s">
        <v>130</v>
      </c>
      <c r="C525">
        <v>1430035</v>
      </c>
      <c r="D525">
        <v>39.960667000000001</v>
      </c>
      <c r="E525">
        <v>-76.447085000000001</v>
      </c>
      <c r="F525" s="5">
        <v>1430035</v>
      </c>
      <c r="G525" s="5" t="s">
        <v>1752</v>
      </c>
    </row>
    <row r="526" spans="1:7" x14ac:dyDescent="0.3">
      <c r="A526">
        <v>469990</v>
      </c>
      <c r="B526" t="s">
        <v>131</v>
      </c>
      <c r="C526">
        <v>1430022</v>
      </c>
      <c r="D526">
        <v>39.996513999999998</v>
      </c>
      <c r="E526">
        <v>-76.353020999999998</v>
      </c>
      <c r="F526" s="5">
        <v>1430022</v>
      </c>
      <c r="G526" s="5" t="s">
        <v>1752</v>
      </c>
    </row>
    <row r="527" spans="1:7" x14ac:dyDescent="0.3">
      <c r="A527">
        <v>469991</v>
      </c>
      <c r="B527" t="s">
        <v>133</v>
      </c>
      <c r="C527">
        <v>1430022</v>
      </c>
      <c r="D527">
        <v>39.994549999999997</v>
      </c>
      <c r="E527">
        <v>-76.353211999999999</v>
      </c>
      <c r="F527" s="5">
        <v>1430022</v>
      </c>
      <c r="G527" s="5" t="s">
        <v>1752</v>
      </c>
    </row>
    <row r="528" spans="1:7" x14ac:dyDescent="0.3">
      <c r="A528">
        <v>471007</v>
      </c>
      <c r="B528" t="s">
        <v>137</v>
      </c>
      <c r="C528">
        <v>1430022</v>
      </c>
      <c r="D528">
        <v>39.995150000000002</v>
      </c>
      <c r="E528">
        <v>-76.35172</v>
      </c>
      <c r="F528" s="5">
        <v>1430022</v>
      </c>
      <c r="G528" s="5" t="s">
        <v>1752</v>
      </c>
    </row>
    <row r="529" spans="1:7" x14ac:dyDescent="0.3">
      <c r="A529">
        <v>471857</v>
      </c>
      <c r="B529" t="s">
        <v>143</v>
      </c>
      <c r="C529">
        <v>1430022</v>
      </c>
      <c r="D529">
        <v>39.999110000000002</v>
      </c>
      <c r="E529">
        <v>-76.358869999999996</v>
      </c>
      <c r="F529" s="5">
        <v>1430022</v>
      </c>
      <c r="G529" s="5" t="s">
        <v>1752</v>
      </c>
    </row>
    <row r="530" spans="1:7" x14ac:dyDescent="0.3">
      <c r="A530">
        <v>471871</v>
      </c>
      <c r="B530" t="s">
        <v>145</v>
      </c>
      <c r="C530">
        <v>1430022</v>
      </c>
      <c r="D530">
        <v>39.997059999999998</v>
      </c>
      <c r="E530">
        <v>-76.3566</v>
      </c>
      <c r="F530" s="5">
        <v>1430022</v>
      </c>
      <c r="G530" s="5" t="s">
        <v>1752</v>
      </c>
    </row>
    <row r="531" spans="1:7" x14ac:dyDescent="0.3">
      <c r="A531">
        <v>471873</v>
      </c>
      <c r="B531" t="s">
        <v>147</v>
      </c>
      <c r="C531">
        <v>1430022</v>
      </c>
      <c r="D531">
        <v>39.996859999999998</v>
      </c>
      <c r="E531">
        <v>-76.356679999999997</v>
      </c>
      <c r="F531" s="5">
        <v>1430022</v>
      </c>
      <c r="G531" s="5" t="s">
        <v>1752</v>
      </c>
    </row>
    <row r="532" spans="1:7" x14ac:dyDescent="0.3">
      <c r="A532">
        <v>471877</v>
      </c>
      <c r="B532" t="s">
        <v>149</v>
      </c>
      <c r="C532">
        <v>1430022</v>
      </c>
      <c r="D532">
        <v>39.99812</v>
      </c>
      <c r="E532">
        <v>-76.354759999999999</v>
      </c>
      <c r="F532" s="5">
        <v>1430022</v>
      </c>
      <c r="G532" s="5" t="s">
        <v>1752</v>
      </c>
    </row>
    <row r="533" spans="1:7" x14ac:dyDescent="0.3">
      <c r="A533">
        <v>471881</v>
      </c>
      <c r="B533" t="s">
        <v>151</v>
      </c>
      <c r="C533">
        <v>1430022</v>
      </c>
      <c r="D533">
        <v>39.997537000000001</v>
      </c>
      <c r="E533">
        <v>-76.356717000000003</v>
      </c>
      <c r="F533" s="5">
        <v>1430022</v>
      </c>
      <c r="G533" s="5" t="s">
        <v>1752</v>
      </c>
    </row>
    <row r="534" spans="1:7" x14ac:dyDescent="0.3">
      <c r="A534">
        <v>471882</v>
      </c>
      <c r="B534" t="s">
        <v>153</v>
      </c>
      <c r="C534">
        <v>1430022</v>
      </c>
      <c r="D534">
        <v>39.997101999999998</v>
      </c>
      <c r="E534">
        <v>-76.356331999999995</v>
      </c>
      <c r="F534" s="5">
        <v>1430022</v>
      </c>
      <c r="G534" s="5" t="s">
        <v>1752</v>
      </c>
    </row>
    <row r="535" spans="1:7" x14ac:dyDescent="0.3">
      <c r="A535">
        <v>471883</v>
      </c>
      <c r="B535" t="s">
        <v>155</v>
      </c>
      <c r="C535">
        <v>1430022</v>
      </c>
      <c r="D535">
        <v>40.000839999999997</v>
      </c>
      <c r="E535">
        <v>-76.357960000000006</v>
      </c>
      <c r="F535" s="5">
        <v>1430022</v>
      </c>
      <c r="G535" s="5" t="s">
        <v>1752</v>
      </c>
    </row>
    <row r="536" spans="1:7" x14ac:dyDescent="0.3">
      <c r="A536">
        <v>472475</v>
      </c>
      <c r="B536" t="s">
        <v>157</v>
      </c>
      <c r="C536">
        <v>1430022</v>
      </c>
      <c r="D536">
        <v>40.064528000000003</v>
      </c>
      <c r="E536">
        <v>-76.355033000000006</v>
      </c>
      <c r="F536" s="5">
        <v>1430022</v>
      </c>
      <c r="G536" s="5" t="s">
        <v>1752</v>
      </c>
    </row>
    <row r="537" spans="1:7" x14ac:dyDescent="0.3">
      <c r="A537">
        <v>478972</v>
      </c>
      <c r="B537" t="s">
        <v>1575</v>
      </c>
      <c r="C537">
        <v>1430035</v>
      </c>
      <c r="D537">
        <v>40.110886000000001</v>
      </c>
      <c r="E537">
        <v>-76.478297999999995</v>
      </c>
      <c r="F537" s="5">
        <v>1430035</v>
      </c>
      <c r="G537" s="5" t="s">
        <v>1752</v>
      </c>
    </row>
    <row r="538" spans="1:7" x14ac:dyDescent="0.3">
      <c r="A538">
        <v>479939</v>
      </c>
      <c r="B538" t="s">
        <v>162</v>
      </c>
      <c r="C538">
        <v>1430022</v>
      </c>
      <c r="D538">
        <v>40.000396000000002</v>
      </c>
      <c r="E538">
        <v>-76.358413999999996</v>
      </c>
      <c r="F538" s="5">
        <v>1430022</v>
      </c>
      <c r="G538" s="5" t="s">
        <v>1752</v>
      </c>
    </row>
    <row r="539" spans="1:7" x14ac:dyDescent="0.3">
      <c r="A539">
        <v>481876</v>
      </c>
      <c r="B539" t="s">
        <v>1383</v>
      </c>
      <c r="C539">
        <v>1430035</v>
      </c>
      <c r="D539">
        <v>40.096815999999997</v>
      </c>
      <c r="E539">
        <v>-76.507250999999997</v>
      </c>
      <c r="F539" s="5">
        <v>1430035</v>
      </c>
      <c r="G539" s="5" t="s">
        <v>1752</v>
      </c>
    </row>
    <row r="540" spans="1:7" x14ac:dyDescent="0.3">
      <c r="A540">
        <v>239337</v>
      </c>
      <c r="B540" t="s">
        <v>174</v>
      </c>
      <c r="C540">
        <v>1430023</v>
      </c>
      <c r="D540">
        <v>40.656300999999999</v>
      </c>
      <c r="E540">
        <v>-76.086257000000003</v>
      </c>
      <c r="F540" s="5">
        <v>1430023</v>
      </c>
      <c r="G540" s="5" t="s">
        <v>1752</v>
      </c>
    </row>
    <row r="541" spans="1:7" x14ac:dyDescent="0.3">
      <c r="A541">
        <v>241439</v>
      </c>
      <c r="B541" t="s">
        <v>1428</v>
      </c>
      <c r="C541">
        <v>1430033</v>
      </c>
      <c r="D541">
        <v>40.560291999999997</v>
      </c>
      <c r="E541">
        <v>-76.380635999999996</v>
      </c>
      <c r="F541" s="5">
        <v>1430033</v>
      </c>
      <c r="G541" s="5" t="s">
        <v>1752</v>
      </c>
    </row>
    <row r="542" spans="1:7" x14ac:dyDescent="0.3">
      <c r="A542">
        <v>283720</v>
      </c>
      <c r="B542" t="s">
        <v>537</v>
      </c>
      <c r="C542">
        <v>1430033</v>
      </c>
      <c r="D542">
        <v>40.717578000000003</v>
      </c>
      <c r="E542">
        <v>-76.186498</v>
      </c>
      <c r="F542" s="5">
        <v>1430033</v>
      </c>
      <c r="G542" s="5" t="s">
        <v>1752</v>
      </c>
    </row>
    <row r="543" spans="1:7" x14ac:dyDescent="0.3">
      <c r="A543">
        <v>343224</v>
      </c>
      <c r="B543" t="s">
        <v>761</v>
      </c>
      <c r="C543">
        <v>1430023</v>
      </c>
      <c r="D543">
        <v>40.639463999999997</v>
      </c>
      <c r="E543">
        <v>-76.089979</v>
      </c>
      <c r="F543" s="5">
        <v>1430033</v>
      </c>
      <c r="G543" s="4" t="s">
        <v>1753</v>
      </c>
    </row>
    <row r="544" spans="1:7" x14ac:dyDescent="0.3">
      <c r="A544">
        <v>415364</v>
      </c>
      <c r="B544" t="s">
        <v>794</v>
      </c>
      <c r="C544">
        <v>1430033</v>
      </c>
      <c r="D544">
        <v>40.604211999999997</v>
      </c>
      <c r="E544">
        <v>-76.238860000000003</v>
      </c>
      <c r="F544" s="5">
        <v>1430033</v>
      </c>
      <c r="G544" s="5" t="s">
        <v>1752</v>
      </c>
    </row>
    <row r="545" spans="1:7" x14ac:dyDescent="0.3">
      <c r="A545">
        <v>415365</v>
      </c>
      <c r="B545" t="s">
        <v>796</v>
      </c>
      <c r="C545">
        <v>1430023</v>
      </c>
      <c r="D545">
        <v>40.650523999999997</v>
      </c>
      <c r="E545">
        <v>-76.137247000000002</v>
      </c>
      <c r="F545" s="5">
        <v>1430023</v>
      </c>
      <c r="G545" s="5" t="s">
        <v>1752</v>
      </c>
    </row>
    <row r="546" spans="1:7" x14ac:dyDescent="0.3">
      <c r="A546">
        <v>415366</v>
      </c>
      <c r="B546" t="s">
        <v>798</v>
      </c>
      <c r="C546">
        <v>1430023</v>
      </c>
      <c r="D546">
        <v>40.656300999999999</v>
      </c>
      <c r="E546">
        <v>-76.086257000000003</v>
      </c>
      <c r="F546" s="5">
        <v>1430023</v>
      </c>
      <c r="G546" s="5" t="s">
        <v>1752</v>
      </c>
    </row>
    <row r="547" spans="1:7" x14ac:dyDescent="0.3">
      <c r="A547">
        <v>471038</v>
      </c>
      <c r="B547" t="s">
        <v>1316</v>
      </c>
      <c r="C547">
        <v>1430023</v>
      </c>
      <c r="D547">
        <v>40.704056000000001</v>
      </c>
      <c r="E547">
        <v>-76.189610000000002</v>
      </c>
      <c r="F547" s="5">
        <v>1430033</v>
      </c>
      <c r="G547" s="4" t="s">
        <v>1753</v>
      </c>
    </row>
    <row r="548" spans="1:7" x14ac:dyDescent="0.3">
      <c r="A548">
        <v>471038</v>
      </c>
      <c r="B548" t="s">
        <v>1316</v>
      </c>
      <c r="C548">
        <v>1430023</v>
      </c>
      <c r="D548">
        <v>40.704056000000001</v>
      </c>
      <c r="E548">
        <v>-76.189610000000002</v>
      </c>
      <c r="F548" s="5">
        <v>1430033</v>
      </c>
      <c r="G548" s="4" t="s">
        <v>1753</v>
      </c>
    </row>
    <row r="549" spans="1:7" x14ac:dyDescent="0.3">
      <c r="A549">
        <v>471126</v>
      </c>
      <c r="B549" t="s">
        <v>1318</v>
      </c>
      <c r="C549">
        <v>1430033</v>
      </c>
      <c r="D549">
        <v>40.721480999999997</v>
      </c>
      <c r="E549">
        <v>-76.318468999999993</v>
      </c>
      <c r="F549" s="5">
        <v>1430033</v>
      </c>
      <c r="G549" s="5" t="s">
        <v>1752</v>
      </c>
    </row>
    <row r="550" spans="1:7" x14ac:dyDescent="0.3">
      <c r="A550">
        <v>474411</v>
      </c>
      <c r="B550" t="s">
        <v>798</v>
      </c>
      <c r="C550">
        <v>1430023</v>
      </c>
      <c r="D550">
        <v>40.656300999999999</v>
      </c>
      <c r="E550">
        <v>-76.086257000000003</v>
      </c>
      <c r="F550" s="5">
        <v>1430023</v>
      </c>
      <c r="G550" s="5" t="s">
        <v>1752</v>
      </c>
    </row>
    <row r="551" spans="1:7" x14ac:dyDescent="0.3">
      <c r="A551">
        <v>483291</v>
      </c>
      <c r="B551" t="s">
        <v>1400</v>
      </c>
      <c r="C551">
        <v>1430023</v>
      </c>
      <c r="D551">
        <v>40.674320999999999</v>
      </c>
      <c r="E551">
        <v>-76.222746999999998</v>
      </c>
      <c r="F551" s="5">
        <v>1430033</v>
      </c>
      <c r="G551" s="4" t="s">
        <v>1753</v>
      </c>
    </row>
    <row r="552" spans="1:7" x14ac:dyDescent="0.3">
      <c r="A552">
        <v>239367</v>
      </c>
      <c r="B552" t="s">
        <v>11</v>
      </c>
      <c r="C552">
        <v>1430024</v>
      </c>
      <c r="D552">
        <v>40.086520999999998</v>
      </c>
      <c r="E552">
        <v>-76.284153000000003</v>
      </c>
      <c r="F552" s="5">
        <v>1430016</v>
      </c>
      <c r="G552" s="4" t="s">
        <v>1753</v>
      </c>
    </row>
    <row r="553" spans="1:7" x14ac:dyDescent="0.3">
      <c r="A553">
        <v>239767</v>
      </c>
      <c r="B553" t="s">
        <v>186</v>
      </c>
      <c r="C553">
        <v>1430016</v>
      </c>
      <c r="D553">
        <v>40.141624999999998</v>
      </c>
      <c r="E553">
        <v>-76.290665000000004</v>
      </c>
      <c r="F553" s="5">
        <v>1430016</v>
      </c>
      <c r="G553" s="5" t="s">
        <v>1752</v>
      </c>
    </row>
    <row r="554" spans="1:7" x14ac:dyDescent="0.3">
      <c r="A554">
        <v>240707</v>
      </c>
      <c r="B554" t="s">
        <v>240</v>
      </c>
      <c r="C554">
        <v>1430024</v>
      </c>
      <c r="D554">
        <v>40.118400000000001</v>
      </c>
      <c r="E554">
        <v>-76.301630000000003</v>
      </c>
      <c r="F554" s="5">
        <v>1430016</v>
      </c>
      <c r="G554" s="4" t="s">
        <v>1753</v>
      </c>
    </row>
    <row r="555" spans="1:7" x14ac:dyDescent="0.3">
      <c r="A555">
        <v>240713</v>
      </c>
      <c r="B555" t="s">
        <v>35</v>
      </c>
      <c r="C555">
        <v>1430022</v>
      </c>
      <c r="D555">
        <v>40.073557000000001</v>
      </c>
      <c r="E555">
        <v>-76.288150999999999</v>
      </c>
      <c r="F555" s="5">
        <v>1430022</v>
      </c>
      <c r="G555" s="5" t="s">
        <v>1752</v>
      </c>
    </row>
    <row r="556" spans="1:7" x14ac:dyDescent="0.3">
      <c r="A556">
        <v>240814</v>
      </c>
      <c r="B556" t="s">
        <v>252</v>
      </c>
      <c r="C556">
        <v>1430016</v>
      </c>
      <c r="D556">
        <v>40.11204</v>
      </c>
      <c r="E556">
        <v>-76.268609999999995</v>
      </c>
      <c r="F556" s="5">
        <v>1430016</v>
      </c>
      <c r="G556" s="5" t="s">
        <v>1752</v>
      </c>
    </row>
    <row r="557" spans="1:7" x14ac:dyDescent="0.3">
      <c r="A557">
        <v>240899</v>
      </c>
      <c r="B557" t="s">
        <v>260</v>
      </c>
      <c r="C557">
        <v>1430016</v>
      </c>
      <c r="D557">
        <v>40.153334999999998</v>
      </c>
      <c r="E557">
        <v>-76.314532999999997</v>
      </c>
      <c r="F557" s="5">
        <v>1430016</v>
      </c>
      <c r="G557" s="5" t="s">
        <v>1752</v>
      </c>
    </row>
    <row r="558" spans="1:7" x14ac:dyDescent="0.3">
      <c r="A558">
        <v>240902</v>
      </c>
      <c r="B558" t="s">
        <v>262</v>
      </c>
      <c r="C558">
        <v>1430016</v>
      </c>
      <c r="D558">
        <v>40.155672000000003</v>
      </c>
      <c r="E558">
        <v>-76.302458000000001</v>
      </c>
      <c r="F558" s="5">
        <v>1430016</v>
      </c>
      <c r="G558" s="5" t="s">
        <v>1752</v>
      </c>
    </row>
    <row r="559" spans="1:7" x14ac:dyDescent="0.3">
      <c r="A559">
        <v>240906</v>
      </c>
      <c r="B559" t="s">
        <v>264</v>
      </c>
      <c r="C559">
        <v>1430016</v>
      </c>
      <c r="D559">
        <v>40.158211999999999</v>
      </c>
      <c r="E559">
        <v>-76.307837000000006</v>
      </c>
      <c r="F559" s="5">
        <v>1430016</v>
      </c>
      <c r="G559" s="5" t="s">
        <v>1752</v>
      </c>
    </row>
    <row r="560" spans="1:7" x14ac:dyDescent="0.3">
      <c r="A560">
        <v>241156</v>
      </c>
      <c r="B560" t="s">
        <v>272</v>
      </c>
      <c r="C560">
        <v>1430016</v>
      </c>
      <c r="D560">
        <v>40.152245000000001</v>
      </c>
      <c r="E560">
        <v>-76.311851000000004</v>
      </c>
      <c r="F560" s="5">
        <v>1430016</v>
      </c>
      <c r="G560" s="5" t="s">
        <v>1752</v>
      </c>
    </row>
    <row r="561" spans="1:7" x14ac:dyDescent="0.3">
      <c r="A561">
        <v>241273</v>
      </c>
      <c r="B561" t="s">
        <v>49</v>
      </c>
      <c r="C561">
        <v>1430024</v>
      </c>
      <c r="D561">
        <v>40.103655000000003</v>
      </c>
      <c r="E561">
        <v>-76.291967</v>
      </c>
      <c r="F561" s="5">
        <v>1430024</v>
      </c>
      <c r="G561" s="5" t="s">
        <v>1752</v>
      </c>
    </row>
    <row r="562" spans="1:7" x14ac:dyDescent="0.3">
      <c r="A562">
        <v>241646</v>
      </c>
      <c r="B562" t="s">
        <v>294</v>
      </c>
      <c r="C562">
        <v>1430016</v>
      </c>
      <c r="D562">
        <v>40.129190000000001</v>
      </c>
      <c r="E562">
        <v>-76.216041000000004</v>
      </c>
      <c r="F562" s="5">
        <v>1430016</v>
      </c>
      <c r="G562" s="5" t="s">
        <v>1752</v>
      </c>
    </row>
    <row r="563" spans="1:7" x14ac:dyDescent="0.3">
      <c r="A563">
        <v>241912</v>
      </c>
      <c r="B563" t="s">
        <v>59</v>
      </c>
      <c r="C563">
        <v>1430024</v>
      </c>
      <c r="D563">
        <v>40.090249</v>
      </c>
      <c r="E563">
        <v>-76.292522000000005</v>
      </c>
      <c r="F563" s="5">
        <v>1430024</v>
      </c>
      <c r="G563" s="5" t="s">
        <v>1752</v>
      </c>
    </row>
    <row r="564" spans="1:7" x14ac:dyDescent="0.3">
      <c r="A564">
        <v>241946</v>
      </c>
      <c r="B564" t="s">
        <v>63</v>
      </c>
      <c r="C564">
        <v>1430024</v>
      </c>
      <c r="D564">
        <v>40.088082999999997</v>
      </c>
      <c r="E564">
        <v>-76.306348999999997</v>
      </c>
      <c r="F564" s="5">
        <v>1430024</v>
      </c>
      <c r="G564" s="5" t="s">
        <v>1752</v>
      </c>
    </row>
    <row r="565" spans="1:7" x14ac:dyDescent="0.3">
      <c r="A565">
        <v>241974</v>
      </c>
      <c r="B565" t="s">
        <v>1468</v>
      </c>
      <c r="C565">
        <v>1430021</v>
      </c>
      <c r="D565">
        <v>40.087468000000001</v>
      </c>
      <c r="E565">
        <v>-76.205771999999996</v>
      </c>
      <c r="F565" s="5">
        <v>1430021</v>
      </c>
      <c r="G565" s="5" t="s">
        <v>1752</v>
      </c>
    </row>
    <row r="566" spans="1:7" x14ac:dyDescent="0.3">
      <c r="A566">
        <v>242119</v>
      </c>
      <c r="B566" t="s">
        <v>320</v>
      </c>
      <c r="C566">
        <v>1430021</v>
      </c>
      <c r="D566">
        <v>40.082515000000001</v>
      </c>
      <c r="E566">
        <v>-76.229799999999997</v>
      </c>
      <c r="F566" s="5">
        <v>1430016</v>
      </c>
      <c r="G566" s="4" t="s">
        <v>1753</v>
      </c>
    </row>
    <row r="567" spans="1:7" x14ac:dyDescent="0.3">
      <c r="A567">
        <v>283078</v>
      </c>
      <c r="B567" t="s">
        <v>535</v>
      </c>
      <c r="C567">
        <v>1430024</v>
      </c>
      <c r="D567">
        <v>40.111051000000003</v>
      </c>
      <c r="E567">
        <v>-76.288878999999994</v>
      </c>
      <c r="F567" s="5">
        <v>1430016</v>
      </c>
      <c r="G567" s="4" t="s">
        <v>1753</v>
      </c>
    </row>
    <row r="568" spans="1:7" x14ac:dyDescent="0.3">
      <c r="A568">
        <v>292303</v>
      </c>
      <c r="B568" t="s">
        <v>557</v>
      </c>
      <c r="C568">
        <v>1430016</v>
      </c>
      <c r="D568">
        <v>40.145771000000003</v>
      </c>
      <c r="E568">
        <v>-76.31174</v>
      </c>
      <c r="F568" s="5">
        <v>1430016</v>
      </c>
      <c r="G568" s="5" t="s">
        <v>1752</v>
      </c>
    </row>
    <row r="569" spans="1:7" x14ac:dyDescent="0.3">
      <c r="A569">
        <v>307286</v>
      </c>
      <c r="B569" t="s">
        <v>645</v>
      </c>
      <c r="C569">
        <v>1430016</v>
      </c>
      <c r="D569">
        <v>40.145899</v>
      </c>
      <c r="E569">
        <v>-76.298991000000001</v>
      </c>
      <c r="F569" s="5">
        <v>1430016</v>
      </c>
      <c r="G569" s="5" t="s">
        <v>1752</v>
      </c>
    </row>
    <row r="570" spans="1:7" x14ac:dyDescent="0.3">
      <c r="A570">
        <v>310018</v>
      </c>
      <c r="B570" t="s">
        <v>1515</v>
      </c>
      <c r="C570">
        <v>1430021</v>
      </c>
      <c r="D570">
        <v>40.084142</v>
      </c>
      <c r="E570">
        <v>-76.219053000000002</v>
      </c>
      <c r="F570" s="5">
        <v>1430021</v>
      </c>
      <c r="G570" s="5" t="s">
        <v>1752</v>
      </c>
    </row>
    <row r="571" spans="1:7" x14ac:dyDescent="0.3">
      <c r="A571">
        <v>343470</v>
      </c>
      <c r="B571" t="s">
        <v>765</v>
      </c>
      <c r="C571">
        <v>1430024</v>
      </c>
      <c r="D571">
        <v>40.095570000000002</v>
      </c>
      <c r="E571">
        <v>-76.306619999999995</v>
      </c>
      <c r="F571" s="5">
        <v>1430024</v>
      </c>
      <c r="G571" s="5" t="s">
        <v>1752</v>
      </c>
    </row>
    <row r="572" spans="1:7" x14ac:dyDescent="0.3">
      <c r="A572">
        <v>415719</v>
      </c>
      <c r="B572" t="s">
        <v>819</v>
      </c>
      <c r="C572">
        <v>1430016</v>
      </c>
      <c r="D572">
        <v>40.139305</v>
      </c>
      <c r="E572">
        <v>-76.302580000000006</v>
      </c>
      <c r="F572" s="5">
        <v>1430016</v>
      </c>
      <c r="G572" s="5" t="s">
        <v>1752</v>
      </c>
    </row>
    <row r="573" spans="1:7" x14ac:dyDescent="0.3">
      <c r="A573">
        <v>415723</v>
      </c>
      <c r="B573" t="s">
        <v>1531</v>
      </c>
      <c r="C573">
        <v>1430016</v>
      </c>
      <c r="D573">
        <v>40.127992999999996</v>
      </c>
      <c r="E573">
        <v>-76.307530999999997</v>
      </c>
      <c r="F573" s="5">
        <v>1430016</v>
      </c>
      <c r="G573" s="5" t="s">
        <v>1752</v>
      </c>
    </row>
    <row r="574" spans="1:7" x14ac:dyDescent="0.3">
      <c r="A574">
        <v>423135</v>
      </c>
      <c r="B574" t="s">
        <v>992</v>
      </c>
      <c r="C574">
        <v>1430016</v>
      </c>
      <c r="D574">
        <v>40.076079</v>
      </c>
      <c r="E574">
        <v>-76.241472000000002</v>
      </c>
      <c r="F574" s="5">
        <v>1430016</v>
      </c>
      <c r="G574" s="5" t="s">
        <v>1752</v>
      </c>
    </row>
    <row r="575" spans="1:7" x14ac:dyDescent="0.3">
      <c r="A575">
        <v>423136</v>
      </c>
      <c r="B575" t="s">
        <v>994</v>
      </c>
      <c r="C575">
        <v>1430021</v>
      </c>
      <c r="D575">
        <v>40.088470999999998</v>
      </c>
      <c r="E575">
        <v>-76.192857000000004</v>
      </c>
      <c r="F575" s="5">
        <v>1430021</v>
      </c>
      <c r="G575" s="5" t="s">
        <v>1752</v>
      </c>
    </row>
    <row r="576" spans="1:7" x14ac:dyDescent="0.3">
      <c r="A576">
        <v>423140</v>
      </c>
      <c r="B576" t="s">
        <v>998</v>
      </c>
      <c r="C576">
        <v>1430016</v>
      </c>
      <c r="D576">
        <v>40.123569000000003</v>
      </c>
      <c r="E576">
        <v>-76.210605000000001</v>
      </c>
      <c r="F576" s="5">
        <v>1430016</v>
      </c>
      <c r="G576" s="5" t="s">
        <v>1752</v>
      </c>
    </row>
    <row r="577" spans="1:7" x14ac:dyDescent="0.3">
      <c r="A577">
        <v>442577</v>
      </c>
      <c r="B577" t="s">
        <v>1121</v>
      </c>
      <c r="C577">
        <v>1430016</v>
      </c>
      <c r="D577">
        <v>40.152186</v>
      </c>
      <c r="E577">
        <v>-76.292050000000003</v>
      </c>
      <c r="F577" s="5">
        <v>1430016</v>
      </c>
      <c r="G577" s="5" t="s">
        <v>1752</v>
      </c>
    </row>
    <row r="578" spans="1:7" x14ac:dyDescent="0.3">
      <c r="A578">
        <v>449739</v>
      </c>
      <c r="B578" t="s">
        <v>1557</v>
      </c>
      <c r="C578">
        <v>1430024</v>
      </c>
      <c r="D578">
        <v>40.102820000000001</v>
      </c>
      <c r="E578">
        <v>-76.299490000000006</v>
      </c>
      <c r="F578" s="5">
        <v>1430024</v>
      </c>
      <c r="G578" s="5" t="s">
        <v>1752</v>
      </c>
    </row>
    <row r="579" spans="1:7" x14ac:dyDescent="0.3">
      <c r="A579">
        <v>449766</v>
      </c>
      <c r="B579" t="s">
        <v>1152</v>
      </c>
      <c r="C579">
        <v>1430024</v>
      </c>
      <c r="D579">
        <v>40.098956000000001</v>
      </c>
      <c r="E579">
        <v>-76.294497000000007</v>
      </c>
      <c r="F579" s="5">
        <v>1430024</v>
      </c>
      <c r="G579" s="5" t="s">
        <v>1752</v>
      </c>
    </row>
    <row r="580" spans="1:7" x14ac:dyDescent="0.3">
      <c r="A580">
        <v>449771</v>
      </c>
      <c r="B580" t="s">
        <v>1154</v>
      </c>
      <c r="C580">
        <v>1430024</v>
      </c>
      <c r="D580">
        <v>40.100937999999999</v>
      </c>
      <c r="E580">
        <v>-76.304263000000006</v>
      </c>
      <c r="F580" s="5">
        <v>1430024</v>
      </c>
      <c r="G580" s="5" t="s">
        <v>1752</v>
      </c>
    </row>
    <row r="581" spans="1:7" x14ac:dyDescent="0.3">
      <c r="A581">
        <v>473996</v>
      </c>
      <c r="B581" t="s">
        <v>1336</v>
      </c>
      <c r="C581">
        <v>1430022</v>
      </c>
      <c r="D581">
        <v>40.051969999999997</v>
      </c>
      <c r="E581">
        <v>-76.255880000000005</v>
      </c>
      <c r="F581" s="5">
        <v>1430022</v>
      </c>
      <c r="G581" s="5" t="s">
        <v>1752</v>
      </c>
    </row>
    <row r="582" spans="1:7" x14ac:dyDescent="0.3">
      <c r="A582">
        <v>479426</v>
      </c>
      <c r="B582" t="s">
        <v>1350</v>
      </c>
      <c r="C582">
        <v>1430024</v>
      </c>
      <c r="D582">
        <v>40.099919999999997</v>
      </c>
      <c r="E582">
        <v>-76.302239999999998</v>
      </c>
      <c r="F582" s="5">
        <v>1430024</v>
      </c>
      <c r="G582" s="5" t="s">
        <v>1752</v>
      </c>
    </row>
    <row r="583" spans="1:7" x14ac:dyDescent="0.3">
      <c r="A583">
        <v>480312</v>
      </c>
      <c r="B583" t="s">
        <v>164</v>
      </c>
      <c r="C583">
        <v>1430024</v>
      </c>
      <c r="D583">
        <v>40.081429</v>
      </c>
      <c r="E583">
        <v>-76.292536999999996</v>
      </c>
      <c r="F583" s="5">
        <v>1430024</v>
      </c>
      <c r="G583" s="5" t="s">
        <v>1752</v>
      </c>
    </row>
    <row r="584" spans="1:7" x14ac:dyDescent="0.3">
      <c r="A584">
        <v>239004</v>
      </c>
      <c r="B584" t="s">
        <v>5</v>
      </c>
      <c r="C584">
        <v>1430021</v>
      </c>
      <c r="D584">
        <v>39.985284999999998</v>
      </c>
      <c r="E584">
        <v>-76.271686000000003</v>
      </c>
      <c r="F584" s="5">
        <v>1430021</v>
      </c>
      <c r="G584" s="5" t="s">
        <v>1752</v>
      </c>
    </row>
    <row r="585" spans="1:7" x14ac:dyDescent="0.3">
      <c r="A585">
        <v>239198</v>
      </c>
      <c r="B585" t="s">
        <v>7</v>
      </c>
      <c r="C585">
        <v>1430022</v>
      </c>
      <c r="D585">
        <v>40.043202999999998</v>
      </c>
      <c r="E585">
        <v>-76.307557000000003</v>
      </c>
      <c r="F585" s="5">
        <v>1430022</v>
      </c>
      <c r="G585" s="5" t="s">
        <v>1752</v>
      </c>
    </row>
    <row r="586" spans="1:7" x14ac:dyDescent="0.3">
      <c r="A586">
        <v>239230</v>
      </c>
      <c r="B586" t="s">
        <v>9</v>
      </c>
      <c r="C586">
        <v>1430022</v>
      </c>
      <c r="D586">
        <v>40.069428000000002</v>
      </c>
      <c r="E586">
        <v>-76.330018999999993</v>
      </c>
      <c r="F586" s="5">
        <v>1430022</v>
      </c>
      <c r="G586" s="5" t="s">
        <v>1752</v>
      </c>
    </row>
    <row r="587" spans="1:7" x14ac:dyDescent="0.3">
      <c r="A587">
        <v>239466</v>
      </c>
      <c r="B587" t="s">
        <v>13</v>
      </c>
      <c r="C587">
        <v>1430022</v>
      </c>
      <c r="D587">
        <v>40.061166</v>
      </c>
      <c r="E587">
        <v>-76.294877</v>
      </c>
      <c r="F587" s="5">
        <v>1430022</v>
      </c>
      <c r="G587" s="5" t="s">
        <v>1752</v>
      </c>
    </row>
    <row r="588" spans="1:7" x14ac:dyDescent="0.3">
      <c r="A588">
        <v>239535</v>
      </c>
      <c r="B588" t="s">
        <v>15</v>
      </c>
      <c r="C588">
        <v>1430022</v>
      </c>
      <c r="D588">
        <v>40.074252000000001</v>
      </c>
      <c r="E588">
        <v>-76.335403999999997</v>
      </c>
      <c r="F588" s="5">
        <v>1430022</v>
      </c>
      <c r="G588" s="5" t="s">
        <v>1752</v>
      </c>
    </row>
    <row r="589" spans="1:7" x14ac:dyDescent="0.3">
      <c r="A589">
        <v>240050</v>
      </c>
      <c r="B589" t="s">
        <v>23</v>
      </c>
      <c r="C589">
        <v>1430022</v>
      </c>
      <c r="D589">
        <v>40.070067000000002</v>
      </c>
      <c r="E589">
        <v>-76.325703000000004</v>
      </c>
      <c r="F589" s="5">
        <v>1430022</v>
      </c>
      <c r="G589" s="5" t="s">
        <v>1752</v>
      </c>
    </row>
    <row r="590" spans="1:7" x14ac:dyDescent="0.3">
      <c r="A590">
        <v>240093</v>
      </c>
      <c r="B590" t="s">
        <v>214</v>
      </c>
      <c r="C590">
        <v>1430022</v>
      </c>
      <c r="D590">
        <v>40.043090999999997</v>
      </c>
      <c r="E590">
        <v>-76.305161999999996</v>
      </c>
      <c r="F590" s="5">
        <v>1430022</v>
      </c>
      <c r="G590" s="5" t="s">
        <v>1752</v>
      </c>
    </row>
    <row r="591" spans="1:7" x14ac:dyDescent="0.3">
      <c r="A591">
        <v>240461</v>
      </c>
      <c r="B591" t="s">
        <v>29</v>
      </c>
      <c r="C591">
        <v>1430022</v>
      </c>
      <c r="D591">
        <v>40.073239999999998</v>
      </c>
      <c r="E591">
        <v>-76.333036000000007</v>
      </c>
      <c r="F591" s="5">
        <v>1430022</v>
      </c>
      <c r="G591" s="5" t="s">
        <v>1752</v>
      </c>
    </row>
    <row r="592" spans="1:7" x14ac:dyDescent="0.3">
      <c r="A592">
        <v>240578</v>
      </c>
      <c r="B592" t="s">
        <v>31</v>
      </c>
      <c r="C592">
        <v>1430022</v>
      </c>
      <c r="D592">
        <v>40.066963999999999</v>
      </c>
      <c r="E592">
        <v>-76.327190999999999</v>
      </c>
      <c r="F592" s="5">
        <v>1430022</v>
      </c>
      <c r="G592" s="5" t="s">
        <v>1752</v>
      </c>
    </row>
    <row r="593" spans="1:7" x14ac:dyDescent="0.3">
      <c r="A593">
        <v>240617</v>
      </c>
      <c r="B593" t="s">
        <v>33</v>
      </c>
      <c r="C593">
        <v>1430022</v>
      </c>
      <c r="D593">
        <v>40.063932000000001</v>
      </c>
      <c r="E593">
        <v>-76.325395999999998</v>
      </c>
      <c r="F593" s="5">
        <v>1430022</v>
      </c>
      <c r="G593" s="5" t="s">
        <v>1752</v>
      </c>
    </row>
    <row r="594" spans="1:7" x14ac:dyDescent="0.3">
      <c r="A594">
        <v>240716</v>
      </c>
      <c r="B594" t="s">
        <v>37</v>
      </c>
      <c r="C594">
        <v>1430022</v>
      </c>
      <c r="D594">
        <v>40.073300000000003</v>
      </c>
      <c r="E594">
        <v>-76.318481000000006</v>
      </c>
      <c r="F594" s="5">
        <v>1430022</v>
      </c>
      <c r="G594" s="5" t="s">
        <v>1752</v>
      </c>
    </row>
    <row r="595" spans="1:7" x14ac:dyDescent="0.3">
      <c r="A595">
        <v>240722</v>
      </c>
      <c r="B595" t="s">
        <v>39</v>
      </c>
      <c r="C595">
        <v>1430022</v>
      </c>
      <c r="D595">
        <v>40.075510000000001</v>
      </c>
      <c r="E595">
        <v>-76.320400000000006</v>
      </c>
      <c r="F595" s="5">
        <v>1430022</v>
      </c>
      <c r="G595" s="5" t="s">
        <v>1752</v>
      </c>
    </row>
    <row r="596" spans="1:7" x14ac:dyDescent="0.3">
      <c r="A596">
        <v>240729</v>
      </c>
      <c r="B596" t="s">
        <v>41</v>
      </c>
      <c r="C596">
        <v>1430021</v>
      </c>
      <c r="D596">
        <v>39.984758999999997</v>
      </c>
      <c r="E596">
        <v>-76.266395000000003</v>
      </c>
      <c r="F596" s="5">
        <v>1430021</v>
      </c>
      <c r="G596" s="5" t="s">
        <v>1752</v>
      </c>
    </row>
    <row r="597" spans="1:7" x14ac:dyDescent="0.3">
      <c r="A597">
        <v>240746</v>
      </c>
      <c r="B597" t="s">
        <v>244</v>
      </c>
      <c r="C597">
        <v>1430022</v>
      </c>
      <c r="D597">
        <v>40.035319000000001</v>
      </c>
      <c r="E597">
        <v>-76.302108000000004</v>
      </c>
      <c r="F597" s="5">
        <v>1430022</v>
      </c>
      <c r="G597" s="5" t="s">
        <v>1752</v>
      </c>
    </row>
    <row r="598" spans="1:7" x14ac:dyDescent="0.3">
      <c r="A598">
        <v>240755</v>
      </c>
      <c r="B598" t="s">
        <v>246</v>
      </c>
      <c r="C598">
        <v>1430022</v>
      </c>
      <c r="D598">
        <v>40.041960000000003</v>
      </c>
      <c r="E598">
        <v>-76.306240000000003</v>
      </c>
      <c r="F598" s="5">
        <v>1430022</v>
      </c>
      <c r="G598" s="5" t="s">
        <v>1752</v>
      </c>
    </row>
    <row r="599" spans="1:7" x14ac:dyDescent="0.3">
      <c r="A599">
        <v>240798</v>
      </c>
      <c r="B599" t="s">
        <v>43</v>
      </c>
      <c r="C599">
        <v>1430022</v>
      </c>
      <c r="D599">
        <v>40.054372999999998</v>
      </c>
      <c r="E599">
        <v>-76.282469000000006</v>
      </c>
      <c r="F599" s="5">
        <v>1430022</v>
      </c>
      <c r="G599" s="5" t="s">
        <v>1752</v>
      </c>
    </row>
    <row r="600" spans="1:7" x14ac:dyDescent="0.3">
      <c r="A600">
        <v>241049</v>
      </c>
      <c r="B600" t="s">
        <v>47</v>
      </c>
      <c r="C600">
        <v>1430022</v>
      </c>
      <c r="D600">
        <v>40.050809999999998</v>
      </c>
      <c r="E600">
        <v>-76.323750000000004</v>
      </c>
      <c r="F600" s="5">
        <v>1430022</v>
      </c>
      <c r="G600" s="5" t="s">
        <v>1752</v>
      </c>
    </row>
    <row r="601" spans="1:7" x14ac:dyDescent="0.3">
      <c r="A601">
        <v>241250</v>
      </c>
      <c r="B601" t="s">
        <v>280</v>
      </c>
      <c r="C601">
        <v>1430022</v>
      </c>
      <c r="D601">
        <v>40.026200000000003</v>
      </c>
      <c r="E601">
        <v>-76.264634999999998</v>
      </c>
      <c r="F601" s="5">
        <v>1430022</v>
      </c>
      <c r="G601" s="5" t="s">
        <v>1752</v>
      </c>
    </row>
    <row r="602" spans="1:7" x14ac:dyDescent="0.3">
      <c r="A602">
        <v>241299</v>
      </c>
      <c r="B602" t="s">
        <v>51</v>
      </c>
      <c r="C602">
        <v>1430022</v>
      </c>
      <c r="D602">
        <v>40.054817999999997</v>
      </c>
      <c r="E602">
        <v>-76.295393000000004</v>
      </c>
      <c r="F602" s="5">
        <v>1430022</v>
      </c>
      <c r="G602" s="5" t="s">
        <v>1752</v>
      </c>
    </row>
    <row r="603" spans="1:7" x14ac:dyDescent="0.3">
      <c r="A603">
        <v>241332</v>
      </c>
      <c r="B603" t="s">
        <v>288</v>
      </c>
      <c r="C603">
        <v>1430022</v>
      </c>
      <c r="D603">
        <v>40.041241999999997</v>
      </c>
      <c r="E603">
        <v>-76.308729999999997</v>
      </c>
      <c r="F603" s="5">
        <v>1430022</v>
      </c>
      <c r="G603" s="5" t="s">
        <v>1752</v>
      </c>
    </row>
    <row r="604" spans="1:7" x14ac:dyDescent="0.3">
      <c r="A604">
        <v>241925</v>
      </c>
      <c r="B604" t="s">
        <v>61</v>
      </c>
      <c r="C604">
        <v>1430022</v>
      </c>
      <c r="D604">
        <v>40.035778000000001</v>
      </c>
      <c r="E604">
        <v>-76.307051999999999</v>
      </c>
      <c r="F604" s="5">
        <v>1430022</v>
      </c>
      <c r="G604" s="5" t="s">
        <v>1752</v>
      </c>
    </row>
    <row r="605" spans="1:7" x14ac:dyDescent="0.3">
      <c r="A605">
        <v>242080</v>
      </c>
      <c r="B605" t="s">
        <v>1469</v>
      </c>
      <c r="C605">
        <v>1430022</v>
      </c>
      <c r="D605">
        <v>40.037987999999999</v>
      </c>
      <c r="E605">
        <v>-76.288775000000001</v>
      </c>
      <c r="F605" s="5">
        <v>1430022</v>
      </c>
      <c r="G605" s="5" t="s">
        <v>1752</v>
      </c>
    </row>
    <row r="606" spans="1:7" x14ac:dyDescent="0.3">
      <c r="A606">
        <v>242100</v>
      </c>
      <c r="B606" t="s">
        <v>67</v>
      </c>
      <c r="C606">
        <v>1430022</v>
      </c>
      <c r="D606">
        <v>40.064664999999998</v>
      </c>
      <c r="E606">
        <v>-76.344931000000003</v>
      </c>
      <c r="F606" s="5">
        <v>1430022</v>
      </c>
      <c r="G606" s="5" t="s">
        <v>1752</v>
      </c>
    </row>
    <row r="607" spans="1:7" x14ac:dyDescent="0.3">
      <c r="A607">
        <v>242110</v>
      </c>
      <c r="B607" t="s">
        <v>69</v>
      </c>
      <c r="C607">
        <v>1430022</v>
      </c>
      <c r="D607">
        <v>40.035533000000001</v>
      </c>
      <c r="E607">
        <v>-76.304686000000004</v>
      </c>
      <c r="F607" s="5">
        <v>1430022</v>
      </c>
      <c r="G607" s="5" t="s">
        <v>1752</v>
      </c>
    </row>
    <row r="608" spans="1:7" x14ac:dyDescent="0.3">
      <c r="A608">
        <v>242211</v>
      </c>
      <c r="B608" t="s">
        <v>73</v>
      </c>
      <c r="C608">
        <v>1430022</v>
      </c>
      <c r="D608">
        <v>40.039841000000003</v>
      </c>
      <c r="E608">
        <v>-76.316721000000001</v>
      </c>
      <c r="F608" s="5">
        <v>1430022</v>
      </c>
      <c r="G608" s="5" t="s">
        <v>1752</v>
      </c>
    </row>
    <row r="609" spans="1:7" x14ac:dyDescent="0.3">
      <c r="A609">
        <v>247312</v>
      </c>
      <c r="B609" t="s">
        <v>455</v>
      </c>
      <c r="C609">
        <v>1430022</v>
      </c>
      <c r="D609">
        <v>40.026439000000003</v>
      </c>
      <c r="E609">
        <v>-76.288203999999993</v>
      </c>
      <c r="F609" s="5">
        <v>1430022</v>
      </c>
      <c r="G609" s="5" t="s">
        <v>1752</v>
      </c>
    </row>
    <row r="610" spans="1:7" x14ac:dyDescent="0.3">
      <c r="A610">
        <v>255873</v>
      </c>
      <c r="B610" t="s">
        <v>79</v>
      </c>
      <c r="C610">
        <v>1430022</v>
      </c>
      <c r="D610">
        <v>40.045422000000002</v>
      </c>
      <c r="E610">
        <v>-76.310023999999999</v>
      </c>
      <c r="F610" s="5">
        <v>1430022</v>
      </c>
      <c r="G610" s="5" t="s">
        <v>1752</v>
      </c>
    </row>
    <row r="611" spans="1:7" x14ac:dyDescent="0.3">
      <c r="A611">
        <v>264275</v>
      </c>
      <c r="B611" t="s">
        <v>81</v>
      </c>
      <c r="C611">
        <v>1430022</v>
      </c>
      <c r="D611">
        <v>40.085711000000003</v>
      </c>
      <c r="E611">
        <v>-76.339247999999998</v>
      </c>
      <c r="F611" s="5">
        <v>1430022</v>
      </c>
      <c r="G611" s="5" t="s">
        <v>1752</v>
      </c>
    </row>
    <row r="612" spans="1:7" x14ac:dyDescent="0.3">
      <c r="A612">
        <v>265980</v>
      </c>
      <c r="B612" t="s">
        <v>87</v>
      </c>
      <c r="C612">
        <v>1430022</v>
      </c>
      <c r="D612">
        <v>40.074435999999999</v>
      </c>
      <c r="E612">
        <v>-76.328029000000001</v>
      </c>
      <c r="F612" s="5">
        <v>1430022</v>
      </c>
      <c r="G612" s="5" t="s">
        <v>1752</v>
      </c>
    </row>
    <row r="613" spans="1:7" x14ac:dyDescent="0.3">
      <c r="A613">
        <v>268257</v>
      </c>
      <c r="B613" t="s">
        <v>89</v>
      </c>
      <c r="C613">
        <v>1430022</v>
      </c>
      <c r="D613">
        <v>40.056548999999997</v>
      </c>
      <c r="E613">
        <v>-76.328203999999999</v>
      </c>
      <c r="F613" s="5">
        <v>1430022</v>
      </c>
      <c r="G613" s="5" t="s">
        <v>1752</v>
      </c>
    </row>
    <row r="614" spans="1:7" x14ac:dyDescent="0.3">
      <c r="A614">
        <v>273732</v>
      </c>
      <c r="B614" t="s">
        <v>91</v>
      </c>
      <c r="C614">
        <v>1430022</v>
      </c>
      <c r="D614">
        <v>40.074733999999999</v>
      </c>
      <c r="E614">
        <v>-76.312886000000006</v>
      </c>
      <c r="F614" s="5">
        <v>1430022</v>
      </c>
      <c r="G614" s="5" t="s">
        <v>1752</v>
      </c>
    </row>
    <row r="615" spans="1:7" x14ac:dyDescent="0.3">
      <c r="A615">
        <v>281240</v>
      </c>
      <c r="B615" t="s">
        <v>159</v>
      </c>
      <c r="C615">
        <v>1430022</v>
      </c>
      <c r="D615">
        <v>40.048882999999996</v>
      </c>
      <c r="E615">
        <v>-76.315321999999995</v>
      </c>
      <c r="F615" s="5">
        <v>1430022</v>
      </c>
      <c r="G615" s="5" t="s">
        <v>1752</v>
      </c>
    </row>
    <row r="616" spans="1:7" x14ac:dyDescent="0.3">
      <c r="A616">
        <v>295619</v>
      </c>
      <c r="B616" t="s">
        <v>573</v>
      </c>
      <c r="C616">
        <v>1430022</v>
      </c>
      <c r="D616">
        <v>40.043109000000001</v>
      </c>
      <c r="E616">
        <v>-76.295321000000001</v>
      </c>
      <c r="F616" s="5">
        <v>1430022</v>
      </c>
      <c r="G616" s="5" t="s">
        <v>1752</v>
      </c>
    </row>
    <row r="617" spans="1:7" x14ac:dyDescent="0.3">
      <c r="A617">
        <v>297630</v>
      </c>
      <c r="B617" t="s">
        <v>591</v>
      </c>
      <c r="C617">
        <v>1430021</v>
      </c>
      <c r="D617">
        <v>39.974575999999999</v>
      </c>
      <c r="E617">
        <v>-76.275036999999998</v>
      </c>
      <c r="F617" s="5">
        <v>1430021</v>
      </c>
      <c r="G617" s="5" t="s">
        <v>1752</v>
      </c>
    </row>
    <row r="618" spans="1:7" x14ac:dyDescent="0.3">
      <c r="A618">
        <v>309100</v>
      </c>
      <c r="B618" t="s">
        <v>97</v>
      </c>
      <c r="C618">
        <v>1430025</v>
      </c>
      <c r="D618">
        <v>40.050114999999998</v>
      </c>
      <c r="E618">
        <v>-76.308706000000001</v>
      </c>
      <c r="F618" s="5">
        <v>1430022</v>
      </c>
      <c r="G618" s="4" t="s">
        <v>1753</v>
      </c>
    </row>
    <row r="619" spans="1:7" x14ac:dyDescent="0.3">
      <c r="A619">
        <v>310041</v>
      </c>
      <c r="B619" t="s">
        <v>99</v>
      </c>
      <c r="C619">
        <v>1430022</v>
      </c>
      <c r="D619">
        <v>40.057926000000002</v>
      </c>
      <c r="E619">
        <v>-76.320066999999995</v>
      </c>
      <c r="F619" s="5">
        <v>1430022</v>
      </c>
      <c r="G619" s="5" t="s">
        <v>1752</v>
      </c>
    </row>
    <row r="620" spans="1:7" x14ac:dyDescent="0.3">
      <c r="A620">
        <v>317087</v>
      </c>
      <c r="B620" t="s">
        <v>675</v>
      </c>
      <c r="C620">
        <v>1430022</v>
      </c>
      <c r="D620">
        <v>40.069572999999998</v>
      </c>
      <c r="E620">
        <v>-76.304691000000005</v>
      </c>
      <c r="F620" s="5">
        <v>1430022</v>
      </c>
      <c r="G620" s="5" t="s">
        <v>1752</v>
      </c>
    </row>
    <row r="621" spans="1:7" x14ac:dyDescent="0.3">
      <c r="A621">
        <v>330034</v>
      </c>
      <c r="B621" t="s">
        <v>721</v>
      </c>
      <c r="C621">
        <v>1430024</v>
      </c>
      <c r="D621">
        <v>40.072004999999997</v>
      </c>
      <c r="E621">
        <v>-76.295435999999995</v>
      </c>
      <c r="F621" s="5">
        <v>1430022</v>
      </c>
      <c r="G621" s="4" t="s">
        <v>1753</v>
      </c>
    </row>
    <row r="622" spans="1:7" x14ac:dyDescent="0.3">
      <c r="A622">
        <v>415864</v>
      </c>
      <c r="B622" t="s">
        <v>107</v>
      </c>
      <c r="C622">
        <v>1430022</v>
      </c>
      <c r="D622">
        <v>39.994439999999997</v>
      </c>
      <c r="E622">
        <v>-76.284270000000006</v>
      </c>
      <c r="F622" s="5">
        <v>1430021</v>
      </c>
      <c r="G622" s="4" t="s">
        <v>1753</v>
      </c>
    </row>
    <row r="623" spans="1:7" x14ac:dyDescent="0.3">
      <c r="A623">
        <v>431525</v>
      </c>
      <c r="B623" t="s">
        <v>188</v>
      </c>
      <c r="C623">
        <v>1430022</v>
      </c>
      <c r="D623">
        <v>40.04692</v>
      </c>
      <c r="E623">
        <v>-76.272999999999996</v>
      </c>
      <c r="F623" s="5">
        <v>1430022</v>
      </c>
      <c r="G623" s="5" t="s">
        <v>1752</v>
      </c>
    </row>
    <row r="624" spans="1:7" x14ac:dyDescent="0.3">
      <c r="A624">
        <v>442170</v>
      </c>
      <c r="B624" t="s">
        <v>1117</v>
      </c>
      <c r="C624">
        <v>1430022</v>
      </c>
      <c r="D624">
        <v>40.031813999999997</v>
      </c>
      <c r="E624">
        <v>-76.297065000000003</v>
      </c>
      <c r="F624" s="5">
        <v>1430022</v>
      </c>
      <c r="G624" s="5" t="s">
        <v>1752</v>
      </c>
    </row>
    <row r="625" spans="1:7" x14ac:dyDescent="0.3">
      <c r="A625">
        <v>449082</v>
      </c>
      <c r="B625" t="s">
        <v>1556</v>
      </c>
      <c r="C625">
        <v>1430022</v>
      </c>
      <c r="D625">
        <v>40.043959999999998</v>
      </c>
      <c r="E625">
        <v>-76.297749999999994</v>
      </c>
      <c r="F625" s="5">
        <v>1430022</v>
      </c>
      <c r="G625" s="5" t="s">
        <v>1752</v>
      </c>
    </row>
    <row r="626" spans="1:7" x14ac:dyDescent="0.3">
      <c r="A626">
        <v>449754</v>
      </c>
      <c r="B626" t="s">
        <v>112</v>
      </c>
      <c r="C626">
        <v>1430022</v>
      </c>
      <c r="D626">
        <v>40.058912999999997</v>
      </c>
      <c r="E626">
        <v>-76.307192999999998</v>
      </c>
      <c r="F626" s="5">
        <v>1430022</v>
      </c>
      <c r="G626" s="5" t="s">
        <v>1752</v>
      </c>
    </row>
    <row r="627" spans="1:7" x14ac:dyDescent="0.3">
      <c r="A627">
        <v>449775</v>
      </c>
      <c r="B627" t="s">
        <v>114</v>
      </c>
      <c r="C627">
        <v>1430022</v>
      </c>
      <c r="D627">
        <v>40.059542999999998</v>
      </c>
      <c r="E627">
        <v>-76.290610999999998</v>
      </c>
      <c r="F627" s="5">
        <v>1430022</v>
      </c>
      <c r="G627" s="5" t="s">
        <v>1752</v>
      </c>
    </row>
    <row r="628" spans="1:7" x14ac:dyDescent="0.3">
      <c r="A628">
        <v>456539</v>
      </c>
      <c r="B628" t="s">
        <v>1559</v>
      </c>
      <c r="C628">
        <v>1430025</v>
      </c>
      <c r="D628">
        <v>40.047649999999997</v>
      </c>
      <c r="E628">
        <v>-76.305864999999997</v>
      </c>
      <c r="F628" s="5">
        <v>1430022</v>
      </c>
      <c r="G628" s="4" t="s">
        <v>1753</v>
      </c>
    </row>
    <row r="629" spans="1:7" x14ac:dyDescent="0.3">
      <c r="A629">
        <v>470135</v>
      </c>
      <c r="B629" t="s">
        <v>135</v>
      </c>
      <c r="C629">
        <v>1430022</v>
      </c>
      <c r="D629">
        <v>39.999578</v>
      </c>
      <c r="E629">
        <v>-76.347982999999999</v>
      </c>
      <c r="F629" s="5">
        <v>1430022</v>
      </c>
      <c r="G629" s="5" t="s">
        <v>1752</v>
      </c>
    </row>
    <row r="630" spans="1:7" x14ac:dyDescent="0.3">
      <c r="A630">
        <v>470333</v>
      </c>
      <c r="B630" t="s">
        <v>1296</v>
      </c>
      <c r="C630">
        <v>1430022</v>
      </c>
      <c r="D630">
        <v>40.015988999999998</v>
      </c>
      <c r="E630">
        <v>-76.277299999999997</v>
      </c>
      <c r="F630" s="5">
        <v>1430022</v>
      </c>
      <c r="G630" s="5" t="s">
        <v>1752</v>
      </c>
    </row>
    <row r="631" spans="1:7" x14ac:dyDescent="0.3">
      <c r="A631">
        <v>471058</v>
      </c>
      <c r="B631" t="s">
        <v>139</v>
      </c>
      <c r="C631">
        <v>1430022</v>
      </c>
      <c r="D631">
        <v>39.99653</v>
      </c>
      <c r="E631">
        <v>-76.348860000000002</v>
      </c>
      <c r="F631" s="5">
        <v>1430022</v>
      </c>
      <c r="G631" s="5" t="s">
        <v>1752</v>
      </c>
    </row>
    <row r="632" spans="1:7" x14ac:dyDescent="0.3">
      <c r="A632">
        <v>471167</v>
      </c>
      <c r="B632" t="s">
        <v>141</v>
      </c>
      <c r="C632">
        <v>1430022</v>
      </c>
      <c r="D632">
        <v>40.031083000000002</v>
      </c>
      <c r="E632">
        <v>-76.320006000000006</v>
      </c>
      <c r="F632" s="5">
        <v>1430022</v>
      </c>
      <c r="G632" s="5" t="s">
        <v>1752</v>
      </c>
    </row>
    <row r="633" spans="1:7" x14ac:dyDescent="0.3">
      <c r="A633">
        <v>474973</v>
      </c>
      <c r="B633" t="s">
        <v>160</v>
      </c>
      <c r="C633">
        <v>1430022</v>
      </c>
      <c r="D633">
        <v>40.049410000000002</v>
      </c>
      <c r="E633">
        <v>-76.320229999999995</v>
      </c>
      <c r="F633" s="5">
        <v>1430022</v>
      </c>
      <c r="G633" s="5" t="s">
        <v>1752</v>
      </c>
    </row>
    <row r="634" spans="1:7" x14ac:dyDescent="0.3">
      <c r="A634">
        <v>239188</v>
      </c>
      <c r="B634" t="s">
        <v>170</v>
      </c>
      <c r="C634">
        <v>1430026</v>
      </c>
      <c r="D634">
        <v>40.330477999999999</v>
      </c>
      <c r="E634">
        <v>-75.886663999999996</v>
      </c>
      <c r="F634" s="5">
        <v>1430026</v>
      </c>
      <c r="G634" s="5" t="s">
        <v>1752</v>
      </c>
    </row>
    <row r="635" spans="1:7" x14ac:dyDescent="0.3">
      <c r="A635">
        <v>239904</v>
      </c>
      <c r="B635" t="s">
        <v>194</v>
      </c>
      <c r="C635">
        <v>1430016</v>
      </c>
      <c r="D635">
        <v>40.302208999999998</v>
      </c>
      <c r="E635">
        <v>-76.307145000000006</v>
      </c>
      <c r="F635" s="5">
        <v>1430033</v>
      </c>
      <c r="G635" s="4" t="s">
        <v>1753</v>
      </c>
    </row>
    <row r="636" spans="1:7" x14ac:dyDescent="0.3">
      <c r="A636">
        <v>239905</v>
      </c>
      <c r="B636" t="s">
        <v>194</v>
      </c>
      <c r="C636">
        <v>1430033</v>
      </c>
      <c r="D636">
        <v>40.384698</v>
      </c>
      <c r="E636">
        <v>-76.289581999999996</v>
      </c>
      <c r="F636" s="5">
        <v>1430033</v>
      </c>
      <c r="G636" s="5" t="s">
        <v>1752</v>
      </c>
    </row>
    <row r="637" spans="1:7" x14ac:dyDescent="0.3">
      <c r="A637">
        <v>239963</v>
      </c>
      <c r="B637" t="s">
        <v>1402</v>
      </c>
      <c r="C637">
        <v>1430026</v>
      </c>
      <c r="D637">
        <v>40.369390000000003</v>
      </c>
      <c r="E637">
        <v>-75.912840000000003</v>
      </c>
      <c r="F637" s="5">
        <v>1430026</v>
      </c>
      <c r="G637" s="5" t="s">
        <v>1752</v>
      </c>
    </row>
    <row r="638" spans="1:7" x14ac:dyDescent="0.3">
      <c r="A638">
        <v>269640</v>
      </c>
      <c r="B638" t="s">
        <v>489</v>
      </c>
      <c r="C638">
        <v>1430026</v>
      </c>
      <c r="D638">
        <v>40.402709999999999</v>
      </c>
      <c r="E638">
        <v>-75.953890000000001</v>
      </c>
      <c r="F638" s="5">
        <v>1430026</v>
      </c>
      <c r="G638" s="5" t="s">
        <v>1752</v>
      </c>
    </row>
    <row r="639" spans="1:7" x14ac:dyDescent="0.3">
      <c r="A639">
        <v>299785</v>
      </c>
      <c r="B639" t="s">
        <v>607</v>
      </c>
      <c r="C639">
        <v>1430016</v>
      </c>
      <c r="D639">
        <v>40.148995999999997</v>
      </c>
      <c r="E639">
        <v>-75.907287999999994</v>
      </c>
      <c r="F639" s="5">
        <v>1430016</v>
      </c>
      <c r="G639" s="5" t="s">
        <v>1752</v>
      </c>
    </row>
    <row r="640" spans="1:7" x14ac:dyDescent="0.3">
      <c r="A640">
        <v>303746</v>
      </c>
      <c r="B640" t="s">
        <v>619</v>
      </c>
      <c r="C640">
        <v>1430016</v>
      </c>
      <c r="D640">
        <v>40.285727999999999</v>
      </c>
      <c r="E640">
        <v>-75.817103000000003</v>
      </c>
      <c r="F640" s="5">
        <v>1430016</v>
      </c>
      <c r="G640" s="5" t="s">
        <v>1752</v>
      </c>
    </row>
    <row r="641" spans="1:7" x14ac:dyDescent="0.3">
      <c r="A641">
        <v>312880</v>
      </c>
      <c r="B641" t="s">
        <v>1519</v>
      </c>
      <c r="C641">
        <v>1430026</v>
      </c>
      <c r="D641">
        <v>40.548909999999999</v>
      </c>
      <c r="E641">
        <v>-75.986991000000003</v>
      </c>
      <c r="F641" s="5">
        <v>1430033</v>
      </c>
      <c r="G641" s="4" t="s">
        <v>1753</v>
      </c>
    </row>
    <row r="642" spans="1:7" x14ac:dyDescent="0.3">
      <c r="A642">
        <v>313451</v>
      </c>
      <c r="B642" t="s">
        <v>671</v>
      </c>
      <c r="C642">
        <v>1430026</v>
      </c>
      <c r="D642">
        <v>40.462226000000001</v>
      </c>
      <c r="E642">
        <v>-75.819533000000007</v>
      </c>
      <c r="F642" s="5">
        <v>1430033</v>
      </c>
      <c r="G642" s="4" t="s">
        <v>1753</v>
      </c>
    </row>
    <row r="643" spans="1:7" x14ac:dyDescent="0.3">
      <c r="A643">
        <v>330579</v>
      </c>
      <c r="B643" t="s">
        <v>1525</v>
      </c>
      <c r="C643">
        <v>1430026</v>
      </c>
      <c r="D643">
        <v>40.439433000000001</v>
      </c>
      <c r="E643">
        <v>-75.947100000000006</v>
      </c>
      <c r="F643" s="5">
        <v>1430026</v>
      </c>
      <c r="G643" s="5" t="s">
        <v>1752</v>
      </c>
    </row>
    <row r="644" spans="1:7" x14ac:dyDescent="0.3">
      <c r="A644">
        <v>330637</v>
      </c>
      <c r="B644" t="s">
        <v>725</v>
      </c>
      <c r="C644">
        <v>1430026</v>
      </c>
      <c r="D644">
        <v>40.36036</v>
      </c>
      <c r="E644">
        <v>-75.910584999999998</v>
      </c>
      <c r="F644" s="5">
        <v>1430026</v>
      </c>
      <c r="G644" s="5" t="s">
        <v>1752</v>
      </c>
    </row>
    <row r="645" spans="1:7" x14ac:dyDescent="0.3">
      <c r="A645">
        <v>423810</v>
      </c>
      <c r="B645" t="s">
        <v>1004</v>
      </c>
      <c r="C645">
        <v>1430026</v>
      </c>
      <c r="D645">
        <v>40.330477999999999</v>
      </c>
      <c r="E645">
        <v>-75.886663999999996</v>
      </c>
      <c r="F645" s="5">
        <v>1430026</v>
      </c>
      <c r="G645" s="5" t="s">
        <v>1752</v>
      </c>
    </row>
    <row r="646" spans="1:7" x14ac:dyDescent="0.3">
      <c r="A646">
        <v>428611</v>
      </c>
      <c r="B646" t="s">
        <v>1034</v>
      </c>
      <c r="C646">
        <v>1430026</v>
      </c>
      <c r="D646">
        <v>40.300310000000003</v>
      </c>
      <c r="E646">
        <v>-75.954459999999997</v>
      </c>
      <c r="F646" s="5">
        <v>1430026</v>
      </c>
      <c r="G646" s="5" t="s">
        <v>1752</v>
      </c>
    </row>
    <row r="647" spans="1:7" x14ac:dyDescent="0.3">
      <c r="A647">
        <v>428612</v>
      </c>
      <c r="B647" t="s">
        <v>1548</v>
      </c>
      <c r="C647">
        <v>1430026</v>
      </c>
      <c r="D647">
        <v>40.301245999999999</v>
      </c>
      <c r="E647">
        <v>-75.953639999999993</v>
      </c>
      <c r="F647" s="5">
        <v>1430026</v>
      </c>
      <c r="G647" s="5" t="s">
        <v>1752</v>
      </c>
    </row>
    <row r="648" spans="1:7" x14ac:dyDescent="0.3">
      <c r="A648">
        <v>428613</v>
      </c>
      <c r="B648" t="s">
        <v>1036</v>
      </c>
      <c r="C648">
        <v>1430026</v>
      </c>
      <c r="D648">
        <v>40.304687999999999</v>
      </c>
      <c r="E648">
        <v>-75.963521</v>
      </c>
      <c r="F648" s="5">
        <v>1430026</v>
      </c>
      <c r="G648" s="5" t="s">
        <v>1752</v>
      </c>
    </row>
    <row r="649" spans="1:7" x14ac:dyDescent="0.3">
      <c r="A649">
        <v>428614</v>
      </c>
      <c r="B649" t="s">
        <v>1038</v>
      </c>
      <c r="C649">
        <v>1430026</v>
      </c>
      <c r="D649">
        <v>40.303694</v>
      </c>
      <c r="E649">
        <v>-75.959986999999998</v>
      </c>
      <c r="F649" s="5">
        <v>1430026</v>
      </c>
      <c r="G649" s="5" t="s">
        <v>1752</v>
      </c>
    </row>
    <row r="650" spans="1:7" x14ac:dyDescent="0.3">
      <c r="A650">
        <v>439742</v>
      </c>
      <c r="B650" t="s">
        <v>1106</v>
      </c>
      <c r="C650">
        <v>1430026</v>
      </c>
      <c r="D650">
        <v>40.301245999999999</v>
      </c>
      <c r="E650">
        <v>-75.953639999999993</v>
      </c>
      <c r="F650" s="5">
        <v>1430026</v>
      </c>
      <c r="G650" s="5" t="s">
        <v>1752</v>
      </c>
    </row>
    <row r="651" spans="1:7" x14ac:dyDescent="0.3">
      <c r="A651">
        <v>450409</v>
      </c>
      <c r="B651" t="s">
        <v>1158</v>
      </c>
      <c r="C651">
        <v>1430026</v>
      </c>
      <c r="D651">
        <v>40.392861000000003</v>
      </c>
      <c r="E651">
        <v>-75.921497000000002</v>
      </c>
      <c r="F651" s="5">
        <v>1430026</v>
      </c>
      <c r="G651" s="5" t="s">
        <v>1752</v>
      </c>
    </row>
    <row r="652" spans="1:7" x14ac:dyDescent="0.3">
      <c r="A652">
        <v>456608</v>
      </c>
      <c r="B652" t="s">
        <v>1187</v>
      </c>
      <c r="C652">
        <v>1430026</v>
      </c>
      <c r="D652">
        <v>40.381200999999997</v>
      </c>
      <c r="E652">
        <v>-75.798646000000005</v>
      </c>
      <c r="F652" s="5">
        <v>1430026</v>
      </c>
      <c r="G652" s="5" t="s">
        <v>1752</v>
      </c>
    </row>
    <row r="653" spans="1:7" x14ac:dyDescent="0.3">
      <c r="A653">
        <v>460379</v>
      </c>
      <c r="B653" t="s">
        <v>1561</v>
      </c>
      <c r="C653">
        <v>1430026</v>
      </c>
      <c r="D653">
        <v>40.443173000000002</v>
      </c>
      <c r="E653">
        <v>-75.897407000000001</v>
      </c>
      <c r="F653" s="5">
        <v>1430026</v>
      </c>
      <c r="G653" s="5" t="s">
        <v>1752</v>
      </c>
    </row>
    <row r="654" spans="1:7" x14ac:dyDescent="0.3">
      <c r="A654">
        <v>460390</v>
      </c>
      <c r="B654" t="s">
        <v>1208</v>
      </c>
      <c r="C654">
        <v>1430026</v>
      </c>
      <c r="D654">
        <v>40.391190000000002</v>
      </c>
      <c r="E654">
        <v>-75.934380000000004</v>
      </c>
      <c r="F654" s="5">
        <v>1430026</v>
      </c>
      <c r="G654" s="5" t="s">
        <v>1752</v>
      </c>
    </row>
    <row r="655" spans="1:7" x14ac:dyDescent="0.3">
      <c r="A655">
        <v>464463</v>
      </c>
      <c r="B655" t="s">
        <v>1236</v>
      </c>
      <c r="C655">
        <v>1430026</v>
      </c>
      <c r="D655">
        <v>40.570515999999998</v>
      </c>
      <c r="E655">
        <v>-75.956416000000004</v>
      </c>
      <c r="F655" s="5">
        <v>1430033</v>
      </c>
      <c r="G655" s="4" t="s">
        <v>1753</v>
      </c>
    </row>
    <row r="656" spans="1:7" x14ac:dyDescent="0.3">
      <c r="A656">
        <v>464836</v>
      </c>
      <c r="B656" t="s">
        <v>1238</v>
      </c>
      <c r="C656">
        <v>1430026</v>
      </c>
      <c r="D656">
        <v>40.388449999999999</v>
      </c>
      <c r="E656">
        <v>-75.917379999999994</v>
      </c>
      <c r="F656" s="5">
        <v>1430026</v>
      </c>
      <c r="G656" s="5" t="s">
        <v>1752</v>
      </c>
    </row>
    <row r="657" spans="1:7" x14ac:dyDescent="0.3">
      <c r="A657">
        <v>468426</v>
      </c>
      <c r="B657" t="s">
        <v>1566</v>
      </c>
      <c r="C657">
        <v>1430033</v>
      </c>
      <c r="D657">
        <v>40.474831000000002</v>
      </c>
      <c r="E657">
        <v>-76.311628999999996</v>
      </c>
      <c r="F657" s="5">
        <v>1430033</v>
      </c>
      <c r="G657" s="5" t="s">
        <v>1752</v>
      </c>
    </row>
    <row r="658" spans="1:7" x14ac:dyDescent="0.3">
      <c r="A658">
        <v>471296</v>
      </c>
      <c r="B658" t="s">
        <v>1320</v>
      </c>
      <c r="C658">
        <v>1430026</v>
      </c>
      <c r="D658">
        <v>40.301031000000002</v>
      </c>
      <c r="E658">
        <v>-75.955254999999994</v>
      </c>
      <c r="F658" s="5">
        <v>1430026</v>
      </c>
      <c r="G658" s="5" t="s">
        <v>1752</v>
      </c>
    </row>
    <row r="659" spans="1:7" x14ac:dyDescent="0.3">
      <c r="A659">
        <v>472591</v>
      </c>
      <c r="B659" t="s">
        <v>725</v>
      </c>
      <c r="C659">
        <v>1430026</v>
      </c>
      <c r="D659">
        <v>40.362859</v>
      </c>
      <c r="E659">
        <v>-75.912953999999999</v>
      </c>
      <c r="F659" s="5">
        <v>1430026</v>
      </c>
      <c r="G659" s="5" t="s">
        <v>1752</v>
      </c>
    </row>
    <row r="660" spans="1:7" x14ac:dyDescent="0.3">
      <c r="A660">
        <v>473955</v>
      </c>
      <c r="B660" t="s">
        <v>1334</v>
      </c>
      <c r="C660">
        <v>1430026</v>
      </c>
      <c r="D660">
        <v>40.319811000000001</v>
      </c>
      <c r="E660">
        <v>-75.937168</v>
      </c>
      <c r="F660" s="5">
        <v>1430026</v>
      </c>
      <c r="G660" s="5" t="s">
        <v>1752</v>
      </c>
    </row>
    <row r="661" spans="1:7" x14ac:dyDescent="0.3">
      <c r="A661">
        <v>483389</v>
      </c>
      <c r="B661" t="s">
        <v>1402</v>
      </c>
      <c r="C661">
        <v>1430026</v>
      </c>
      <c r="D661">
        <v>40.373707000000003</v>
      </c>
      <c r="E661">
        <v>-75.910218999999998</v>
      </c>
      <c r="F661" s="5">
        <v>1430026</v>
      </c>
      <c r="G661" s="5" t="s">
        <v>1752</v>
      </c>
    </row>
    <row r="662" spans="1:7" x14ac:dyDescent="0.3">
      <c r="A662">
        <v>240117</v>
      </c>
      <c r="B662" t="s">
        <v>216</v>
      </c>
      <c r="C662">
        <v>1430027</v>
      </c>
      <c r="D662">
        <v>40.206859999999999</v>
      </c>
      <c r="E662">
        <v>-76.146119999999996</v>
      </c>
      <c r="F662" s="5">
        <v>1430016</v>
      </c>
      <c r="G662" s="4" t="s">
        <v>1753</v>
      </c>
    </row>
    <row r="663" spans="1:7" x14ac:dyDescent="0.3">
      <c r="A663">
        <v>240169</v>
      </c>
      <c r="B663" t="s">
        <v>1424</v>
      </c>
      <c r="C663">
        <v>1430016</v>
      </c>
      <c r="D663">
        <v>40.100132000000002</v>
      </c>
      <c r="E663">
        <v>-76.073537999999999</v>
      </c>
      <c r="F663" s="5">
        <v>1430016</v>
      </c>
      <c r="G663" s="5" t="s">
        <v>1752</v>
      </c>
    </row>
    <row r="664" spans="1:7" x14ac:dyDescent="0.3">
      <c r="A664">
        <v>242605</v>
      </c>
      <c r="B664" t="s">
        <v>338</v>
      </c>
      <c r="C664">
        <v>1430016</v>
      </c>
      <c r="D664">
        <v>40.207270000000001</v>
      </c>
      <c r="E664">
        <v>-76.153278</v>
      </c>
      <c r="F664" s="5">
        <v>1430016</v>
      </c>
      <c r="G664" s="5" t="s">
        <v>1752</v>
      </c>
    </row>
    <row r="665" spans="1:7" x14ac:dyDescent="0.3">
      <c r="A665">
        <v>311031</v>
      </c>
      <c r="B665" t="s">
        <v>659</v>
      </c>
      <c r="C665">
        <v>1430027</v>
      </c>
      <c r="D665">
        <v>40.227424999999997</v>
      </c>
      <c r="E665">
        <v>-76.145608999999993</v>
      </c>
      <c r="F665" s="5">
        <v>1430027</v>
      </c>
      <c r="G665" s="5" t="s">
        <v>1752</v>
      </c>
    </row>
    <row r="666" spans="1:7" x14ac:dyDescent="0.3">
      <c r="A666">
        <v>428610</v>
      </c>
      <c r="B666" t="s">
        <v>1032</v>
      </c>
      <c r="C666">
        <v>1430016</v>
      </c>
      <c r="D666">
        <v>40.243031999999999</v>
      </c>
      <c r="E666">
        <v>-75.996081000000004</v>
      </c>
      <c r="F666" s="5">
        <v>1430016</v>
      </c>
      <c r="G666" s="5" t="s">
        <v>1752</v>
      </c>
    </row>
    <row r="667" spans="1:7" x14ac:dyDescent="0.3">
      <c r="A667">
        <v>457278</v>
      </c>
      <c r="B667" t="s">
        <v>1560</v>
      </c>
      <c r="C667">
        <v>1430027</v>
      </c>
      <c r="D667">
        <v>40.225873</v>
      </c>
      <c r="E667">
        <v>-76.156390999999999</v>
      </c>
      <c r="F667" s="5">
        <v>1430027</v>
      </c>
      <c r="G667" s="5" t="s">
        <v>1752</v>
      </c>
    </row>
    <row r="668" spans="1:7" x14ac:dyDescent="0.3">
      <c r="A668">
        <v>465969</v>
      </c>
      <c r="B668" t="s">
        <v>1253</v>
      </c>
      <c r="C668">
        <v>1430026</v>
      </c>
      <c r="D668">
        <v>40.307782000000003</v>
      </c>
      <c r="E668">
        <v>-76.096750999999998</v>
      </c>
      <c r="F668" s="5">
        <v>1430016</v>
      </c>
      <c r="G668" s="4" t="s">
        <v>1753</v>
      </c>
    </row>
    <row r="669" spans="1:7" x14ac:dyDescent="0.3">
      <c r="A669">
        <v>470561</v>
      </c>
      <c r="B669" t="s">
        <v>1569</v>
      </c>
      <c r="C669">
        <v>1430016</v>
      </c>
      <c r="D669">
        <v>40.240180000000002</v>
      </c>
      <c r="E669">
        <v>-76.063119999999998</v>
      </c>
      <c r="F669" s="5">
        <v>1430016</v>
      </c>
      <c r="G669" s="5" t="s">
        <v>1752</v>
      </c>
    </row>
    <row r="670" spans="1:7" x14ac:dyDescent="0.3">
      <c r="A670">
        <v>470562</v>
      </c>
      <c r="B670" t="s">
        <v>1302</v>
      </c>
      <c r="C670">
        <v>1430016</v>
      </c>
      <c r="D670">
        <v>40.208120000000001</v>
      </c>
      <c r="E670">
        <v>-76.125958999999995</v>
      </c>
      <c r="F670" s="5">
        <v>1430016</v>
      </c>
      <c r="G670" s="5" t="s">
        <v>1752</v>
      </c>
    </row>
    <row r="671" spans="1:7" x14ac:dyDescent="0.3">
      <c r="A671">
        <v>470563</v>
      </c>
      <c r="B671" t="s">
        <v>1304</v>
      </c>
      <c r="C671">
        <v>1430027</v>
      </c>
      <c r="D671">
        <v>40.228349999999999</v>
      </c>
      <c r="E671">
        <v>-76.146688999999995</v>
      </c>
      <c r="F671" s="5">
        <v>1430027</v>
      </c>
      <c r="G671" s="5" t="s">
        <v>1752</v>
      </c>
    </row>
    <row r="672" spans="1:7" x14ac:dyDescent="0.3">
      <c r="A672">
        <v>470564</v>
      </c>
      <c r="B672" t="s">
        <v>1306</v>
      </c>
      <c r="C672">
        <v>1430027</v>
      </c>
      <c r="D672">
        <v>40.229179999999999</v>
      </c>
      <c r="E672">
        <v>-76.148070000000004</v>
      </c>
      <c r="F672" s="5">
        <v>1430027</v>
      </c>
      <c r="G672" s="5" t="s">
        <v>1752</v>
      </c>
    </row>
    <row r="673" spans="1:7" x14ac:dyDescent="0.3">
      <c r="A673">
        <v>470565</v>
      </c>
      <c r="B673" t="s">
        <v>1308</v>
      </c>
      <c r="C673">
        <v>1430027</v>
      </c>
      <c r="D673">
        <v>40.226542000000002</v>
      </c>
      <c r="E673">
        <v>-76.154449999999997</v>
      </c>
      <c r="F673" s="5">
        <v>1430027</v>
      </c>
      <c r="G673" s="5" t="s">
        <v>1752</v>
      </c>
    </row>
    <row r="674" spans="1:7" x14ac:dyDescent="0.3">
      <c r="A674">
        <v>240825</v>
      </c>
      <c r="B674" t="s">
        <v>254</v>
      </c>
      <c r="C674">
        <v>1430033</v>
      </c>
      <c r="D674">
        <v>40.986735000000003</v>
      </c>
      <c r="E674">
        <v>-76.012500000000003</v>
      </c>
      <c r="F674" s="5">
        <v>1430033</v>
      </c>
      <c r="G674" s="5" t="s">
        <v>1752</v>
      </c>
    </row>
    <row r="675" spans="1:7" x14ac:dyDescent="0.3">
      <c r="A675">
        <v>480258</v>
      </c>
      <c r="B675" t="s">
        <v>1357</v>
      </c>
      <c r="C675">
        <v>1430033</v>
      </c>
      <c r="D675">
        <v>41.509740000000001</v>
      </c>
      <c r="E675">
        <v>-75.699714</v>
      </c>
      <c r="F675" s="5">
        <v>1430033</v>
      </c>
      <c r="G675" s="5" t="s">
        <v>1752</v>
      </c>
    </row>
    <row r="676" spans="1:7" x14ac:dyDescent="0.3">
      <c r="A676">
        <v>241528</v>
      </c>
      <c r="B676" t="s">
        <v>1429</v>
      </c>
      <c r="C676">
        <v>1430029</v>
      </c>
      <c r="D676">
        <v>40.346545999999996</v>
      </c>
      <c r="E676">
        <v>-76.123367999999999</v>
      </c>
      <c r="F676" s="5">
        <v>1430029</v>
      </c>
      <c r="G676" s="5" t="s">
        <v>1752</v>
      </c>
    </row>
    <row r="677" spans="1:7" x14ac:dyDescent="0.3">
      <c r="A677">
        <v>264939</v>
      </c>
      <c r="B677" t="s">
        <v>471</v>
      </c>
      <c r="C677">
        <v>1430026</v>
      </c>
      <c r="D677">
        <v>40.346986000000001</v>
      </c>
      <c r="E677">
        <v>-75.959635000000006</v>
      </c>
      <c r="F677" s="5">
        <v>1430026</v>
      </c>
      <c r="G677" s="5" t="s">
        <v>1752</v>
      </c>
    </row>
    <row r="678" spans="1:7" x14ac:dyDescent="0.3">
      <c r="A678">
        <v>324955</v>
      </c>
      <c r="B678" t="s">
        <v>711</v>
      </c>
      <c r="C678">
        <v>1430026</v>
      </c>
      <c r="D678">
        <v>40.37865</v>
      </c>
      <c r="E678">
        <v>-75.974695999999994</v>
      </c>
      <c r="F678" s="5">
        <v>1430026</v>
      </c>
      <c r="G678" s="5" t="s">
        <v>1752</v>
      </c>
    </row>
    <row r="679" spans="1:7" x14ac:dyDescent="0.3">
      <c r="A679">
        <v>330198</v>
      </c>
      <c r="B679" t="s">
        <v>723</v>
      </c>
      <c r="C679">
        <v>1430029</v>
      </c>
      <c r="D679">
        <v>40.343335000000003</v>
      </c>
      <c r="E679">
        <v>-76.122056999999998</v>
      </c>
      <c r="F679" s="5">
        <v>1430029</v>
      </c>
      <c r="G679" s="5" t="s">
        <v>1752</v>
      </c>
    </row>
    <row r="680" spans="1:7" x14ac:dyDescent="0.3">
      <c r="A680">
        <v>415425</v>
      </c>
      <c r="B680" t="s">
        <v>801</v>
      </c>
      <c r="C680">
        <v>1430026</v>
      </c>
      <c r="D680">
        <v>40.350006</v>
      </c>
      <c r="E680">
        <v>-76.123938999999993</v>
      </c>
      <c r="F680" s="5">
        <v>1430033</v>
      </c>
      <c r="G680" s="4" t="s">
        <v>1753</v>
      </c>
    </row>
    <row r="681" spans="1:7" x14ac:dyDescent="0.3">
      <c r="A681">
        <v>438125</v>
      </c>
      <c r="B681" t="s">
        <v>1101</v>
      </c>
      <c r="C681">
        <v>1430026</v>
      </c>
      <c r="D681">
        <v>40.310065000000002</v>
      </c>
      <c r="E681">
        <v>-75.991479999999996</v>
      </c>
      <c r="F681" s="5">
        <v>1430026</v>
      </c>
      <c r="G681" s="5" t="s">
        <v>1752</v>
      </c>
    </row>
    <row r="682" spans="1:7" x14ac:dyDescent="0.3">
      <c r="A682">
        <v>453620</v>
      </c>
      <c r="B682" t="s">
        <v>1173</v>
      </c>
      <c r="C682">
        <v>1430026</v>
      </c>
      <c r="D682">
        <v>40.348287999999997</v>
      </c>
      <c r="E682">
        <v>-76.119124999999997</v>
      </c>
      <c r="F682" s="5">
        <v>1430033</v>
      </c>
      <c r="G682" s="4" t="s">
        <v>1753</v>
      </c>
    </row>
    <row r="683" spans="1:7" x14ac:dyDescent="0.3">
      <c r="A683">
        <v>294691</v>
      </c>
      <c r="B683" t="s">
        <v>1501</v>
      </c>
      <c r="C683">
        <v>1430045</v>
      </c>
      <c r="D683">
        <v>40.281816999999997</v>
      </c>
      <c r="E683">
        <v>-76.890668000000005</v>
      </c>
      <c r="F683" s="5">
        <v>1430045</v>
      </c>
      <c r="G683" s="5" t="s">
        <v>1752</v>
      </c>
    </row>
    <row r="684" spans="1:7" x14ac:dyDescent="0.3">
      <c r="A684">
        <v>480659</v>
      </c>
      <c r="B684" t="s">
        <v>1578</v>
      </c>
      <c r="C684">
        <v>1430045</v>
      </c>
      <c r="D684">
        <v>40.294559999999997</v>
      </c>
      <c r="E684">
        <v>-76.977520999999996</v>
      </c>
      <c r="F684" s="5">
        <v>1430033</v>
      </c>
      <c r="G684" s="4" t="s">
        <v>1753</v>
      </c>
    </row>
    <row r="685" spans="1:7" x14ac:dyDescent="0.3">
      <c r="A685">
        <v>241353</v>
      </c>
      <c r="B685" t="s">
        <v>290</v>
      </c>
      <c r="C685">
        <v>1430032</v>
      </c>
      <c r="D685">
        <v>40.300103</v>
      </c>
      <c r="E685">
        <v>-76.586326</v>
      </c>
      <c r="F685" s="5">
        <v>1430033</v>
      </c>
      <c r="G685" s="4" t="s">
        <v>1753</v>
      </c>
    </row>
    <row r="686" spans="1:7" x14ac:dyDescent="0.3">
      <c r="A686">
        <v>297875</v>
      </c>
      <c r="B686" t="s">
        <v>595</v>
      </c>
      <c r="C686">
        <v>1430033</v>
      </c>
      <c r="D686">
        <v>40.412700000000001</v>
      </c>
      <c r="E686">
        <v>-76.600313999999997</v>
      </c>
      <c r="F686" s="5">
        <v>1430033</v>
      </c>
      <c r="G686" s="5" t="s">
        <v>1752</v>
      </c>
    </row>
    <row r="687" spans="1:7" x14ac:dyDescent="0.3">
      <c r="A687">
        <v>429486</v>
      </c>
      <c r="B687" t="s">
        <v>1042</v>
      </c>
      <c r="C687">
        <v>1430032</v>
      </c>
      <c r="D687">
        <v>40.300103</v>
      </c>
      <c r="E687">
        <v>-76.586326</v>
      </c>
      <c r="F687" s="5">
        <v>1430033</v>
      </c>
      <c r="G687" s="4" t="s">
        <v>1753</v>
      </c>
    </row>
    <row r="688" spans="1:7" x14ac:dyDescent="0.3">
      <c r="A688">
        <v>242598</v>
      </c>
      <c r="B688" t="s">
        <v>336</v>
      </c>
      <c r="C688">
        <v>1430033</v>
      </c>
      <c r="D688">
        <v>40.785711999999997</v>
      </c>
      <c r="E688">
        <v>-76.869398000000004</v>
      </c>
      <c r="F688" s="5">
        <v>1430033</v>
      </c>
      <c r="G688" s="5" t="s">
        <v>1752</v>
      </c>
    </row>
    <row r="689" spans="1:7" x14ac:dyDescent="0.3">
      <c r="A689">
        <v>294629</v>
      </c>
      <c r="B689" t="s">
        <v>565</v>
      </c>
      <c r="C689">
        <v>1430033</v>
      </c>
      <c r="D689">
        <v>41.054820999999997</v>
      </c>
      <c r="E689">
        <v>-76.238000999999997</v>
      </c>
      <c r="F689" s="5">
        <v>1430033</v>
      </c>
      <c r="G689" s="5" t="s">
        <v>1752</v>
      </c>
    </row>
    <row r="690" spans="1:7" x14ac:dyDescent="0.3">
      <c r="A690">
        <v>341662</v>
      </c>
      <c r="B690" t="s">
        <v>751</v>
      </c>
      <c r="C690">
        <v>1430033</v>
      </c>
      <c r="D690">
        <v>41.266019999999997</v>
      </c>
      <c r="E690">
        <v>-76.851200000000006</v>
      </c>
      <c r="F690" s="5">
        <v>1430033</v>
      </c>
      <c r="G690" s="5" t="s">
        <v>1752</v>
      </c>
    </row>
    <row r="691" spans="1:7" x14ac:dyDescent="0.3">
      <c r="A691">
        <v>415358</v>
      </c>
      <c r="B691" t="s">
        <v>792</v>
      </c>
      <c r="C691">
        <v>1430033</v>
      </c>
      <c r="D691">
        <v>41.062010000000001</v>
      </c>
      <c r="E691">
        <v>-76.244399999999999</v>
      </c>
      <c r="F691" s="5">
        <v>1430033</v>
      </c>
      <c r="G691" s="5" t="s">
        <v>1752</v>
      </c>
    </row>
    <row r="692" spans="1:7" x14ac:dyDescent="0.3">
      <c r="A692">
        <v>452133</v>
      </c>
      <c r="B692" t="s">
        <v>1163</v>
      </c>
      <c r="C692">
        <v>1430033</v>
      </c>
      <c r="D692">
        <v>41.237642000000001</v>
      </c>
      <c r="E692">
        <v>-77.036161000000007</v>
      </c>
      <c r="F692" s="5">
        <v>1430033</v>
      </c>
      <c r="G692" s="5" t="s">
        <v>1752</v>
      </c>
    </row>
    <row r="693" spans="1:7" x14ac:dyDescent="0.3">
      <c r="A693">
        <v>464926</v>
      </c>
      <c r="B693" t="s">
        <v>1241</v>
      </c>
      <c r="C693">
        <v>1430033</v>
      </c>
      <c r="D693">
        <v>41.013111000000002</v>
      </c>
      <c r="E693">
        <v>-76.414354000000003</v>
      </c>
      <c r="F693" s="5">
        <v>1430033</v>
      </c>
      <c r="G693" s="5" t="s">
        <v>1752</v>
      </c>
    </row>
    <row r="694" spans="1:7" x14ac:dyDescent="0.3">
      <c r="A694">
        <v>465579</v>
      </c>
      <c r="B694" t="s">
        <v>1249</v>
      </c>
      <c r="C694">
        <v>1430033</v>
      </c>
      <c r="D694">
        <v>40.857309999999998</v>
      </c>
      <c r="E694">
        <v>-76.759293999999997</v>
      </c>
      <c r="F694" s="5">
        <v>1430033</v>
      </c>
      <c r="G694" s="5" t="s">
        <v>1752</v>
      </c>
    </row>
    <row r="695" spans="1:7" x14ac:dyDescent="0.3">
      <c r="A695">
        <v>465798</v>
      </c>
      <c r="B695" t="s">
        <v>1251</v>
      </c>
      <c r="C695">
        <v>1430033</v>
      </c>
      <c r="D695">
        <v>40.856399000000003</v>
      </c>
      <c r="E695">
        <v>-76.789415000000005</v>
      </c>
      <c r="F695" s="5">
        <v>1430033</v>
      </c>
      <c r="G695" s="5" t="s">
        <v>1752</v>
      </c>
    </row>
    <row r="696" spans="1:7" x14ac:dyDescent="0.3">
      <c r="A696">
        <v>470549</v>
      </c>
      <c r="B696" t="s">
        <v>1300</v>
      </c>
      <c r="C696">
        <v>1430033</v>
      </c>
      <c r="D696">
        <v>41.104092999999999</v>
      </c>
      <c r="E696">
        <v>-76.802824000000001</v>
      </c>
      <c r="F696" s="5">
        <v>1430033</v>
      </c>
      <c r="G696" s="5" t="s">
        <v>1752</v>
      </c>
    </row>
    <row r="697" spans="1:7" x14ac:dyDescent="0.3">
      <c r="A697">
        <v>470636</v>
      </c>
      <c r="B697" t="s">
        <v>1312</v>
      </c>
      <c r="C697">
        <v>1430033</v>
      </c>
      <c r="D697">
        <v>40.956420000000001</v>
      </c>
      <c r="E697">
        <v>-76.603449999999995</v>
      </c>
      <c r="F697" s="5">
        <v>1430033</v>
      </c>
      <c r="G697" s="5" t="s">
        <v>1752</v>
      </c>
    </row>
    <row r="698" spans="1:7" x14ac:dyDescent="0.3">
      <c r="A698">
        <v>471593</v>
      </c>
      <c r="B698" t="s">
        <v>1322</v>
      </c>
      <c r="C698">
        <v>1430033</v>
      </c>
      <c r="D698">
        <v>41.260804</v>
      </c>
      <c r="E698">
        <v>-76.968125000000001</v>
      </c>
      <c r="F698" s="5">
        <v>1430033</v>
      </c>
      <c r="G698" s="5" t="s">
        <v>1752</v>
      </c>
    </row>
    <row r="699" spans="1:7" x14ac:dyDescent="0.3">
      <c r="A699">
        <v>471593</v>
      </c>
      <c r="B699" t="s">
        <v>1322</v>
      </c>
      <c r="C699">
        <v>1430033</v>
      </c>
      <c r="D699">
        <v>41.260804</v>
      </c>
      <c r="E699">
        <v>-76.968125000000001</v>
      </c>
      <c r="F699" s="5">
        <v>1430033</v>
      </c>
      <c r="G699" s="5" t="s">
        <v>1752</v>
      </c>
    </row>
    <row r="700" spans="1:7" x14ac:dyDescent="0.3">
      <c r="A700">
        <v>472845</v>
      </c>
      <c r="B700" t="s">
        <v>1333</v>
      </c>
      <c r="C700">
        <v>1430033</v>
      </c>
      <c r="D700">
        <v>40.856399000000003</v>
      </c>
      <c r="E700">
        <v>-76.789415000000005</v>
      </c>
      <c r="F700" s="5">
        <v>1430033</v>
      </c>
      <c r="G700" s="5" t="s">
        <v>1752</v>
      </c>
    </row>
    <row r="701" spans="1:7" x14ac:dyDescent="0.3">
      <c r="A701">
        <v>482194</v>
      </c>
      <c r="B701" t="s">
        <v>1385</v>
      </c>
      <c r="C701">
        <v>1430033</v>
      </c>
      <c r="D701">
        <v>41.10539</v>
      </c>
      <c r="E701">
        <v>-78.387559999999993</v>
      </c>
      <c r="F701" s="5">
        <v>1430033</v>
      </c>
      <c r="G701" s="5" t="s">
        <v>1752</v>
      </c>
    </row>
    <row r="702" spans="1:7" x14ac:dyDescent="0.3">
      <c r="A702">
        <v>483025</v>
      </c>
      <c r="B702" t="s">
        <v>1396</v>
      </c>
      <c r="C702">
        <v>1430033</v>
      </c>
      <c r="D702">
        <v>41.240130999999998</v>
      </c>
      <c r="E702">
        <v>-76.732847000000007</v>
      </c>
      <c r="F702" s="5">
        <v>1430033</v>
      </c>
      <c r="G702" s="5" t="s">
        <v>1752</v>
      </c>
    </row>
    <row r="703" spans="1:7" x14ac:dyDescent="0.3">
      <c r="A703">
        <v>483026</v>
      </c>
      <c r="B703" t="s">
        <v>1398</v>
      </c>
      <c r="C703">
        <v>1430033</v>
      </c>
      <c r="D703">
        <v>41.237029999999997</v>
      </c>
      <c r="E703">
        <v>-76.734054</v>
      </c>
      <c r="F703" s="5">
        <v>1430033</v>
      </c>
      <c r="G703" s="5" t="s">
        <v>1752</v>
      </c>
    </row>
    <row r="704" spans="1:7" x14ac:dyDescent="0.3">
      <c r="A704">
        <v>239504</v>
      </c>
      <c r="B704" t="s">
        <v>180</v>
      </c>
      <c r="C704">
        <v>1430016</v>
      </c>
      <c r="D704">
        <v>40.136780000000002</v>
      </c>
      <c r="E704">
        <v>-76.349351999999996</v>
      </c>
      <c r="F704" s="5">
        <v>1430016</v>
      </c>
      <c r="G704" s="5" t="s">
        <v>1752</v>
      </c>
    </row>
    <row r="705" spans="1:7" x14ac:dyDescent="0.3">
      <c r="A705">
        <v>239922</v>
      </c>
      <c r="B705" t="s">
        <v>196</v>
      </c>
      <c r="C705">
        <v>1430035</v>
      </c>
      <c r="D705">
        <v>40.163252</v>
      </c>
      <c r="E705">
        <v>-76.445222000000001</v>
      </c>
      <c r="F705" s="5">
        <v>1430035</v>
      </c>
      <c r="G705" s="5" t="s">
        <v>1752</v>
      </c>
    </row>
    <row r="706" spans="1:7" x14ac:dyDescent="0.3">
      <c r="A706">
        <v>239985</v>
      </c>
      <c r="B706" t="s">
        <v>202</v>
      </c>
      <c r="C706">
        <v>1430035</v>
      </c>
      <c r="D706">
        <v>40.292920000000002</v>
      </c>
      <c r="E706">
        <v>-76.549980000000005</v>
      </c>
      <c r="F706" s="5">
        <v>1430033</v>
      </c>
      <c r="G706" s="4" t="s">
        <v>1753</v>
      </c>
    </row>
    <row r="707" spans="1:7" x14ac:dyDescent="0.3">
      <c r="A707">
        <v>240462</v>
      </c>
      <c r="B707" t="s">
        <v>234</v>
      </c>
      <c r="C707">
        <v>1430035</v>
      </c>
      <c r="D707">
        <v>40.111637000000002</v>
      </c>
      <c r="E707">
        <v>-76.503679000000005</v>
      </c>
      <c r="F707" s="5">
        <v>1430035</v>
      </c>
      <c r="G707" s="5" t="s">
        <v>1752</v>
      </c>
    </row>
    <row r="708" spans="1:7" x14ac:dyDescent="0.3">
      <c r="A708">
        <v>240499</v>
      </c>
      <c r="B708" t="s">
        <v>238</v>
      </c>
      <c r="C708">
        <v>1430035</v>
      </c>
      <c r="D708">
        <v>40.229277000000003</v>
      </c>
      <c r="E708">
        <v>-76.455629000000002</v>
      </c>
      <c r="F708" s="5">
        <v>1430035</v>
      </c>
      <c r="G708" s="5" t="s">
        <v>1752</v>
      </c>
    </row>
    <row r="709" spans="1:7" x14ac:dyDescent="0.3">
      <c r="A709">
        <v>240723</v>
      </c>
      <c r="B709" t="s">
        <v>1240</v>
      </c>
      <c r="C709">
        <v>1430035</v>
      </c>
      <c r="D709">
        <v>40.129150000000003</v>
      </c>
      <c r="E709">
        <v>-76.454710000000006</v>
      </c>
      <c r="F709" s="5">
        <v>1430035</v>
      </c>
      <c r="G709" s="5" t="s">
        <v>1752</v>
      </c>
    </row>
    <row r="710" spans="1:7" x14ac:dyDescent="0.3">
      <c r="A710">
        <v>240727</v>
      </c>
      <c r="B710" t="s">
        <v>242</v>
      </c>
      <c r="C710">
        <v>1430035</v>
      </c>
      <c r="D710">
        <v>40.161990000000003</v>
      </c>
      <c r="E710">
        <v>-76.396389999999997</v>
      </c>
      <c r="F710" s="5">
        <v>1430035</v>
      </c>
      <c r="G710" s="5" t="s">
        <v>1752</v>
      </c>
    </row>
    <row r="711" spans="1:7" x14ac:dyDescent="0.3">
      <c r="A711">
        <v>240844</v>
      </c>
      <c r="B711" t="s">
        <v>256</v>
      </c>
      <c r="C711">
        <v>1430035</v>
      </c>
      <c r="D711">
        <v>40.326377999999998</v>
      </c>
      <c r="E711">
        <v>-76.421484000000007</v>
      </c>
      <c r="F711" s="5">
        <v>1430033</v>
      </c>
      <c r="G711" s="4" t="s">
        <v>1753</v>
      </c>
    </row>
    <row r="712" spans="1:7" x14ac:dyDescent="0.3">
      <c r="A712">
        <v>240847</v>
      </c>
      <c r="B712" t="s">
        <v>258</v>
      </c>
      <c r="C712">
        <v>1430035</v>
      </c>
      <c r="D712">
        <v>40.302691000000003</v>
      </c>
      <c r="E712">
        <v>-76.413039999999995</v>
      </c>
      <c r="F712" s="5">
        <v>1430033</v>
      </c>
      <c r="G712" s="4" t="s">
        <v>1753</v>
      </c>
    </row>
    <row r="713" spans="1:7" x14ac:dyDescent="0.3">
      <c r="A713">
        <v>241277</v>
      </c>
      <c r="B713" t="s">
        <v>1426</v>
      </c>
      <c r="C713">
        <v>1430033</v>
      </c>
      <c r="D713">
        <v>40.434973999999997</v>
      </c>
      <c r="E713">
        <v>-76.447858999999994</v>
      </c>
      <c r="F713" s="5">
        <v>1430033</v>
      </c>
      <c r="G713" s="5" t="s">
        <v>1752</v>
      </c>
    </row>
    <row r="714" spans="1:7" x14ac:dyDescent="0.3">
      <c r="A714">
        <v>241454</v>
      </c>
      <c r="B714" t="s">
        <v>292</v>
      </c>
      <c r="C714">
        <v>1430035</v>
      </c>
      <c r="D714">
        <v>40.183365999999999</v>
      </c>
      <c r="E714">
        <v>-76.377803</v>
      </c>
      <c r="F714" s="5">
        <v>1430035</v>
      </c>
      <c r="G714" s="5" t="s">
        <v>1752</v>
      </c>
    </row>
    <row r="715" spans="1:7" x14ac:dyDescent="0.3">
      <c r="A715">
        <v>242421</v>
      </c>
      <c r="B715" t="s">
        <v>332</v>
      </c>
      <c r="C715">
        <v>1430035</v>
      </c>
      <c r="D715">
        <v>40.118029</v>
      </c>
      <c r="E715">
        <v>-76.533852999999993</v>
      </c>
      <c r="F715" s="5">
        <v>1430035</v>
      </c>
      <c r="G715" s="5" t="s">
        <v>1752</v>
      </c>
    </row>
    <row r="716" spans="1:7" x14ac:dyDescent="0.3">
      <c r="A716">
        <v>246796</v>
      </c>
      <c r="B716" t="s">
        <v>451</v>
      </c>
      <c r="C716">
        <v>1430035</v>
      </c>
      <c r="D716">
        <v>40.332465999999997</v>
      </c>
      <c r="E716">
        <v>-76.450291000000007</v>
      </c>
      <c r="F716" s="5">
        <v>1430035</v>
      </c>
      <c r="G716" s="5" t="s">
        <v>1752</v>
      </c>
    </row>
    <row r="717" spans="1:7" x14ac:dyDescent="0.3">
      <c r="A717">
        <v>264813</v>
      </c>
      <c r="B717" t="s">
        <v>469</v>
      </c>
      <c r="C717">
        <v>1430035</v>
      </c>
      <c r="D717">
        <v>40.164630000000002</v>
      </c>
      <c r="E717">
        <v>-76.391649999999998</v>
      </c>
      <c r="F717" s="5">
        <v>1430035</v>
      </c>
      <c r="G717" s="5" t="s">
        <v>1752</v>
      </c>
    </row>
    <row r="718" spans="1:7" x14ac:dyDescent="0.3">
      <c r="A718">
        <v>267169</v>
      </c>
      <c r="B718" t="s">
        <v>481</v>
      </c>
      <c r="C718">
        <v>1430035</v>
      </c>
      <c r="D718">
        <v>40.286605999999999</v>
      </c>
      <c r="E718">
        <v>-76.469474000000005</v>
      </c>
      <c r="F718" s="5">
        <v>1430035</v>
      </c>
      <c r="G718" s="5" t="s">
        <v>1752</v>
      </c>
    </row>
    <row r="719" spans="1:7" x14ac:dyDescent="0.3">
      <c r="A719">
        <v>272805</v>
      </c>
      <c r="B719" t="s">
        <v>507</v>
      </c>
      <c r="C719">
        <v>1430035</v>
      </c>
      <c r="D719">
        <v>40.169840000000001</v>
      </c>
      <c r="E719">
        <v>-76.542580000000001</v>
      </c>
      <c r="F719" s="5">
        <v>1430035</v>
      </c>
      <c r="G719" s="5" t="s">
        <v>1752</v>
      </c>
    </row>
    <row r="720" spans="1:7" x14ac:dyDescent="0.3">
      <c r="A720">
        <v>281065</v>
      </c>
      <c r="B720" t="s">
        <v>527</v>
      </c>
      <c r="C720">
        <v>1430035</v>
      </c>
      <c r="D720">
        <v>40.360900000000001</v>
      </c>
      <c r="E720">
        <v>-76.460909999999998</v>
      </c>
      <c r="F720" s="5">
        <v>1430033</v>
      </c>
      <c r="G720" s="4" t="s">
        <v>1753</v>
      </c>
    </row>
    <row r="721" spans="1:7" x14ac:dyDescent="0.3">
      <c r="A721">
        <v>286415</v>
      </c>
      <c r="B721" t="s">
        <v>551</v>
      </c>
      <c r="C721">
        <v>1430035</v>
      </c>
      <c r="D721">
        <v>40.330288000000003</v>
      </c>
      <c r="E721">
        <v>-76.505615000000006</v>
      </c>
      <c r="F721" s="5">
        <v>1430035</v>
      </c>
      <c r="G721" s="5" t="s">
        <v>1752</v>
      </c>
    </row>
    <row r="722" spans="1:7" x14ac:dyDescent="0.3">
      <c r="A722">
        <v>306344</v>
      </c>
      <c r="B722" t="s">
        <v>633</v>
      </c>
      <c r="C722">
        <v>1430016</v>
      </c>
      <c r="D722">
        <v>40.140965999999999</v>
      </c>
      <c r="E722">
        <v>-76.381367999999995</v>
      </c>
      <c r="F722" s="5">
        <v>1430016</v>
      </c>
      <c r="G722" s="5" t="s">
        <v>1752</v>
      </c>
    </row>
    <row r="723" spans="1:7" x14ac:dyDescent="0.3">
      <c r="A723">
        <v>316190</v>
      </c>
      <c r="B723" t="s">
        <v>1521</v>
      </c>
      <c r="C723">
        <v>1430035</v>
      </c>
      <c r="D723">
        <v>40.323675000000001</v>
      </c>
      <c r="E723">
        <v>-76.539492999999993</v>
      </c>
      <c r="F723" s="5">
        <v>1430033</v>
      </c>
      <c r="G723" s="4" t="s">
        <v>1753</v>
      </c>
    </row>
    <row r="724" spans="1:7" x14ac:dyDescent="0.3">
      <c r="A724">
        <v>323231</v>
      </c>
      <c r="B724" t="s">
        <v>703</v>
      </c>
      <c r="C724">
        <v>1430016</v>
      </c>
      <c r="D724">
        <v>40.175379999999997</v>
      </c>
      <c r="E724">
        <v>-76.313230000000004</v>
      </c>
      <c r="F724" s="5">
        <v>1430016</v>
      </c>
      <c r="G724" s="5" t="s">
        <v>1752</v>
      </c>
    </row>
    <row r="725" spans="1:7" x14ac:dyDescent="0.3">
      <c r="A725">
        <v>330648</v>
      </c>
      <c r="B725" t="s">
        <v>1526</v>
      </c>
      <c r="C725">
        <v>1430035</v>
      </c>
      <c r="D725">
        <v>40.338852000000003</v>
      </c>
      <c r="E725">
        <v>-76.440584999999999</v>
      </c>
      <c r="F725" s="5">
        <v>1430033</v>
      </c>
      <c r="G725" s="4" t="s">
        <v>1753</v>
      </c>
    </row>
    <row r="726" spans="1:7" x14ac:dyDescent="0.3">
      <c r="A726">
        <v>342427</v>
      </c>
      <c r="B726" t="s">
        <v>753</v>
      </c>
      <c r="C726">
        <v>1430035</v>
      </c>
      <c r="D726">
        <v>40.129075999999998</v>
      </c>
      <c r="E726">
        <v>-76.562849999999997</v>
      </c>
      <c r="F726" s="5">
        <v>1430035</v>
      </c>
      <c r="G726" s="5" t="s">
        <v>1752</v>
      </c>
    </row>
    <row r="727" spans="1:7" x14ac:dyDescent="0.3">
      <c r="A727">
        <v>415635</v>
      </c>
      <c r="B727" t="s">
        <v>815</v>
      </c>
      <c r="C727">
        <v>1430035</v>
      </c>
      <c r="D727">
        <v>40.347822999999998</v>
      </c>
      <c r="E727">
        <v>-76.437899999999999</v>
      </c>
      <c r="F727" s="5">
        <v>1430033</v>
      </c>
      <c r="G727" s="4" t="s">
        <v>1753</v>
      </c>
    </row>
    <row r="728" spans="1:7" x14ac:dyDescent="0.3">
      <c r="A728">
        <v>433738</v>
      </c>
      <c r="B728" t="s">
        <v>1550</v>
      </c>
      <c r="C728">
        <v>1430035</v>
      </c>
      <c r="D728">
        <v>40.314036000000002</v>
      </c>
      <c r="E728">
        <v>-76.391999999999996</v>
      </c>
      <c r="F728" s="5">
        <v>1430033</v>
      </c>
      <c r="G728" s="4" t="s">
        <v>1753</v>
      </c>
    </row>
    <row r="729" spans="1:7" x14ac:dyDescent="0.3">
      <c r="A729">
        <v>449185</v>
      </c>
      <c r="B729" t="s">
        <v>1148</v>
      </c>
      <c r="C729">
        <v>1430035</v>
      </c>
      <c r="D729">
        <v>40.096471999999999</v>
      </c>
      <c r="E729">
        <v>-76.512857999999994</v>
      </c>
      <c r="F729" s="5">
        <v>1430035</v>
      </c>
      <c r="G729" s="5" t="s">
        <v>1752</v>
      </c>
    </row>
    <row r="730" spans="1:7" x14ac:dyDescent="0.3">
      <c r="A730">
        <v>453125</v>
      </c>
      <c r="B730" t="s">
        <v>1558</v>
      </c>
      <c r="C730">
        <v>1430033</v>
      </c>
      <c r="D730">
        <v>40.434973999999997</v>
      </c>
      <c r="E730">
        <v>-76.447858999999994</v>
      </c>
      <c r="F730" s="5">
        <v>1430033</v>
      </c>
      <c r="G730" s="5" t="s">
        <v>1752</v>
      </c>
    </row>
    <row r="731" spans="1:7" x14ac:dyDescent="0.3">
      <c r="A731">
        <v>455107</v>
      </c>
      <c r="B731" t="s">
        <v>1179</v>
      </c>
      <c r="C731">
        <v>1430035</v>
      </c>
      <c r="D731">
        <v>40.295611999999998</v>
      </c>
      <c r="E731">
        <v>-76.490622999999999</v>
      </c>
      <c r="F731" s="5">
        <v>1430035</v>
      </c>
      <c r="G731" s="5" t="s">
        <v>1752</v>
      </c>
    </row>
    <row r="732" spans="1:7" x14ac:dyDescent="0.3">
      <c r="A732">
        <v>462866</v>
      </c>
      <c r="B732" t="s">
        <v>1217</v>
      </c>
      <c r="C732">
        <v>1430016</v>
      </c>
      <c r="D732">
        <v>40.175379999999997</v>
      </c>
      <c r="E732">
        <v>-76.313230000000004</v>
      </c>
      <c r="F732" s="5">
        <v>1430016</v>
      </c>
      <c r="G732" s="5" t="s">
        <v>1752</v>
      </c>
    </row>
    <row r="733" spans="1:7" x14ac:dyDescent="0.3">
      <c r="A733">
        <v>468380</v>
      </c>
      <c r="B733" t="s">
        <v>1278</v>
      </c>
      <c r="C733">
        <v>1430035</v>
      </c>
      <c r="D733">
        <v>40.096249999999998</v>
      </c>
      <c r="E733">
        <v>-76.515519999999995</v>
      </c>
      <c r="F733" s="5">
        <v>1430035</v>
      </c>
      <c r="G733" s="5" t="s">
        <v>1752</v>
      </c>
    </row>
    <row r="734" spans="1:7" x14ac:dyDescent="0.3">
      <c r="A734">
        <v>480178</v>
      </c>
      <c r="B734" t="s">
        <v>597</v>
      </c>
      <c r="C734">
        <v>1430016</v>
      </c>
      <c r="D734">
        <v>40.175379999999997</v>
      </c>
      <c r="E734">
        <v>-76.313230000000004</v>
      </c>
      <c r="F734" s="5">
        <v>1430016</v>
      </c>
      <c r="G734" s="5" t="s">
        <v>1752</v>
      </c>
    </row>
    <row r="735" spans="1:7" x14ac:dyDescent="0.3">
      <c r="A735">
        <v>481877</v>
      </c>
      <c r="B735" t="s">
        <v>1384</v>
      </c>
      <c r="C735">
        <v>1430035</v>
      </c>
      <c r="D735">
        <v>40.096471999999999</v>
      </c>
      <c r="E735">
        <v>-76.512857999999994</v>
      </c>
      <c r="F735" s="5">
        <v>1430035</v>
      </c>
      <c r="G735" s="5" t="s">
        <v>1752</v>
      </c>
    </row>
    <row r="736" spans="1:7" x14ac:dyDescent="0.3">
      <c r="A736">
        <v>483571</v>
      </c>
      <c r="B736" t="s">
        <v>1404</v>
      </c>
      <c r="C736">
        <v>1430035</v>
      </c>
      <c r="D736">
        <v>40.286802000000002</v>
      </c>
      <c r="E736">
        <v>-76.567274999999995</v>
      </c>
      <c r="F736" s="5">
        <v>1430033</v>
      </c>
      <c r="G736" s="4" t="s">
        <v>1753</v>
      </c>
    </row>
    <row r="737" spans="1:7" x14ac:dyDescent="0.3">
      <c r="A737">
        <v>241778</v>
      </c>
      <c r="B737" t="s">
        <v>306</v>
      </c>
      <c r="C737">
        <v>1430044</v>
      </c>
      <c r="D737">
        <v>39.873358000000003</v>
      </c>
      <c r="E737">
        <v>-77.691616999999994</v>
      </c>
      <c r="F737" s="5">
        <v>1430044</v>
      </c>
      <c r="G737" s="5" t="s">
        <v>1752</v>
      </c>
    </row>
    <row r="738" spans="1:7" x14ac:dyDescent="0.3">
      <c r="A738">
        <v>468494</v>
      </c>
      <c r="B738" t="s">
        <v>1284</v>
      </c>
      <c r="C738">
        <v>1430044</v>
      </c>
      <c r="D738">
        <v>39.898392000000001</v>
      </c>
      <c r="E738">
        <v>-77.687361999999993</v>
      </c>
      <c r="F738" s="5">
        <v>1430044</v>
      </c>
      <c r="G738" s="5" t="s">
        <v>1752</v>
      </c>
    </row>
    <row r="739" spans="1:7" x14ac:dyDescent="0.3">
      <c r="A739">
        <v>240274</v>
      </c>
      <c r="B739" t="s">
        <v>228</v>
      </c>
      <c r="C739">
        <v>1430033</v>
      </c>
      <c r="D739">
        <v>40.551862999999997</v>
      </c>
      <c r="E739">
        <v>-77.152263000000005</v>
      </c>
      <c r="F739" s="5">
        <v>1430033</v>
      </c>
      <c r="G739" s="5" t="s">
        <v>1752</v>
      </c>
    </row>
    <row r="740" spans="1:7" x14ac:dyDescent="0.3">
      <c r="A740">
        <v>285279</v>
      </c>
      <c r="B740" t="s">
        <v>547</v>
      </c>
      <c r="C740">
        <v>1430038</v>
      </c>
      <c r="D740">
        <v>40.594425000000001</v>
      </c>
      <c r="E740">
        <v>-77.56841</v>
      </c>
      <c r="F740" s="5">
        <v>1430038</v>
      </c>
      <c r="G740" s="5" t="s">
        <v>1752</v>
      </c>
    </row>
    <row r="741" spans="1:7" x14ac:dyDescent="0.3">
      <c r="A741">
        <v>311693</v>
      </c>
      <c r="B741" t="s">
        <v>1517</v>
      </c>
      <c r="C741">
        <v>1430033</v>
      </c>
      <c r="D741">
        <v>40.546923</v>
      </c>
      <c r="E741">
        <v>-77.369364000000004</v>
      </c>
      <c r="F741" s="5">
        <v>1430033</v>
      </c>
      <c r="G741" s="5" t="s">
        <v>1752</v>
      </c>
    </row>
    <row r="742" spans="1:7" x14ac:dyDescent="0.3">
      <c r="A742">
        <v>441976</v>
      </c>
      <c r="B742" t="s">
        <v>547</v>
      </c>
      <c r="C742">
        <v>1430038</v>
      </c>
      <c r="D742">
        <v>40.594425000000001</v>
      </c>
      <c r="E742">
        <v>-77.56841</v>
      </c>
      <c r="F742" s="5">
        <v>1430038</v>
      </c>
      <c r="G742" s="5" t="s">
        <v>1752</v>
      </c>
    </row>
    <row r="743" spans="1:7" x14ac:dyDescent="0.3">
      <c r="A743">
        <v>442018</v>
      </c>
      <c r="B743" t="s">
        <v>1115</v>
      </c>
      <c r="C743">
        <v>1430038</v>
      </c>
      <c r="D743">
        <v>40.594239000000002</v>
      </c>
      <c r="E743">
        <v>-77.561092000000002</v>
      </c>
      <c r="F743" s="5">
        <v>1430038</v>
      </c>
      <c r="G743" s="5" t="s">
        <v>1752</v>
      </c>
    </row>
    <row r="744" spans="1:7" x14ac:dyDescent="0.3">
      <c r="A744">
        <v>442019</v>
      </c>
      <c r="B744" t="s">
        <v>1555</v>
      </c>
      <c r="C744">
        <v>1430038</v>
      </c>
      <c r="D744">
        <v>40.595016999999999</v>
      </c>
      <c r="E744">
        <v>-77.559965000000005</v>
      </c>
      <c r="F744" s="5">
        <v>1430038</v>
      </c>
      <c r="G744" s="5" t="s">
        <v>1752</v>
      </c>
    </row>
    <row r="745" spans="1:7" x14ac:dyDescent="0.3">
      <c r="A745">
        <v>445817</v>
      </c>
      <c r="B745" t="s">
        <v>1123</v>
      </c>
      <c r="C745">
        <v>1430038</v>
      </c>
      <c r="D745">
        <v>40.630906000000003</v>
      </c>
      <c r="E745">
        <v>-77.498953999999998</v>
      </c>
      <c r="F745" s="5">
        <v>1430033</v>
      </c>
      <c r="G745" s="4" t="s">
        <v>1753</v>
      </c>
    </row>
    <row r="746" spans="1:7" x14ac:dyDescent="0.3">
      <c r="A746">
        <v>445819</v>
      </c>
      <c r="B746" t="s">
        <v>1125</v>
      </c>
      <c r="C746">
        <v>1430038</v>
      </c>
      <c r="D746">
        <v>40.623237000000003</v>
      </c>
      <c r="E746">
        <v>-77.568104000000005</v>
      </c>
      <c r="F746" s="5">
        <v>1430038</v>
      </c>
      <c r="G746" s="5" t="s">
        <v>1752</v>
      </c>
    </row>
    <row r="747" spans="1:7" x14ac:dyDescent="0.3">
      <c r="A747">
        <v>445820</v>
      </c>
      <c r="B747" t="s">
        <v>1127</v>
      </c>
      <c r="C747">
        <v>1430038</v>
      </c>
      <c r="D747">
        <v>40.625081999999999</v>
      </c>
      <c r="E747">
        <v>-77.570041000000003</v>
      </c>
      <c r="F747" s="5">
        <v>1430038</v>
      </c>
      <c r="G747" s="5" t="s">
        <v>1752</v>
      </c>
    </row>
    <row r="748" spans="1:7" x14ac:dyDescent="0.3">
      <c r="A748">
        <v>445821</v>
      </c>
      <c r="B748" t="s">
        <v>1129</v>
      </c>
      <c r="C748">
        <v>1430033</v>
      </c>
      <c r="D748">
        <v>40.689225</v>
      </c>
      <c r="E748">
        <v>-77.594041000000004</v>
      </c>
      <c r="F748" s="5">
        <v>1430033</v>
      </c>
      <c r="G748" s="5" t="s">
        <v>1752</v>
      </c>
    </row>
    <row r="749" spans="1:7" x14ac:dyDescent="0.3">
      <c r="A749">
        <v>445822</v>
      </c>
      <c r="B749" t="s">
        <v>1131</v>
      </c>
      <c r="C749">
        <v>1430038</v>
      </c>
      <c r="D749">
        <v>40.594164999999997</v>
      </c>
      <c r="E749">
        <v>-77.566210999999996</v>
      </c>
      <c r="F749" s="5">
        <v>1430038</v>
      </c>
      <c r="G749" s="5" t="s">
        <v>1752</v>
      </c>
    </row>
    <row r="750" spans="1:7" x14ac:dyDescent="0.3">
      <c r="A750">
        <v>445823</v>
      </c>
      <c r="B750" t="s">
        <v>1133</v>
      </c>
      <c r="C750">
        <v>1430038</v>
      </c>
      <c r="D750">
        <v>40.546633999999997</v>
      </c>
      <c r="E750">
        <v>-77.671332000000007</v>
      </c>
      <c r="F750" s="5">
        <v>1430033</v>
      </c>
      <c r="G750" s="4" t="s">
        <v>1753</v>
      </c>
    </row>
    <row r="751" spans="1:7" x14ac:dyDescent="0.3">
      <c r="A751">
        <v>448130</v>
      </c>
      <c r="B751" t="s">
        <v>1141</v>
      </c>
      <c r="C751">
        <v>1430033</v>
      </c>
      <c r="D751">
        <v>40.483857999999998</v>
      </c>
      <c r="E751">
        <v>-77.139868000000007</v>
      </c>
      <c r="F751" s="5">
        <v>1430033</v>
      </c>
      <c r="G751" s="5" t="s">
        <v>1752</v>
      </c>
    </row>
    <row r="752" spans="1:7" x14ac:dyDescent="0.3">
      <c r="A752">
        <v>240202</v>
      </c>
      <c r="B752" t="s">
        <v>220</v>
      </c>
      <c r="C752">
        <v>1430044</v>
      </c>
      <c r="D752">
        <v>39.834147000000002</v>
      </c>
      <c r="E752">
        <v>-77.233689999999996</v>
      </c>
      <c r="F752" s="5">
        <v>1430044</v>
      </c>
      <c r="G752" s="5" t="s">
        <v>1752</v>
      </c>
    </row>
    <row r="753" spans="1:7" x14ac:dyDescent="0.3">
      <c r="A753">
        <v>240204</v>
      </c>
      <c r="B753" t="s">
        <v>222</v>
      </c>
      <c r="C753">
        <v>1430044</v>
      </c>
      <c r="D753">
        <v>39.849545999999997</v>
      </c>
      <c r="E753">
        <v>-77.234336999999996</v>
      </c>
      <c r="F753" s="5">
        <v>1430044</v>
      </c>
      <c r="G753" s="5" t="s">
        <v>1752</v>
      </c>
    </row>
    <row r="754" spans="1:7" x14ac:dyDescent="0.3">
      <c r="A754">
        <v>240911</v>
      </c>
      <c r="B754" t="s">
        <v>266</v>
      </c>
      <c r="C754">
        <v>1430044</v>
      </c>
      <c r="D754">
        <v>39.752392</v>
      </c>
      <c r="E754">
        <v>-77.088627000000002</v>
      </c>
      <c r="F754" s="5">
        <v>1430044</v>
      </c>
      <c r="G754" s="5" t="s">
        <v>1752</v>
      </c>
    </row>
    <row r="755" spans="1:7" x14ac:dyDescent="0.3">
      <c r="A755">
        <v>241657</v>
      </c>
      <c r="B755" t="s">
        <v>1436</v>
      </c>
      <c r="C755">
        <v>1430039</v>
      </c>
      <c r="D755">
        <v>39.772196999999998</v>
      </c>
      <c r="E755">
        <v>-76.957617999999997</v>
      </c>
      <c r="F755" s="5">
        <v>1430039</v>
      </c>
      <c r="G755" s="5" t="s">
        <v>1752</v>
      </c>
    </row>
    <row r="756" spans="1:7" x14ac:dyDescent="0.3">
      <c r="A756">
        <v>241676</v>
      </c>
      <c r="B756" t="s">
        <v>296</v>
      </c>
      <c r="C756">
        <v>1430039</v>
      </c>
      <c r="D756">
        <v>39.811762000000002</v>
      </c>
      <c r="E756">
        <v>-76.976827</v>
      </c>
      <c r="F756" s="5">
        <v>1430039</v>
      </c>
      <c r="G756" s="5" t="s">
        <v>1752</v>
      </c>
    </row>
    <row r="757" spans="1:7" x14ac:dyDescent="0.3">
      <c r="A757">
        <v>269479</v>
      </c>
      <c r="B757" t="s">
        <v>487</v>
      </c>
      <c r="C757">
        <v>1430044</v>
      </c>
      <c r="D757">
        <v>39.868074999999997</v>
      </c>
      <c r="E757">
        <v>-77.046175000000005</v>
      </c>
      <c r="F757" s="5">
        <v>1430044</v>
      </c>
      <c r="G757" s="5" t="s">
        <v>1752</v>
      </c>
    </row>
    <row r="758" spans="1:7" x14ac:dyDescent="0.3">
      <c r="A758">
        <v>272622</v>
      </c>
      <c r="B758" t="s">
        <v>1494</v>
      </c>
      <c r="C758">
        <v>1430039</v>
      </c>
      <c r="D758">
        <v>39.800930000000001</v>
      </c>
      <c r="E758">
        <v>-76.955016000000001</v>
      </c>
      <c r="F758" s="5">
        <v>1430039</v>
      </c>
      <c r="G758" s="5" t="s">
        <v>1752</v>
      </c>
    </row>
    <row r="759" spans="1:7" x14ac:dyDescent="0.3">
      <c r="A759">
        <v>296618</v>
      </c>
      <c r="B759" t="s">
        <v>581</v>
      </c>
      <c r="C759">
        <v>1430039</v>
      </c>
      <c r="D759">
        <v>39.819155000000002</v>
      </c>
      <c r="E759">
        <v>-76.978606999999997</v>
      </c>
      <c r="F759" s="5">
        <v>1430044</v>
      </c>
      <c r="G759" s="4" t="s">
        <v>1753</v>
      </c>
    </row>
    <row r="760" spans="1:7" x14ac:dyDescent="0.3">
      <c r="A760">
        <v>415353</v>
      </c>
      <c r="B760" t="s">
        <v>790</v>
      </c>
      <c r="C760">
        <v>1430039</v>
      </c>
      <c r="D760">
        <v>39.803339999999999</v>
      </c>
      <c r="E760">
        <v>-76.965220000000002</v>
      </c>
      <c r="F760" s="5">
        <v>1430039</v>
      </c>
      <c r="G760" s="5" t="s">
        <v>1752</v>
      </c>
    </row>
    <row r="761" spans="1:7" x14ac:dyDescent="0.3">
      <c r="A761">
        <v>415504</v>
      </c>
      <c r="B761" t="s">
        <v>813</v>
      </c>
      <c r="C761">
        <v>1430039</v>
      </c>
      <c r="D761">
        <v>39.824086000000001</v>
      </c>
      <c r="E761">
        <v>-76.968598</v>
      </c>
      <c r="F761" s="5">
        <v>1430039</v>
      </c>
      <c r="G761" s="5" t="s">
        <v>1752</v>
      </c>
    </row>
    <row r="762" spans="1:7" x14ac:dyDescent="0.3">
      <c r="A762">
        <v>423942</v>
      </c>
      <c r="B762" t="s">
        <v>1006</v>
      </c>
      <c r="C762">
        <v>1430039</v>
      </c>
      <c r="D762">
        <v>39.787089000000002</v>
      </c>
      <c r="E762">
        <v>-76.959456000000003</v>
      </c>
      <c r="F762" s="5">
        <v>1430039</v>
      </c>
      <c r="G762" s="5" t="s">
        <v>1752</v>
      </c>
    </row>
    <row r="763" spans="1:7" x14ac:dyDescent="0.3">
      <c r="A763">
        <v>424469</v>
      </c>
      <c r="B763" t="s">
        <v>1010</v>
      </c>
      <c r="C763">
        <v>1430039</v>
      </c>
      <c r="D763">
        <v>39.760095</v>
      </c>
      <c r="E763">
        <v>-76.954802999999998</v>
      </c>
      <c r="F763" s="5">
        <v>1430039</v>
      </c>
      <c r="G763" s="5" t="s">
        <v>1752</v>
      </c>
    </row>
    <row r="764" spans="1:7" x14ac:dyDescent="0.3">
      <c r="A764">
        <v>425399</v>
      </c>
      <c r="B764" t="s">
        <v>1028</v>
      </c>
      <c r="C764">
        <v>1430039</v>
      </c>
      <c r="D764">
        <v>39.789310999999998</v>
      </c>
      <c r="E764">
        <v>-76.982517000000001</v>
      </c>
      <c r="F764" s="5">
        <v>1430039</v>
      </c>
      <c r="G764" s="5" t="s">
        <v>1752</v>
      </c>
    </row>
    <row r="765" spans="1:7" x14ac:dyDescent="0.3">
      <c r="A765">
        <v>460014</v>
      </c>
      <c r="B765" t="s">
        <v>266</v>
      </c>
      <c r="C765">
        <v>1430044</v>
      </c>
      <c r="D765">
        <v>39.750225</v>
      </c>
      <c r="E765">
        <v>-77.090033000000005</v>
      </c>
      <c r="F765" s="5">
        <v>1430044</v>
      </c>
      <c r="G765" s="5" t="s">
        <v>1752</v>
      </c>
    </row>
    <row r="766" spans="1:7" x14ac:dyDescent="0.3">
      <c r="A766">
        <v>467732</v>
      </c>
      <c r="B766" t="s">
        <v>1270</v>
      </c>
      <c r="C766">
        <v>1430039</v>
      </c>
      <c r="D766">
        <v>39.784830999999997</v>
      </c>
      <c r="E766">
        <v>-76.962096000000003</v>
      </c>
      <c r="F766" s="5">
        <v>1430039</v>
      </c>
      <c r="G766" s="5" t="s">
        <v>1752</v>
      </c>
    </row>
    <row r="767" spans="1:7" x14ac:dyDescent="0.3">
      <c r="A767">
        <v>479015</v>
      </c>
      <c r="B767" t="s">
        <v>1342</v>
      </c>
      <c r="C767">
        <v>1430044</v>
      </c>
      <c r="D767">
        <v>39.833674000000002</v>
      </c>
      <c r="E767">
        <v>-77.237110000000001</v>
      </c>
      <c r="F767" s="5">
        <v>1430044</v>
      </c>
      <c r="G767" s="5" t="s">
        <v>1752</v>
      </c>
    </row>
    <row r="768" spans="1:7" x14ac:dyDescent="0.3">
      <c r="A768">
        <v>241660</v>
      </c>
      <c r="B768" t="s">
        <v>1439</v>
      </c>
      <c r="C768">
        <v>1430040</v>
      </c>
      <c r="D768">
        <v>39.958832000000001</v>
      </c>
      <c r="E768">
        <v>-76.681518999999994</v>
      </c>
      <c r="F768" s="5">
        <v>1430040</v>
      </c>
      <c r="G768" s="5" t="s">
        <v>1752</v>
      </c>
    </row>
    <row r="769" spans="1:7" x14ac:dyDescent="0.3">
      <c r="A769">
        <v>241671</v>
      </c>
      <c r="B769" t="s">
        <v>1448</v>
      </c>
      <c r="C769">
        <v>1430048</v>
      </c>
      <c r="D769">
        <v>39.90607</v>
      </c>
      <c r="E769">
        <v>-76.611468000000002</v>
      </c>
      <c r="F769" s="5">
        <v>1430048</v>
      </c>
      <c r="G769" s="5" t="s">
        <v>1752</v>
      </c>
    </row>
    <row r="770" spans="1:7" x14ac:dyDescent="0.3">
      <c r="A770">
        <v>241680</v>
      </c>
      <c r="B770" t="s">
        <v>1453</v>
      </c>
      <c r="C770">
        <v>1430048</v>
      </c>
      <c r="D770">
        <v>39.913159999999998</v>
      </c>
      <c r="E770">
        <v>-76.589359999999999</v>
      </c>
      <c r="F770" s="5">
        <v>1430048</v>
      </c>
      <c r="G770" s="5" t="s">
        <v>1752</v>
      </c>
    </row>
    <row r="771" spans="1:7" x14ac:dyDescent="0.3">
      <c r="A771">
        <v>241701</v>
      </c>
      <c r="B771" t="s">
        <v>1466</v>
      </c>
      <c r="C771">
        <v>1430048</v>
      </c>
      <c r="D771">
        <v>39.902028000000001</v>
      </c>
      <c r="E771">
        <v>-76.580331000000001</v>
      </c>
      <c r="F771" s="5">
        <v>1430048</v>
      </c>
      <c r="G771" s="5" t="s">
        <v>1752</v>
      </c>
    </row>
    <row r="772" spans="1:7" x14ac:dyDescent="0.3">
      <c r="A772">
        <v>242001</v>
      </c>
      <c r="B772" t="s">
        <v>318</v>
      </c>
      <c r="C772">
        <v>1430040</v>
      </c>
      <c r="D772">
        <v>39.947811000000002</v>
      </c>
      <c r="E772">
        <v>-76.694263000000007</v>
      </c>
      <c r="F772" s="5">
        <v>1430040</v>
      </c>
      <c r="G772" s="5" t="s">
        <v>1752</v>
      </c>
    </row>
    <row r="773" spans="1:7" x14ac:dyDescent="0.3">
      <c r="A773">
        <v>270040</v>
      </c>
      <c r="B773" t="s">
        <v>1490</v>
      </c>
      <c r="C773">
        <v>1430046</v>
      </c>
      <c r="D773">
        <v>39.976990000000001</v>
      </c>
      <c r="E773">
        <v>-76.695269999999994</v>
      </c>
      <c r="F773" s="5">
        <v>1430046</v>
      </c>
      <c r="G773" s="5" t="s">
        <v>1752</v>
      </c>
    </row>
    <row r="774" spans="1:7" x14ac:dyDescent="0.3">
      <c r="A774">
        <v>270587</v>
      </c>
      <c r="B774" t="s">
        <v>1491</v>
      </c>
      <c r="C774">
        <v>1430048</v>
      </c>
      <c r="D774">
        <v>39.945349999999998</v>
      </c>
      <c r="E774">
        <v>-76.647480999999999</v>
      </c>
      <c r="F774" s="5">
        <v>1430048</v>
      </c>
      <c r="G774" s="5" t="s">
        <v>1752</v>
      </c>
    </row>
    <row r="775" spans="1:7" x14ac:dyDescent="0.3">
      <c r="A775">
        <v>345514</v>
      </c>
      <c r="B775" t="s">
        <v>782</v>
      </c>
      <c r="C775">
        <v>1430048</v>
      </c>
      <c r="D775">
        <v>39.95872</v>
      </c>
      <c r="E775">
        <v>-76.65155</v>
      </c>
      <c r="F775" s="5">
        <v>1430048</v>
      </c>
      <c r="G775" s="5" t="s">
        <v>1752</v>
      </c>
    </row>
    <row r="776" spans="1:7" x14ac:dyDescent="0.3">
      <c r="A776">
        <v>345514</v>
      </c>
      <c r="B776" t="s">
        <v>782</v>
      </c>
      <c r="C776">
        <v>1430048</v>
      </c>
      <c r="D776">
        <v>39.95872</v>
      </c>
      <c r="E776">
        <v>-76.65155</v>
      </c>
      <c r="F776" s="5">
        <v>1430048</v>
      </c>
      <c r="G776" s="5" t="s">
        <v>1752</v>
      </c>
    </row>
    <row r="777" spans="1:7" x14ac:dyDescent="0.3">
      <c r="A777">
        <v>415454</v>
      </c>
      <c r="B777" t="s">
        <v>811</v>
      </c>
      <c r="C777">
        <v>1430048</v>
      </c>
      <c r="D777">
        <v>39.924272000000002</v>
      </c>
      <c r="E777">
        <v>-76.632469999999998</v>
      </c>
      <c r="F777" s="5">
        <v>1430048</v>
      </c>
      <c r="G777" s="5" t="s">
        <v>1752</v>
      </c>
    </row>
    <row r="778" spans="1:7" x14ac:dyDescent="0.3">
      <c r="A778">
        <v>415848</v>
      </c>
      <c r="B778" t="s">
        <v>827</v>
      </c>
      <c r="C778">
        <v>1430040</v>
      </c>
      <c r="D778">
        <v>39.959600000000002</v>
      </c>
      <c r="E778">
        <v>-76.740080000000006</v>
      </c>
      <c r="F778" s="5">
        <v>1430047</v>
      </c>
      <c r="G778" s="4" t="s">
        <v>1753</v>
      </c>
    </row>
    <row r="779" spans="1:7" x14ac:dyDescent="0.3">
      <c r="A779">
        <v>429484</v>
      </c>
      <c r="B779" t="s">
        <v>1040</v>
      </c>
      <c r="C779">
        <v>1430040</v>
      </c>
      <c r="D779">
        <v>39.957614999999997</v>
      </c>
      <c r="E779">
        <v>-76.729228000000006</v>
      </c>
      <c r="F779" s="5">
        <v>1430040</v>
      </c>
      <c r="G779" s="5" t="s">
        <v>1752</v>
      </c>
    </row>
    <row r="780" spans="1:7" x14ac:dyDescent="0.3">
      <c r="A780">
        <v>435642</v>
      </c>
      <c r="B780" t="s">
        <v>1552</v>
      </c>
      <c r="C780">
        <v>1430046</v>
      </c>
      <c r="D780">
        <v>39.973616</v>
      </c>
      <c r="E780">
        <v>-76.708670999999995</v>
      </c>
      <c r="F780" s="5">
        <v>1430046</v>
      </c>
      <c r="G780" s="5" t="s">
        <v>1752</v>
      </c>
    </row>
    <row r="781" spans="1:7" x14ac:dyDescent="0.3">
      <c r="A781">
        <v>466115</v>
      </c>
      <c r="B781" t="s">
        <v>1255</v>
      </c>
      <c r="C781">
        <v>1430040</v>
      </c>
      <c r="D781">
        <v>39.964401000000002</v>
      </c>
      <c r="E781">
        <v>-76.678921000000003</v>
      </c>
      <c r="F781" s="5">
        <v>1430048</v>
      </c>
      <c r="G781" s="4" t="s">
        <v>1753</v>
      </c>
    </row>
    <row r="782" spans="1:7" x14ac:dyDescent="0.3">
      <c r="A782">
        <v>467002</v>
      </c>
      <c r="B782" t="s">
        <v>1257</v>
      </c>
      <c r="C782">
        <v>1430040</v>
      </c>
      <c r="D782">
        <v>39.948121999999998</v>
      </c>
      <c r="E782">
        <v>-76.695294000000004</v>
      </c>
      <c r="F782" s="5">
        <v>1430040</v>
      </c>
      <c r="G782" s="5" t="s">
        <v>1752</v>
      </c>
    </row>
    <row r="783" spans="1:7" x14ac:dyDescent="0.3">
      <c r="A783">
        <v>467004</v>
      </c>
      <c r="B783" t="s">
        <v>1259</v>
      </c>
      <c r="C783">
        <v>1430048</v>
      </c>
      <c r="D783">
        <v>39.967340999999998</v>
      </c>
      <c r="E783">
        <v>-76.672015000000002</v>
      </c>
      <c r="F783" s="5">
        <v>1430048</v>
      </c>
      <c r="G783" s="5" t="s">
        <v>1752</v>
      </c>
    </row>
    <row r="784" spans="1:7" x14ac:dyDescent="0.3">
      <c r="A784">
        <v>467025</v>
      </c>
      <c r="B784" t="s">
        <v>1261</v>
      </c>
      <c r="C784">
        <v>1430040</v>
      </c>
      <c r="D784">
        <v>39.947811000000002</v>
      </c>
      <c r="E784">
        <v>-76.694263000000007</v>
      </c>
      <c r="F784" s="5">
        <v>1430040</v>
      </c>
      <c r="G784" s="5" t="s">
        <v>1752</v>
      </c>
    </row>
    <row r="785" spans="1:7" x14ac:dyDescent="0.3">
      <c r="A785">
        <v>473044</v>
      </c>
      <c r="B785" t="s">
        <v>1573</v>
      </c>
      <c r="C785">
        <v>1430047</v>
      </c>
      <c r="D785">
        <v>39.946672999999997</v>
      </c>
      <c r="E785">
        <v>-76.719453999999999</v>
      </c>
      <c r="F785" s="5">
        <v>1430047</v>
      </c>
      <c r="G785" s="5" t="s">
        <v>1752</v>
      </c>
    </row>
    <row r="786" spans="1:7" x14ac:dyDescent="0.3">
      <c r="A786">
        <v>240035</v>
      </c>
      <c r="B786" t="s">
        <v>1423</v>
      </c>
      <c r="C786">
        <v>1430044</v>
      </c>
      <c r="D786">
        <v>39.781998000000002</v>
      </c>
      <c r="E786">
        <v>-77.375039000000001</v>
      </c>
      <c r="F786" s="5">
        <v>1430044</v>
      </c>
      <c r="G786" s="5" t="s">
        <v>1752</v>
      </c>
    </row>
    <row r="787" spans="1:7" x14ac:dyDescent="0.3">
      <c r="A787">
        <v>240272</v>
      </c>
      <c r="B787" t="s">
        <v>226</v>
      </c>
      <c r="C787">
        <v>1430044</v>
      </c>
      <c r="D787">
        <v>39.780793000000003</v>
      </c>
      <c r="E787">
        <v>-77.720669000000001</v>
      </c>
      <c r="F787" s="5">
        <v>1430044</v>
      </c>
      <c r="G787" s="5" t="s">
        <v>1752</v>
      </c>
    </row>
    <row r="788" spans="1:7" x14ac:dyDescent="0.3">
      <c r="A788">
        <v>241654</v>
      </c>
      <c r="B788" t="s">
        <v>1433</v>
      </c>
      <c r="C788">
        <v>1430044</v>
      </c>
      <c r="D788">
        <v>39.938276000000002</v>
      </c>
      <c r="E788">
        <v>-77.061797999999996</v>
      </c>
      <c r="F788" s="5">
        <v>1430044</v>
      </c>
      <c r="G788" s="5" t="s">
        <v>1752</v>
      </c>
    </row>
    <row r="789" spans="1:7" x14ac:dyDescent="0.3">
      <c r="A789">
        <v>241697</v>
      </c>
      <c r="B789" t="s">
        <v>1463</v>
      </c>
      <c r="C789">
        <v>1430044</v>
      </c>
      <c r="D789">
        <v>39.910027999999997</v>
      </c>
      <c r="E789">
        <v>-77.560140000000004</v>
      </c>
      <c r="F789" s="5">
        <v>1430044</v>
      </c>
      <c r="G789" s="5" t="s">
        <v>1752</v>
      </c>
    </row>
    <row r="790" spans="1:7" x14ac:dyDescent="0.3">
      <c r="A790">
        <v>241699</v>
      </c>
      <c r="B790" t="s">
        <v>1464</v>
      </c>
      <c r="C790">
        <v>1430044</v>
      </c>
      <c r="D790">
        <v>39.820675999999999</v>
      </c>
      <c r="E790">
        <v>-77.571378999999993</v>
      </c>
      <c r="F790" s="5">
        <v>1430044</v>
      </c>
      <c r="G790" s="5" t="s">
        <v>1752</v>
      </c>
    </row>
    <row r="791" spans="1:7" x14ac:dyDescent="0.3">
      <c r="A791">
        <v>247490</v>
      </c>
      <c r="B791" t="s">
        <v>1481</v>
      </c>
      <c r="C791">
        <v>1430044</v>
      </c>
      <c r="D791">
        <v>39.753878999999998</v>
      </c>
      <c r="E791">
        <v>-77.582014000000001</v>
      </c>
      <c r="F791" s="5">
        <v>1430044</v>
      </c>
      <c r="G791" s="5" t="s">
        <v>1752</v>
      </c>
    </row>
    <row r="792" spans="1:7" x14ac:dyDescent="0.3">
      <c r="A792">
        <v>256146</v>
      </c>
      <c r="B792" t="s">
        <v>1485</v>
      </c>
      <c r="C792">
        <v>1430044</v>
      </c>
      <c r="D792">
        <v>40.058497000000003</v>
      </c>
      <c r="E792">
        <v>-77.496514000000005</v>
      </c>
      <c r="F792" s="5">
        <v>1430044</v>
      </c>
      <c r="G792" s="5" t="s">
        <v>1752</v>
      </c>
    </row>
    <row r="793" spans="1:7" x14ac:dyDescent="0.3">
      <c r="A793">
        <v>272563</v>
      </c>
      <c r="B793" t="s">
        <v>1493</v>
      </c>
      <c r="C793">
        <v>1430044</v>
      </c>
      <c r="D793">
        <v>39.913693000000002</v>
      </c>
      <c r="E793">
        <v>-77.669263000000001</v>
      </c>
      <c r="F793" s="5">
        <v>1430044</v>
      </c>
      <c r="G793" s="5" t="s">
        <v>1752</v>
      </c>
    </row>
    <row r="794" spans="1:7" x14ac:dyDescent="0.3">
      <c r="A794">
        <v>286684</v>
      </c>
      <c r="B794" t="s">
        <v>1498</v>
      </c>
      <c r="C794">
        <v>1430044</v>
      </c>
      <c r="D794">
        <v>39.906922999999999</v>
      </c>
      <c r="E794">
        <v>-77.520538000000002</v>
      </c>
      <c r="F794" s="5">
        <v>1430044</v>
      </c>
      <c r="G794" s="5" t="s">
        <v>1752</v>
      </c>
    </row>
    <row r="795" spans="1:7" x14ac:dyDescent="0.3">
      <c r="A795">
        <v>309493</v>
      </c>
      <c r="B795" t="s">
        <v>1514</v>
      </c>
      <c r="C795">
        <v>1430044</v>
      </c>
      <c r="D795">
        <v>39.949582999999997</v>
      </c>
      <c r="E795">
        <v>-77.136792</v>
      </c>
      <c r="F795" s="5">
        <v>1430044</v>
      </c>
      <c r="G795" s="5" t="s">
        <v>1752</v>
      </c>
    </row>
    <row r="796" spans="1:7" x14ac:dyDescent="0.3">
      <c r="A796">
        <v>312571</v>
      </c>
      <c r="B796" t="s">
        <v>1518</v>
      </c>
      <c r="C796">
        <v>1430044</v>
      </c>
      <c r="D796">
        <v>39.835990000000002</v>
      </c>
      <c r="E796">
        <v>-77.904717000000005</v>
      </c>
      <c r="F796" s="5">
        <v>1430044</v>
      </c>
      <c r="G796" s="5" t="s">
        <v>1752</v>
      </c>
    </row>
    <row r="797" spans="1:7" x14ac:dyDescent="0.3">
      <c r="A797">
        <v>319219</v>
      </c>
      <c r="B797" t="s">
        <v>1523</v>
      </c>
      <c r="C797">
        <v>1430044</v>
      </c>
      <c r="D797">
        <v>39.925699999999999</v>
      </c>
      <c r="E797">
        <v>-77.746211000000002</v>
      </c>
      <c r="F797" s="5">
        <v>1430044</v>
      </c>
      <c r="G797" s="5" t="s">
        <v>1752</v>
      </c>
    </row>
    <row r="798" spans="1:7" x14ac:dyDescent="0.3">
      <c r="A798">
        <v>319928</v>
      </c>
      <c r="B798" t="s">
        <v>685</v>
      </c>
      <c r="C798">
        <v>1430044</v>
      </c>
      <c r="D798">
        <v>39.920952</v>
      </c>
      <c r="E798">
        <v>-77.667518999999999</v>
      </c>
      <c r="F798" s="5">
        <v>1430044</v>
      </c>
      <c r="G798" s="5" t="s">
        <v>1752</v>
      </c>
    </row>
    <row r="799" spans="1:7" x14ac:dyDescent="0.3">
      <c r="A799">
        <v>434902</v>
      </c>
      <c r="B799" t="s">
        <v>1551</v>
      </c>
      <c r="C799">
        <v>1430044</v>
      </c>
      <c r="D799">
        <v>39.784267</v>
      </c>
      <c r="E799">
        <v>-77.723552999999995</v>
      </c>
      <c r="F799" s="5">
        <v>1430044</v>
      </c>
      <c r="G799" s="5" t="s">
        <v>1752</v>
      </c>
    </row>
    <row r="800" spans="1:7" x14ac:dyDescent="0.3">
      <c r="A800">
        <v>453081</v>
      </c>
      <c r="B800" t="s">
        <v>1171</v>
      </c>
      <c r="C800">
        <v>1430044</v>
      </c>
      <c r="D800">
        <v>39.756141</v>
      </c>
      <c r="E800">
        <v>-77.590289999999996</v>
      </c>
      <c r="F800" s="5">
        <v>1430044</v>
      </c>
      <c r="G800" s="5" t="s">
        <v>1752</v>
      </c>
    </row>
    <row r="801" spans="1:7" x14ac:dyDescent="0.3">
      <c r="A801">
        <v>453081</v>
      </c>
      <c r="B801" t="s">
        <v>1171</v>
      </c>
      <c r="C801">
        <v>1430044</v>
      </c>
      <c r="D801">
        <v>39.756141</v>
      </c>
      <c r="E801">
        <v>-77.590289999999996</v>
      </c>
      <c r="F801" s="5">
        <v>1430044</v>
      </c>
      <c r="G801" s="5" t="s">
        <v>1752</v>
      </c>
    </row>
    <row r="802" spans="1:7" x14ac:dyDescent="0.3">
      <c r="A802">
        <v>468100</v>
      </c>
      <c r="B802" t="s">
        <v>1276</v>
      </c>
      <c r="C802">
        <v>1430044</v>
      </c>
      <c r="D802">
        <v>39.925595000000001</v>
      </c>
      <c r="E802">
        <v>-77.652209999999997</v>
      </c>
      <c r="F802" s="5">
        <v>1430044</v>
      </c>
      <c r="G802" s="5" t="s">
        <v>1752</v>
      </c>
    </row>
    <row r="803" spans="1:7" x14ac:dyDescent="0.3">
      <c r="A803">
        <v>475017</v>
      </c>
      <c r="B803" t="s">
        <v>1340</v>
      </c>
      <c r="C803">
        <v>1430044</v>
      </c>
      <c r="D803">
        <v>39.93403</v>
      </c>
      <c r="E803">
        <v>-77.646445999999997</v>
      </c>
      <c r="F803" s="5">
        <v>1430044</v>
      </c>
      <c r="G803" s="5" t="s">
        <v>1752</v>
      </c>
    </row>
    <row r="804" spans="1:7" x14ac:dyDescent="0.3">
      <c r="A804">
        <v>239516</v>
      </c>
      <c r="B804" t="s">
        <v>1229</v>
      </c>
      <c r="C804">
        <v>1430045</v>
      </c>
      <c r="D804">
        <v>40.282400000000003</v>
      </c>
      <c r="E804">
        <v>-76.798143999999994</v>
      </c>
      <c r="F804" s="5">
        <v>1430045</v>
      </c>
      <c r="G804" s="5" t="s">
        <v>1752</v>
      </c>
    </row>
    <row r="805" spans="1:7" x14ac:dyDescent="0.3">
      <c r="A805">
        <v>239966</v>
      </c>
      <c r="B805" t="s">
        <v>200</v>
      </c>
      <c r="C805">
        <v>1430045</v>
      </c>
      <c r="D805">
        <v>40.161842</v>
      </c>
      <c r="E805">
        <v>-76.581665000000001</v>
      </c>
      <c r="F805" s="5">
        <v>1430035</v>
      </c>
      <c r="G805" s="4" t="s">
        <v>1753</v>
      </c>
    </row>
    <row r="806" spans="1:7" x14ac:dyDescent="0.3">
      <c r="A806">
        <v>239970</v>
      </c>
      <c r="B806" t="s">
        <v>1422</v>
      </c>
      <c r="C806">
        <v>1430045</v>
      </c>
      <c r="D806">
        <v>40.14922</v>
      </c>
      <c r="E806">
        <v>-76.593249999999998</v>
      </c>
      <c r="F806" s="5">
        <v>1430045</v>
      </c>
      <c r="G806" s="5" t="s">
        <v>1752</v>
      </c>
    </row>
    <row r="807" spans="1:7" x14ac:dyDescent="0.3">
      <c r="A807">
        <v>240170</v>
      </c>
      <c r="B807" t="s">
        <v>218</v>
      </c>
      <c r="C807">
        <v>1430045</v>
      </c>
      <c r="D807">
        <v>40.062598999999999</v>
      </c>
      <c r="E807">
        <v>-76.747210999999993</v>
      </c>
      <c r="F807" s="5">
        <v>1430045</v>
      </c>
      <c r="G807" s="5" t="s">
        <v>1752</v>
      </c>
    </row>
    <row r="808" spans="1:7" x14ac:dyDescent="0.3">
      <c r="A808">
        <v>240464</v>
      </c>
      <c r="B808" t="s">
        <v>236</v>
      </c>
      <c r="C808">
        <v>1430045</v>
      </c>
      <c r="D808">
        <v>40.163789999999999</v>
      </c>
      <c r="E808">
        <v>-76.649079999999998</v>
      </c>
      <c r="F808" s="5">
        <v>1430045</v>
      </c>
      <c r="G808" s="5" t="s">
        <v>1752</v>
      </c>
    </row>
    <row r="809" spans="1:7" x14ac:dyDescent="0.3">
      <c r="A809">
        <v>240929</v>
      </c>
      <c r="B809" t="s">
        <v>268</v>
      </c>
      <c r="C809">
        <v>1430045</v>
      </c>
      <c r="D809">
        <v>40.141185</v>
      </c>
      <c r="E809">
        <v>-76.593603000000002</v>
      </c>
      <c r="F809" s="5">
        <v>1430045</v>
      </c>
      <c r="G809" s="5" t="s">
        <v>1752</v>
      </c>
    </row>
    <row r="810" spans="1:7" x14ac:dyDescent="0.3">
      <c r="A810">
        <v>241278</v>
      </c>
      <c r="B810" t="s">
        <v>1427</v>
      </c>
      <c r="C810">
        <v>1430045</v>
      </c>
      <c r="D810">
        <v>40.096220000000002</v>
      </c>
      <c r="E810">
        <v>-77.033415000000005</v>
      </c>
      <c r="F810" s="5">
        <v>1430045</v>
      </c>
      <c r="G810" s="5" t="s">
        <v>1752</v>
      </c>
    </row>
    <row r="811" spans="1:7" x14ac:dyDescent="0.3">
      <c r="A811">
        <v>241282</v>
      </c>
      <c r="B811" t="s">
        <v>284</v>
      </c>
      <c r="C811">
        <v>1430045</v>
      </c>
      <c r="D811">
        <v>40.14443</v>
      </c>
      <c r="E811">
        <v>-76.608362999999997</v>
      </c>
      <c r="F811" s="5">
        <v>1430045</v>
      </c>
      <c r="G811" s="5" t="s">
        <v>1752</v>
      </c>
    </row>
    <row r="812" spans="1:7" x14ac:dyDescent="0.3">
      <c r="A812">
        <v>241653</v>
      </c>
      <c r="B812" t="s">
        <v>1432</v>
      </c>
      <c r="C812">
        <v>1430045</v>
      </c>
      <c r="D812">
        <v>40.132022999999997</v>
      </c>
      <c r="E812">
        <v>-77.019881999999996</v>
      </c>
      <c r="F812" s="5">
        <v>1430045</v>
      </c>
      <c r="G812" s="5" t="s">
        <v>1752</v>
      </c>
    </row>
    <row r="813" spans="1:7" x14ac:dyDescent="0.3">
      <c r="A813">
        <v>241658</v>
      </c>
      <c r="B813" t="s">
        <v>1437</v>
      </c>
      <c r="C813">
        <v>1430045</v>
      </c>
      <c r="D813">
        <v>40.130920000000003</v>
      </c>
      <c r="E813">
        <v>-76.794799999999995</v>
      </c>
      <c r="F813" s="5">
        <v>1430045</v>
      </c>
      <c r="G813" s="5" t="s">
        <v>1752</v>
      </c>
    </row>
    <row r="814" spans="1:7" x14ac:dyDescent="0.3">
      <c r="A814">
        <v>241666</v>
      </c>
      <c r="B814" t="s">
        <v>1444</v>
      </c>
      <c r="C814">
        <v>1430045</v>
      </c>
      <c r="D814">
        <v>40.059216999999997</v>
      </c>
      <c r="E814">
        <v>-76.720733999999993</v>
      </c>
      <c r="F814" s="5">
        <v>1430045</v>
      </c>
      <c r="G814" s="5" t="s">
        <v>1752</v>
      </c>
    </row>
    <row r="815" spans="1:7" x14ac:dyDescent="0.3">
      <c r="A815">
        <v>241677</v>
      </c>
      <c r="B815" t="s">
        <v>1451</v>
      </c>
      <c r="C815">
        <v>1430045</v>
      </c>
      <c r="D815">
        <v>40.153672999999998</v>
      </c>
      <c r="E815">
        <v>-76.816708000000006</v>
      </c>
      <c r="F815" s="5">
        <v>1430045</v>
      </c>
      <c r="G815" s="5" t="s">
        <v>1752</v>
      </c>
    </row>
    <row r="816" spans="1:7" x14ac:dyDescent="0.3">
      <c r="A816">
        <v>241692</v>
      </c>
      <c r="B816" t="s">
        <v>1459</v>
      </c>
      <c r="C816">
        <v>1430045</v>
      </c>
      <c r="D816">
        <v>40.081018</v>
      </c>
      <c r="E816">
        <v>-76.765576999999993</v>
      </c>
      <c r="F816" s="5">
        <v>1430045</v>
      </c>
      <c r="G816" s="5" t="s">
        <v>1752</v>
      </c>
    </row>
    <row r="817" spans="1:7" x14ac:dyDescent="0.3">
      <c r="A817">
        <v>241973</v>
      </c>
      <c r="B817" t="s">
        <v>1467</v>
      </c>
      <c r="C817">
        <v>1430045</v>
      </c>
      <c r="D817">
        <v>40.259709999999998</v>
      </c>
      <c r="E817">
        <v>-76.767505</v>
      </c>
      <c r="F817" s="5">
        <v>1430045</v>
      </c>
      <c r="G817" s="5" t="s">
        <v>1752</v>
      </c>
    </row>
    <row r="818" spans="1:7" x14ac:dyDescent="0.3">
      <c r="A818">
        <v>242371</v>
      </c>
      <c r="B818" t="s">
        <v>324</v>
      </c>
      <c r="C818">
        <v>1430045</v>
      </c>
      <c r="D818">
        <v>40.169888</v>
      </c>
      <c r="E818">
        <v>-77.022773999999998</v>
      </c>
      <c r="F818" s="5">
        <v>1430045</v>
      </c>
      <c r="G818" s="5" t="s">
        <v>1752</v>
      </c>
    </row>
    <row r="819" spans="1:7" x14ac:dyDescent="0.3">
      <c r="A819">
        <v>242373</v>
      </c>
      <c r="B819" t="s">
        <v>326</v>
      </c>
      <c r="C819">
        <v>1430045</v>
      </c>
      <c r="D819">
        <v>40.181465000000003</v>
      </c>
      <c r="E819">
        <v>-76.841682000000006</v>
      </c>
      <c r="F819" s="5">
        <v>1430045</v>
      </c>
      <c r="G819" s="5" t="s">
        <v>1752</v>
      </c>
    </row>
    <row r="820" spans="1:7" x14ac:dyDescent="0.3">
      <c r="A820">
        <v>242391</v>
      </c>
      <c r="B820" t="s">
        <v>328</v>
      </c>
      <c r="C820">
        <v>1430045</v>
      </c>
      <c r="D820">
        <v>40.151308999999998</v>
      </c>
      <c r="E820">
        <v>-76.613938000000005</v>
      </c>
      <c r="F820" s="5">
        <v>1430045</v>
      </c>
      <c r="G820" s="5" t="s">
        <v>1752</v>
      </c>
    </row>
    <row r="821" spans="1:7" x14ac:dyDescent="0.3">
      <c r="A821">
        <v>242720</v>
      </c>
      <c r="B821" t="s">
        <v>340</v>
      </c>
      <c r="C821">
        <v>1430045</v>
      </c>
      <c r="D821">
        <v>40.176848999999997</v>
      </c>
      <c r="E821">
        <v>-76.990376999999995</v>
      </c>
      <c r="F821" s="5">
        <v>1430045</v>
      </c>
      <c r="G821" s="5" t="s">
        <v>1752</v>
      </c>
    </row>
    <row r="822" spans="1:7" x14ac:dyDescent="0.3">
      <c r="A822">
        <v>270588</v>
      </c>
      <c r="B822" t="s">
        <v>1492</v>
      </c>
      <c r="C822">
        <v>1430045</v>
      </c>
      <c r="D822">
        <v>40.268500000000003</v>
      </c>
      <c r="E822">
        <v>-76.747900000000001</v>
      </c>
      <c r="F822" s="5">
        <v>1430045</v>
      </c>
      <c r="G822" s="5" t="s">
        <v>1752</v>
      </c>
    </row>
    <row r="823" spans="1:7" x14ac:dyDescent="0.3">
      <c r="A823">
        <v>272562</v>
      </c>
      <c r="B823" t="s">
        <v>505</v>
      </c>
      <c r="C823">
        <v>1430045</v>
      </c>
      <c r="D823">
        <v>40.227364999999999</v>
      </c>
      <c r="E823">
        <v>-77.153627999999998</v>
      </c>
      <c r="F823" s="5">
        <v>1430045</v>
      </c>
      <c r="G823" s="5" t="s">
        <v>1752</v>
      </c>
    </row>
    <row r="824" spans="1:7" x14ac:dyDescent="0.3">
      <c r="A824">
        <v>273310</v>
      </c>
      <c r="B824" t="s">
        <v>513</v>
      </c>
      <c r="C824">
        <v>1430045</v>
      </c>
      <c r="D824">
        <v>40.206986000000001</v>
      </c>
      <c r="E824">
        <v>-76.874409999999997</v>
      </c>
      <c r="F824" s="5">
        <v>1430045</v>
      </c>
      <c r="G824" s="5" t="s">
        <v>1752</v>
      </c>
    </row>
    <row r="825" spans="1:7" x14ac:dyDescent="0.3">
      <c r="A825">
        <v>273937</v>
      </c>
      <c r="B825" t="s">
        <v>515</v>
      </c>
      <c r="C825">
        <v>1430045</v>
      </c>
      <c r="D825">
        <v>40.232663000000002</v>
      </c>
      <c r="E825">
        <v>-76.874761000000007</v>
      </c>
      <c r="F825" s="5">
        <v>1430045</v>
      </c>
      <c r="G825" s="5" t="s">
        <v>1752</v>
      </c>
    </row>
    <row r="826" spans="1:7" x14ac:dyDescent="0.3">
      <c r="A826">
        <v>284027</v>
      </c>
      <c r="B826" t="s">
        <v>1497</v>
      </c>
      <c r="C826">
        <v>1430045</v>
      </c>
      <c r="D826">
        <v>40.16198</v>
      </c>
      <c r="E826">
        <v>-77.097669999999994</v>
      </c>
      <c r="F826" s="5">
        <v>1430045</v>
      </c>
      <c r="G826" s="5" t="s">
        <v>1752</v>
      </c>
    </row>
    <row r="827" spans="1:7" x14ac:dyDescent="0.3">
      <c r="A827">
        <v>296306</v>
      </c>
      <c r="B827" t="s">
        <v>1503</v>
      </c>
      <c r="C827">
        <v>1430045</v>
      </c>
      <c r="D827">
        <v>40.265461999999999</v>
      </c>
      <c r="E827">
        <v>-76.864806000000002</v>
      </c>
      <c r="F827" s="5">
        <v>1430045</v>
      </c>
      <c r="G827" s="5" t="s">
        <v>1752</v>
      </c>
    </row>
    <row r="828" spans="1:7" x14ac:dyDescent="0.3">
      <c r="A828">
        <v>303136</v>
      </c>
      <c r="B828" t="s">
        <v>1508</v>
      </c>
      <c r="C828">
        <v>1430045</v>
      </c>
      <c r="D828">
        <v>40.209415999999997</v>
      </c>
      <c r="E828">
        <v>-77.022873000000004</v>
      </c>
      <c r="F828" s="5">
        <v>1430045</v>
      </c>
      <c r="G828" s="5" t="s">
        <v>1752</v>
      </c>
    </row>
    <row r="829" spans="1:7" x14ac:dyDescent="0.3">
      <c r="A829">
        <v>304710</v>
      </c>
      <c r="B829" t="s">
        <v>1509</v>
      </c>
      <c r="C829">
        <v>1430045</v>
      </c>
      <c r="D829">
        <v>40.223056</v>
      </c>
      <c r="E829">
        <v>-76.717827</v>
      </c>
      <c r="F829" s="5">
        <v>1430045</v>
      </c>
      <c r="G829" s="5" t="s">
        <v>1752</v>
      </c>
    </row>
    <row r="830" spans="1:7" x14ac:dyDescent="0.3">
      <c r="A830">
        <v>306550</v>
      </c>
      <c r="B830" t="s">
        <v>637</v>
      </c>
      <c r="C830">
        <v>1430045</v>
      </c>
      <c r="D830">
        <v>40.037199999999999</v>
      </c>
      <c r="E830">
        <v>-76.739626000000001</v>
      </c>
      <c r="F830" s="5">
        <v>1430033</v>
      </c>
      <c r="G830" s="4" t="s">
        <v>1753</v>
      </c>
    </row>
    <row r="831" spans="1:7" x14ac:dyDescent="0.3">
      <c r="A831">
        <v>321198</v>
      </c>
      <c r="B831" t="s">
        <v>693</v>
      </c>
      <c r="C831">
        <v>1430016</v>
      </c>
      <c r="D831">
        <v>40.079864000000001</v>
      </c>
      <c r="E831">
        <v>-76.583090999999996</v>
      </c>
      <c r="F831" s="5">
        <v>1430033</v>
      </c>
      <c r="G831" s="4" t="s">
        <v>1753</v>
      </c>
    </row>
    <row r="832" spans="1:7" x14ac:dyDescent="0.3">
      <c r="A832">
        <v>324316</v>
      </c>
      <c r="B832" t="s">
        <v>709</v>
      </c>
      <c r="C832">
        <v>1430033</v>
      </c>
      <c r="D832">
        <v>40.415042</v>
      </c>
      <c r="E832">
        <v>-77.012775000000005</v>
      </c>
      <c r="F832" s="5">
        <v>1430033</v>
      </c>
      <c r="G832" s="5" t="s">
        <v>1752</v>
      </c>
    </row>
    <row r="833" spans="1:7" x14ac:dyDescent="0.3">
      <c r="A833">
        <v>325982</v>
      </c>
      <c r="B833" t="s">
        <v>717</v>
      </c>
      <c r="C833">
        <v>1430045</v>
      </c>
      <c r="D833">
        <v>40.132570000000001</v>
      </c>
      <c r="E833">
        <v>-76.625410000000002</v>
      </c>
      <c r="F833" s="5">
        <v>1430045</v>
      </c>
      <c r="G833" s="5" t="s">
        <v>1752</v>
      </c>
    </row>
    <row r="834" spans="1:7" x14ac:dyDescent="0.3">
      <c r="A834">
        <v>334433</v>
      </c>
      <c r="B834" t="s">
        <v>735</v>
      </c>
      <c r="C834">
        <v>1430045</v>
      </c>
      <c r="D834">
        <v>40.326079999999997</v>
      </c>
      <c r="E834">
        <v>-76.785617000000002</v>
      </c>
      <c r="F834" s="5">
        <v>1430033</v>
      </c>
      <c r="G834" s="4" t="s">
        <v>1753</v>
      </c>
    </row>
    <row r="835" spans="1:7" x14ac:dyDescent="0.3">
      <c r="A835">
        <v>340912</v>
      </c>
      <c r="B835" t="s">
        <v>745</v>
      </c>
      <c r="C835">
        <v>1430045</v>
      </c>
      <c r="D835">
        <v>40.310088</v>
      </c>
      <c r="E835">
        <v>-76.808723999999998</v>
      </c>
      <c r="F835" s="5">
        <v>1430045</v>
      </c>
      <c r="G835" s="5" t="s">
        <v>1752</v>
      </c>
    </row>
    <row r="836" spans="1:7" x14ac:dyDescent="0.3">
      <c r="A836">
        <v>341368</v>
      </c>
      <c r="B836" t="s">
        <v>1529</v>
      </c>
      <c r="C836">
        <v>1430045</v>
      </c>
      <c r="D836">
        <v>40.333170000000003</v>
      </c>
      <c r="E836">
        <v>-76.846299999999999</v>
      </c>
      <c r="F836" s="5">
        <v>1430033</v>
      </c>
      <c r="G836" s="4" t="s">
        <v>1753</v>
      </c>
    </row>
    <row r="837" spans="1:7" x14ac:dyDescent="0.3">
      <c r="A837">
        <v>341917</v>
      </c>
      <c r="B837" t="s">
        <v>1361</v>
      </c>
      <c r="C837">
        <v>1430045</v>
      </c>
      <c r="D837">
        <v>40.138500000000001</v>
      </c>
      <c r="E837">
        <v>-76.62285</v>
      </c>
      <c r="F837" s="5">
        <v>1430045</v>
      </c>
      <c r="G837" s="5" t="s">
        <v>1752</v>
      </c>
    </row>
    <row r="838" spans="1:7" x14ac:dyDescent="0.3">
      <c r="A838">
        <v>415451</v>
      </c>
      <c r="B838" t="s">
        <v>809</v>
      </c>
      <c r="C838">
        <v>1430045</v>
      </c>
      <c r="D838">
        <v>40.155960999999998</v>
      </c>
      <c r="E838">
        <v>-76.594376999999994</v>
      </c>
      <c r="F838" s="5">
        <v>1430045</v>
      </c>
      <c r="G838" s="5" t="s">
        <v>1752</v>
      </c>
    </row>
    <row r="839" spans="1:7" x14ac:dyDescent="0.3">
      <c r="A839">
        <v>415724</v>
      </c>
      <c r="B839" t="s">
        <v>821</v>
      </c>
      <c r="C839">
        <v>1430045</v>
      </c>
      <c r="D839">
        <v>40.340649999999997</v>
      </c>
      <c r="E839">
        <v>-76.810456000000002</v>
      </c>
      <c r="F839" s="5">
        <v>1430033</v>
      </c>
      <c r="G839" s="4" t="s">
        <v>1753</v>
      </c>
    </row>
    <row r="840" spans="1:7" x14ac:dyDescent="0.3">
      <c r="A840">
        <v>429860</v>
      </c>
      <c r="B840" t="s">
        <v>1045</v>
      </c>
      <c r="C840">
        <v>1430045</v>
      </c>
      <c r="D840">
        <v>40.238970000000002</v>
      </c>
      <c r="E840">
        <v>-76.830456999999996</v>
      </c>
      <c r="F840" s="5">
        <v>1430045</v>
      </c>
      <c r="G840" s="5" t="s">
        <v>1752</v>
      </c>
    </row>
    <row r="841" spans="1:7" x14ac:dyDescent="0.3">
      <c r="A841">
        <v>431345</v>
      </c>
      <c r="B841" t="s">
        <v>1067</v>
      </c>
      <c r="C841">
        <v>1430045</v>
      </c>
      <c r="D841">
        <v>40.236801999999997</v>
      </c>
      <c r="E841">
        <v>-76.712873999999999</v>
      </c>
      <c r="F841" s="5">
        <v>1430045</v>
      </c>
      <c r="G841" s="5" t="s">
        <v>1752</v>
      </c>
    </row>
    <row r="842" spans="1:7" x14ac:dyDescent="0.3">
      <c r="A842">
        <v>432281</v>
      </c>
      <c r="B842" t="s">
        <v>1074</v>
      </c>
      <c r="C842">
        <v>1430045</v>
      </c>
      <c r="D842">
        <v>40.185071999999998</v>
      </c>
      <c r="E842">
        <v>-76.983555999999993</v>
      </c>
      <c r="F842" s="5">
        <v>1430045</v>
      </c>
      <c r="G842" s="5" t="s">
        <v>1752</v>
      </c>
    </row>
    <row r="843" spans="1:7" x14ac:dyDescent="0.3">
      <c r="A843">
        <v>432281</v>
      </c>
      <c r="B843" t="s">
        <v>1074</v>
      </c>
      <c r="C843">
        <v>1430045</v>
      </c>
      <c r="D843">
        <v>40.185071999999998</v>
      </c>
      <c r="E843">
        <v>-76.983555999999993</v>
      </c>
      <c r="F843" s="5">
        <v>1430045</v>
      </c>
      <c r="G843" s="5" t="s">
        <v>1752</v>
      </c>
    </row>
    <row r="844" spans="1:7" x14ac:dyDescent="0.3">
      <c r="A844">
        <v>438555</v>
      </c>
      <c r="B844" t="s">
        <v>326</v>
      </c>
      <c r="C844">
        <v>1430045</v>
      </c>
      <c r="D844">
        <v>40.181465000000003</v>
      </c>
      <c r="E844">
        <v>-76.841682000000006</v>
      </c>
      <c r="F844" s="5">
        <v>1430045</v>
      </c>
      <c r="G844" s="5" t="s">
        <v>1752</v>
      </c>
    </row>
    <row r="845" spans="1:7" x14ac:dyDescent="0.3">
      <c r="A845">
        <v>448878</v>
      </c>
      <c r="B845" t="s">
        <v>1144</v>
      </c>
      <c r="C845">
        <v>1430045</v>
      </c>
      <c r="D845">
        <v>40.263972000000003</v>
      </c>
      <c r="E845">
        <v>-76.676153999999997</v>
      </c>
      <c r="F845" s="5">
        <v>1430045</v>
      </c>
      <c r="G845" s="5" t="s">
        <v>1752</v>
      </c>
    </row>
    <row r="846" spans="1:7" x14ac:dyDescent="0.3">
      <c r="A846">
        <v>464194</v>
      </c>
      <c r="B846" t="s">
        <v>1230</v>
      </c>
      <c r="C846">
        <v>1430045</v>
      </c>
      <c r="D846">
        <v>40.284641999999998</v>
      </c>
      <c r="E846">
        <v>-76.799093999999997</v>
      </c>
      <c r="F846" s="5">
        <v>1430045</v>
      </c>
      <c r="G846" s="5" t="s">
        <v>1752</v>
      </c>
    </row>
    <row r="847" spans="1:7" x14ac:dyDescent="0.3">
      <c r="A847">
        <v>464201</v>
      </c>
      <c r="B847" t="s">
        <v>1232</v>
      </c>
      <c r="C847">
        <v>1430045</v>
      </c>
      <c r="D847">
        <v>40.284230000000001</v>
      </c>
      <c r="E847">
        <v>-76.801450000000003</v>
      </c>
      <c r="F847" s="5">
        <v>1430045</v>
      </c>
      <c r="G847" s="5" t="s">
        <v>1752</v>
      </c>
    </row>
    <row r="848" spans="1:7" x14ac:dyDescent="0.3">
      <c r="A848">
        <v>464202</v>
      </c>
      <c r="B848" t="s">
        <v>1234</v>
      </c>
      <c r="C848">
        <v>1430045</v>
      </c>
      <c r="D848">
        <v>40.293886999999998</v>
      </c>
      <c r="E848">
        <v>-76.810676000000001</v>
      </c>
      <c r="F848" s="5">
        <v>1430045</v>
      </c>
      <c r="G848" s="5" t="s">
        <v>1752</v>
      </c>
    </row>
    <row r="849" spans="1:7" x14ac:dyDescent="0.3">
      <c r="A849">
        <v>467831</v>
      </c>
      <c r="B849" t="s">
        <v>1272</v>
      </c>
      <c r="C849">
        <v>1430045</v>
      </c>
      <c r="D849">
        <v>40.252319</v>
      </c>
      <c r="E849">
        <v>-76.829927999999995</v>
      </c>
      <c r="F849" s="5">
        <v>1430045</v>
      </c>
      <c r="G849" s="5" t="s">
        <v>1752</v>
      </c>
    </row>
    <row r="850" spans="1:7" x14ac:dyDescent="0.3">
      <c r="A850">
        <v>468468</v>
      </c>
      <c r="B850" t="s">
        <v>1280</v>
      </c>
      <c r="C850">
        <v>1430045</v>
      </c>
      <c r="D850">
        <v>40.228839999999998</v>
      </c>
      <c r="E850">
        <v>-76.896569999999997</v>
      </c>
      <c r="F850" s="5">
        <v>1430045</v>
      </c>
      <c r="G850" s="5" t="s">
        <v>1752</v>
      </c>
    </row>
    <row r="851" spans="1:7" x14ac:dyDescent="0.3">
      <c r="A851">
        <v>468469</v>
      </c>
      <c r="B851" t="s">
        <v>1282</v>
      </c>
      <c r="C851">
        <v>1430045</v>
      </c>
      <c r="D851">
        <v>40.176783</v>
      </c>
      <c r="E851">
        <v>-76.847786999999997</v>
      </c>
      <c r="F851" s="5">
        <v>1430045</v>
      </c>
      <c r="G851" s="5" t="s">
        <v>1752</v>
      </c>
    </row>
    <row r="852" spans="1:7" x14ac:dyDescent="0.3">
      <c r="A852">
        <v>479887</v>
      </c>
      <c r="B852" t="s">
        <v>1352</v>
      </c>
      <c r="C852">
        <v>1430045</v>
      </c>
      <c r="D852">
        <v>40.202559999999998</v>
      </c>
      <c r="E852">
        <v>-76.952376999999998</v>
      </c>
      <c r="F852" s="5">
        <v>1430045</v>
      </c>
      <c r="G852" s="5" t="s">
        <v>1752</v>
      </c>
    </row>
    <row r="853" spans="1:7" x14ac:dyDescent="0.3">
      <c r="A853">
        <v>480632</v>
      </c>
      <c r="B853" t="s">
        <v>1577</v>
      </c>
      <c r="C853">
        <v>1430045</v>
      </c>
      <c r="D853">
        <v>40.139678000000004</v>
      </c>
      <c r="E853">
        <v>-76.617538999999994</v>
      </c>
      <c r="F853" s="5">
        <v>1430045</v>
      </c>
      <c r="G853" s="5" t="s">
        <v>1752</v>
      </c>
    </row>
    <row r="854" spans="1:7" x14ac:dyDescent="0.3">
      <c r="A854">
        <v>481570</v>
      </c>
      <c r="B854" t="s">
        <v>1379</v>
      </c>
      <c r="C854">
        <v>1430045</v>
      </c>
      <c r="D854">
        <v>40.265748000000002</v>
      </c>
      <c r="E854">
        <v>-76.757998000000001</v>
      </c>
      <c r="F854" s="5">
        <v>1430045</v>
      </c>
      <c r="G854" s="5" t="s">
        <v>1752</v>
      </c>
    </row>
    <row r="855" spans="1:7" x14ac:dyDescent="0.3">
      <c r="A855">
        <v>239557</v>
      </c>
      <c r="B855" t="s">
        <v>1421</v>
      </c>
      <c r="C855">
        <v>1430046</v>
      </c>
      <c r="D855">
        <v>39.997371999999999</v>
      </c>
      <c r="E855">
        <v>-76.744962000000001</v>
      </c>
      <c r="F855" s="5">
        <v>1430046</v>
      </c>
      <c r="G855" s="5" t="s">
        <v>1752</v>
      </c>
    </row>
    <row r="856" spans="1:7" x14ac:dyDescent="0.3">
      <c r="A856">
        <v>241231</v>
      </c>
      <c r="B856" t="s">
        <v>276</v>
      </c>
      <c r="C856">
        <v>1430046</v>
      </c>
      <c r="D856">
        <v>40.018439999999998</v>
      </c>
      <c r="E856">
        <v>-76.719620000000006</v>
      </c>
      <c r="F856" s="5">
        <v>1430046</v>
      </c>
      <c r="G856" s="5" t="s">
        <v>1752</v>
      </c>
    </row>
    <row r="857" spans="1:7" x14ac:dyDescent="0.3">
      <c r="A857">
        <v>241656</v>
      </c>
      <c r="B857" t="s">
        <v>1435</v>
      </c>
      <c r="C857">
        <v>1430046</v>
      </c>
      <c r="D857">
        <v>39.981909999999999</v>
      </c>
      <c r="E857">
        <v>-76.761714999999995</v>
      </c>
      <c r="F857" s="5">
        <v>1430046</v>
      </c>
      <c r="G857" s="5" t="s">
        <v>1752</v>
      </c>
    </row>
    <row r="858" spans="1:7" x14ac:dyDescent="0.3">
      <c r="A858">
        <v>241662</v>
      </c>
      <c r="B858" t="s">
        <v>1441</v>
      </c>
      <c r="C858">
        <v>1430046</v>
      </c>
      <c r="D858">
        <v>39.990205000000003</v>
      </c>
      <c r="E858">
        <v>-76.741106000000002</v>
      </c>
      <c r="F858" s="5">
        <v>1430046</v>
      </c>
      <c r="G858" s="5" t="s">
        <v>1752</v>
      </c>
    </row>
    <row r="859" spans="1:7" x14ac:dyDescent="0.3">
      <c r="A859">
        <v>241663</v>
      </c>
      <c r="B859" t="s">
        <v>1442</v>
      </c>
      <c r="C859">
        <v>1430046</v>
      </c>
      <c r="D859">
        <v>39.982976000000001</v>
      </c>
      <c r="E859">
        <v>-76.708331999999999</v>
      </c>
      <c r="F859" s="5">
        <v>1430046</v>
      </c>
      <c r="G859" s="5" t="s">
        <v>1752</v>
      </c>
    </row>
    <row r="860" spans="1:7" x14ac:dyDescent="0.3">
      <c r="A860">
        <v>241667</v>
      </c>
      <c r="B860" t="s">
        <v>1445</v>
      </c>
      <c r="C860">
        <v>1430046</v>
      </c>
      <c r="D860">
        <v>40.003194999999998</v>
      </c>
      <c r="E860">
        <v>-76.848817999999994</v>
      </c>
      <c r="F860" s="5">
        <v>1430046</v>
      </c>
      <c r="G860" s="5" t="s">
        <v>1752</v>
      </c>
    </row>
    <row r="861" spans="1:7" x14ac:dyDescent="0.3">
      <c r="A861">
        <v>241669</v>
      </c>
      <c r="B861" t="s">
        <v>1446</v>
      </c>
      <c r="C861">
        <v>1430046</v>
      </c>
      <c r="D861">
        <v>39.981057999999997</v>
      </c>
      <c r="E861">
        <v>-76.745431999999994</v>
      </c>
      <c r="F861" s="5">
        <v>1430046</v>
      </c>
      <c r="G861" s="5" t="s">
        <v>1752</v>
      </c>
    </row>
    <row r="862" spans="1:7" x14ac:dyDescent="0.3">
      <c r="A862">
        <v>241679</v>
      </c>
      <c r="B862" t="s">
        <v>1452</v>
      </c>
      <c r="C862">
        <v>1430046</v>
      </c>
      <c r="D862">
        <v>40.001244999999997</v>
      </c>
      <c r="E862">
        <v>-76.617225000000005</v>
      </c>
      <c r="F862" s="5">
        <v>1430048</v>
      </c>
      <c r="G862" s="4" t="s">
        <v>1753</v>
      </c>
    </row>
    <row r="863" spans="1:7" x14ac:dyDescent="0.3">
      <c r="A863">
        <v>241684</v>
      </c>
      <c r="B863" t="s">
        <v>1455</v>
      </c>
      <c r="C863">
        <v>1430046</v>
      </c>
      <c r="D863">
        <v>39.976483999999999</v>
      </c>
      <c r="E863">
        <v>-76.770251000000002</v>
      </c>
      <c r="F863" s="5">
        <v>1430046</v>
      </c>
      <c r="G863" s="5" t="s">
        <v>1752</v>
      </c>
    </row>
    <row r="864" spans="1:7" x14ac:dyDescent="0.3">
      <c r="A864">
        <v>241684</v>
      </c>
      <c r="B864" t="s">
        <v>1455</v>
      </c>
      <c r="C864">
        <v>1430046</v>
      </c>
      <c r="D864">
        <v>39.976483999999999</v>
      </c>
      <c r="E864">
        <v>-76.770251000000002</v>
      </c>
      <c r="F864" s="5">
        <v>1430046</v>
      </c>
      <c r="G864" s="5" t="s">
        <v>1752</v>
      </c>
    </row>
    <row r="865" spans="1:7" x14ac:dyDescent="0.3">
      <c r="A865">
        <v>241688</v>
      </c>
      <c r="B865" t="s">
        <v>302</v>
      </c>
      <c r="C865">
        <v>1430046</v>
      </c>
      <c r="D865">
        <v>39.979336000000004</v>
      </c>
      <c r="E865">
        <v>-76.80068</v>
      </c>
      <c r="F865" s="5">
        <v>1430046</v>
      </c>
      <c r="G865" s="5" t="s">
        <v>1752</v>
      </c>
    </row>
    <row r="866" spans="1:7" x14ac:dyDescent="0.3">
      <c r="A866">
        <v>241693</v>
      </c>
      <c r="B866" t="s">
        <v>1460</v>
      </c>
      <c r="C866">
        <v>1430046</v>
      </c>
      <c r="D866">
        <v>39.988866999999999</v>
      </c>
      <c r="E866">
        <v>-76.669926000000004</v>
      </c>
      <c r="F866" s="5">
        <v>1430046</v>
      </c>
      <c r="G866" s="5" t="s">
        <v>1752</v>
      </c>
    </row>
    <row r="867" spans="1:7" x14ac:dyDescent="0.3">
      <c r="A867">
        <v>241695</v>
      </c>
      <c r="B867" t="s">
        <v>1462</v>
      </c>
      <c r="C867">
        <v>1430046</v>
      </c>
      <c r="D867">
        <v>39.995907000000003</v>
      </c>
      <c r="E867">
        <v>-76.733869999999996</v>
      </c>
      <c r="F867" s="5">
        <v>1430046</v>
      </c>
      <c r="G867" s="5" t="s">
        <v>1752</v>
      </c>
    </row>
    <row r="868" spans="1:7" x14ac:dyDescent="0.3">
      <c r="A868">
        <v>242265</v>
      </c>
      <c r="B868" t="s">
        <v>322</v>
      </c>
      <c r="C868">
        <v>1430048</v>
      </c>
      <c r="D868">
        <v>40.004489</v>
      </c>
      <c r="E868">
        <v>-76.615600999999998</v>
      </c>
      <c r="F868" s="5">
        <v>1430048</v>
      </c>
      <c r="G868" s="5" t="s">
        <v>1752</v>
      </c>
    </row>
    <row r="869" spans="1:7" x14ac:dyDescent="0.3">
      <c r="A869">
        <v>306764</v>
      </c>
      <c r="B869" t="s">
        <v>641</v>
      </c>
      <c r="C869">
        <v>1430046</v>
      </c>
      <c r="D869">
        <v>39.976660000000003</v>
      </c>
      <c r="E869">
        <v>-76.781199000000001</v>
      </c>
      <c r="F869" s="5">
        <v>1430046</v>
      </c>
      <c r="G869" s="5" t="s">
        <v>1752</v>
      </c>
    </row>
    <row r="870" spans="1:7" x14ac:dyDescent="0.3">
      <c r="A870">
        <v>415447</v>
      </c>
      <c r="B870" t="s">
        <v>805</v>
      </c>
      <c r="C870">
        <v>1430046</v>
      </c>
      <c r="D870">
        <v>39.997999999999998</v>
      </c>
      <c r="E870">
        <v>-76.540480000000002</v>
      </c>
      <c r="F870" s="5">
        <v>1430048</v>
      </c>
      <c r="G870" s="4" t="s">
        <v>1753</v>
      </c>
    </row>
    <row r="871" spans="1:7" x14ac:dyDescent="0.3">
      <c r="A871">
        <v>415449</v>
      </c>
      <c r="B871" t="s">
        <v>807</v>
      </c>
      <c r="C871">
        <v>1430046</v>
      </c>
      <c r="D871">
        <v>39.994672000000001</v>
      </c>
      <c r="E871">
        <v>-76.537662999999995</v>
      </c>
      <c r="F871" s="5">
        <v>1430048</v>
      </c>
      <c r="G871" s="4" t="s">
        <v>1753</v>
      </c>
    </row>
    <row r="872" spans="1:7" x14ac:dyDescent="0.3">
      <c r="A872">
        <v>415705</v>
      </c>
      <c r="B872" t="s">
        <v>817</v>
      </c>
      <c r="C872">
        <v>1430046</v>
      </c>
      <c r="D872">
        <v>39.992356000000001</v>
      </c>
      <c r="E872">
        <v>-76.840794000000002</v>
      </c>
      <c r="F872" s="5">
        <v>1430046</v>
      </c>
      <c r="G872" s="5" t="s">
        <v>1752</v>
      </c>
    </row>
    <row r="873" spans="1:7" x14ac:dyDescent="0.3">
      <c r="A873">
        <v>415725</v>
      </c>
      <c r="B873" t="s">
        <v>823</v>
      </c>
      <c r="C873">
        <v>1430046</v>
      </c>
      <c r="D873">
        <v>39.999021999999997</v>
      </c>
      <c r="E873">
        <v>-76.623081999999997</v>
      </c>
      <c r="F873" s="5">
        <v>1430048</v>
      </c>
      <c r="G873" s="4" t="s">
        <v>1753</v>
      </c>
    </row>
    <row r="874" spans="1:7" x14ac:dyDescent="0.3">
      <c r="A874">
        <v>433106</v>
      </c>
      <c r="B874" t="s">
        <v>1549</v>
      </c>
      <c r="C874">
        <v>1430046</v>
      </c>
      <c r="D874">
        <v>40.013950999999999</v>
      </c>
      <c r="E874">
        <v>-76.701389000000006</v>
      </c>
      <c r="F874" s="5">
        <v>1430046</v>
      </c>
      <c r="G874" s="5" t="s">
        <v>1752</v>
      </c>
    </row>
    <row r="875" spans="1:7" x14ac:dyDescent="0.3">
      <c r="A875">
        <v>457581</v>
      </c>
      <c r="B875" t="s">
        <v>1191</v>
      </c>
      <c r="C875">
        <v>1430046</v>
      </c>
      <c r="D875">
        <v>39.991219999999998</v>
      </c>
      <c r="E875">
        <v>-76.654876999999999</v>
      </c>
      <c r="F875" s="5">
        <v>1430046</v>
      </c>
      <c r="G875" s="5" t="s">
        <v>1752</v>
      </c>
    </row>
    <row r="876" spans="1:7" x14ac:dyDescent="0.3">
      <c r="A876">
        <v>472574</v>
      </c>
      <c r="B876" t="s">
        <v>1571</v>
      </c>
      <c r="C876">
        <v>1430046</v>
      </c>
      <c r="D876">
        <v>40.013950999999999</v>
      </c>
      <c r="E876">
        <v>-76.701389000000006</v>
      </c>
      <c r="F876" s="5">
        <v>1430046</v>
      </c>
      <c r="G876" s="5" t="s">
        <v>1752</v>
      </c>
    </row>
    <row r="877" spans="1:7" x14ac:dyDescent="0.3">
      <c r="A877">
        <v>241652</v>
      </c>
      <c r="B877" t="s">
        <v>1431</v>
      </c>
      <c r="C877">
        <v>1430047</v>
      </c>
      <c r="D877">
        <v>39.960096999999998</v>
      </c>
      <c r="E877">
        <v>-76.775542999999999</v>
      </c>
      <c r="F877" s="5">
        <v>1430047</v>
      </c>
      <c r="G877" s="5" t="s">
        <v>1752</v>
      </c>
    </row>
    <row r="878" spans="1:7" x14ac:dyDescent="0.3">
      <c r="A878">
        <v>241659</v>
      </c>
      <c r="B878" t="s">
        <v>1438</v>
      </c>
      <c r="C878">
        <v>1430047</v>
      </c>
      <c r="D878">
        <v>39.929270000000002</v>
      </c>
      <c r="E878">
        <v>-76.822305</v>
      </c>
      <c r="F878" s="5">
        <v>1430047</v>
      </c>
      <c r="G878" s="5" t="s">
        <v>1752</v>
      </c>
    </row>
    <row r="879" spans="1:7" x14ac:dyDescent="0.3">
      <c r="A879">
        <v>241661</v>
      </c>
      <c r="B879" t="s">
        <v>1440</v>
      </c>
      <c r="C879">
        <v>1430047</v>
      </c>
      <c r="D879">
        <v>39.890434999999997</v>
      </c>
      <c r="E879">
        <v>-76.786165999999994</v>
      </c>
      <c r="F879" s="5">
        <v>1430047</v>
      </c>
      <c r="G879" s="5" t="s">
        <v>1752</v>
      </c>
    </row>
    <row r="880" spans="1:7" x14ac:dyDescent="0.3">
      <c r="A880">
        <v>241686</v>
      </c>
      <c r="B880" t="s">
        <v>1456</v>
      </c>
      <c r="C880">
        <v>1430047</v>
      </c>
      <c r="D880">
        <v>39.937350000000002</v>
      </c>
      <c r="E880">
        <v>-76.978890000000007</v>
      </c>
      <c r="F880" s="5">
        <v>1430047</v>
      </c>
      <c r="G880" s="5" t="s">
        <v>1752</v>
      </c>
    </row>
    <row r="881" spans="1:7" x14ac:dyDescent="0.3">
      <c r="A881">
        <v>241690</v>
      </c>
      <c r="B881" t="s">
        <v>304</v>
      </c>
      <c r="C881">
        <v>1430047</v>
      </c>
      <c r="D881">
        <v>39.884269000000003</v>
      </c>
      <c r="E881">
        <v>-76.863001999999994</v>
      </c>
      <c r="F881" s="5">
        <v>1430047</v>
      </c>
      <c r="G881" s="5" t="s">
        <v>1752</v>
      </c>
    </row>
    <row r="882" spans="1:7" x14ac:dyDescent="0.3">
      <c r="A882">
        <v>241691</v>
      </c>
      <c r="B882" t="s">
        <v>1458</v>
      </c>
      <c r="C882">
        <v>1430048</v>
      </c>
      <c r="D882">
        <v>39.882913000000002</v>
      </c>
      <c r="E882">
        <v>-76.709546000000003</v>
      </c>
      <c r="F882" s="5">
        <v>1430048</v>
      </c>
      <c r="G882" s="5" t="s">
        <v>1752</v>
      </c>
    </row>
    <row r="883" spans="1:7" x14ac:dyDescent="0.3">
      <c r="A883">
        <v>241694</v>
      </c>
      <c r="B883" t="s">
        <v>1461</v>
      </c>
      <c r="C883">
        <v>1430044</v>
      </c>
      <c r="D883">
        <v>39.888373999999999</v>
      </c>
      <c r="E883">
        <v>-76.975948000000002</v>
      </c>
      <c r="F883" s="5">
        <v>1430044</v>
      </c>
      <c r="G883" s="5" t="s">
        <v>1752</v>
      </c>
    </row>
    <row r="884" spans="1:7" x14ac:dyDescent="0.3">
      <c r="A884">
        <v>241700</v>
      </c>
      <c r="B884" t="s">
        <v>1465</v>
      </c>
      <c r="C884">
        <v>1430047</v>
      </c>
      <c r="D884">
        <v>39.910693000000002</v>
      </c>
      <c r="E884">
        <v>-76.705017999999995</v>
      </c>
      <c r="F884" s="5">
        <v>1430048</v>
      </c>
      <c r="G884" s="4" t="s">
        <v>1753</v>
      </c>
    </row>
    <row r="885" spans="1:7" x14ac:dyDescent="0.3">
      <c r="A885">
        <v>242714</v>
      </c>
      <c r="B885" t="s">
        <v>1470</v>
      </c>
      <c r="C885">
        <v>1430047</v>
      </c>
      <c r="D885">
        <v>39.943339000000002</v>
      </c>
      <c r="E885">
        <v>-76.74109</v>
      </c>
      <c r="F885" s="5">
        <v>1430047</v>
      </c>
      <c r="G885" s="5" t="s">
        <v>1752</v>
      </c>
    </row>
    <row r="886" spans="1:7" x14ac:dyDescent="0.3">
      <c r="A886">
        <v>239765</v>
      </c>
      <c r="B886" t="s">
        <v>1108</v>
      </c>
      <c r="C886">
        <v>1430048</v>
      </c>
      <c r="D886">
        <v>39.893242999999998</v>
      </c>
      <c r="E886">
        <v>-76.650498999999996</v>
      </c>
      <c r="F886" s="5">
        <v>1430048</v>
      </c>
      <c r="G886" s="5" t="s">
        <v>1752</v>
      </c>
    </row>
    <row r="887" spans="1:7" x14ac:dyDescent="0.3">
      <c r="A887">
        <v>241036</v>
      </c>
      <c r="B887" t="s">
        <v>270</v>
      </c>
      <c r="C887">
        <v>1430048</v>
      </c>
      <c r="D887">
        <v>39.897668000000003</v>
      </c>
      <c r="E887">
        <v>-76.603982000000002</v>
      </c>
      <c r="F887" s="5">
        <v>1430048</v>
      </c>
      <c r="G887" s="5" t="s">
        <v>1752</v>
      </c>
    </row>
    <row r="888" spans="1:7" x14ac:dyDescent="0.3">
      <c r="A888">
        <v>241552</v>
      </c>
      <c r="B888" t="s">
        <v>1430</v>
      </c>
      <c r="C888">
        <v>1430048</v>
      </c>
      <c r="D888">
        <v>39.901788000000003</v>
      </c>
      <c r="E888">
        <v>-76.589676999999995</v>
      </c>
      <c r="F888" s="5">
        <v>1430048</v>
      </c>
      <c r="G888" s="5" t="s">
        <v>1752</v>
      </c>
    </row>
    <row r="889" spans="1:7" x14ac:dyDescent="0.3">
      <c r="A889">
        <v>241665</v>
      </c>
      <c r="B889" t="s">
        <v>1443</v>
      </c>
      <c r="C889">
        <v>1430048</v>
      </c>
      <c r="D889">
        <v>39.778250999999997</v>
      </c>
      <c r="E889">
        <v>-76.679032000000007</v>
      </c>
      <c r="F889" s="5">
        <v>1430048</v>
      </c>
      <c r="G889" s="5" t="s">
        <v>1752</v>
      </c>
    </row>
    <row r="890" spans="1:7" x14ac:dyDescent="0.3">
      <c r="A890">
        <v>241670</v>
      </c>
      <c r="B890" t="s">
        <v>1447</v>
      </c>
      <c r="C890">
        <v>1430048</v>
      </c>
      <c r="D890">
        <v>39.753017</v>
      </c>
      <c r="E890">
        <v>-76.676929999999999</v>
      </c>
      <c r="F890" s="5">
        <v>1430048</v>
      </c>
      <c r="G890" s="5" t="s">
        <v>1752</v>
      </c>
    </row>
    <row r="891" spans="1:7" x14ac:dyDescent="0.3">
      <c r="A891">
        <v>241674</v>
      </c>
      <c r="B891" t="s">
        <v>1449</v>
      </c>
      <c r="C891">
        <v>1430048</v>
      </c>
      <c r="D891">
        <v>39.738816999999997</v>
      </c>
      <c r="E891">
        <v>-76.703680000000006</v>
      </c>
      <c r="F891" s="5">
        <v>1430048</v>
      </c>
      <c r="G891" s="5" t="s">
        <v>1752</v>
      </c>
    </row>
    <row r="892" spans="1:7" x14ac:dyDescent="0.3">
      <c r="A892">
        <v>241675</v>
      </c>
      <c r="B892" t="s">
        <v>1450</v>
      </c>
      <c r="C892">
        <v>1430048</v>
      </c>
      <c r="D892">
        <v>39.905974000000001</v>
      </c>
      <c r="E892">
        <v>-76.652691000000004</v>
      </c>
      <c r="F892" s="5">
        <v>1430048</v>
      </c>
      <c r="G892" s="5" t="s">
        <v>1752</v>
      </c>
    </row>
    <row r="893" spans="1:7" x14ac:dyDescent="0.3">
      <c r="A893">
        <v>241683</v>
      </c>
      <c r="B893" t="s">
        <v>1454</v>
      </c>
      <c r="C893">
        <v>1430048</v>
      </c>
      <c r="D893">
        <v>39.761463999999997</v>
      </c>
      <c r="E893">
        <v>-76.591029000000006</v>
      </c>
      <c r="F893" s="5">
        <v>1430048</v>
      </c>
      <c r="G893" s="5" t="s">
        <v>1752</v>
      </c>
    </row>
    <row r="894" spans="1:7" x14ac:dyDescent="0.3">
      <c r="A894">
        <v>241685</v>
      </c>
      <c r="B894" t="s">
        <v>300</v>
      </c>
      <c r="C894">
        <v>1430048</v>
      </c>
      <c r="D894">
        <v>39.725696999999997</v>
      </c>
      <c r="E894">
        <v>-76.765518999999998</v>
      </c>
      <c r="F894" s="5">
        <v>1430048</v>
      </c>
      <c r="G894" s="5" t="s">
        <v>1752</v>
      </c>
    </row>
    <row r="895" spans="1:7" x14ac:dyDescent="0.3">
      <c r="A895">
        <v>241687</v>
      </c>
      <c r="B895" t="s">
        <v>1457</v>
      </c>
      <c r="C895">
        <v>1430048</v>
      </c>
      <c r="D895">
        <v>39.889592999999998</v>
      </c>
      <c r="E895">
        <v>-76.597020000000001</v>
      </c>
      <c r="F895" s="5">
        <v>1430048</v>
      </c>
      <c r="G895" s="5" t="s">
        <v>1752</v>
      </c>
    </row>
    <row r="896" spans="1:7" x14ac:dyDescent="0.3">
      <c r="A896">
        <v>241859</v>
      </c>
      <c r="B896" t="s">
        <v>312</v>
      </c>
      <c r="C896">
        <v>1430048</v>
      </c>
      <c r="D896">
        <v>39.731540000000003</v>
      </c>
      <c r="E896">
        <v>-76.463729999999998</v>
      </c>
      <c r="F896" s="5">
        <v>1430048</v>
      </c>
      <c r="G896" s="5" t="s">
        <v>1752</v>
      </c>
    </row>
    <row r="897" spans="1:7" x14ac:dyDescent="0.3">
      <c r="A897">
        <v>241871</v>
      </c>
      <c r="B897" t="s">
        <v>314</v>
      </c>
      <c r="C897">
        <v>1430048</v>
      </c>
      <c r="D897">
        <v>39.770265999999999</v>
      </c>
      <c r="E897">
        <v>-76.734848</v>
      </c>
      <c r="F897" s="5">
        <v>1430048</v>
      </c>
      <c r="G897" s="5" t="s">
        <v>1752</v>
      </c>
    </row>
    <row r="898" spans="1:7" x14ac:dyDescent="0.3">
      <c r="A898">
        <v>254417</v>
      </c>
      <c r="B898" t="s">
        <v>1483</v>
      </c>
      <c r="C898">
        <v>1430048</v>
      </c>
      <c r="D898">
        <v>39.728839999999998</v>
      </c>
      <c r="E898">
        <v>-76.453795</v>
      </c>
      <c r="F898" s="5">
        <v>1430048</v>
      </c>
      <c r="G898" s="5" t="s">
        <v>1752</v>
      </c>
    </row>
    <row r="899" spans="1:7" x14ac:dyDescent="0.3">
      <c r="A899">
        <v>281590</v>
      </c>
      <c r="B899" t="s">
        <v>1496</v>
      </c>
      <c r="C899">
        <v>1430048</v>
      </c>
      <c r="D899">
        <v>39.752848999999998</v>
      </c>
      <c r="E899">
        <v>-76.593577999999994</v>
      </c>
      <c r="F899" s="5">
        <v>1430048</v>
      </c>
      <c r="G899" s="5" t="s">
        <v>1752</v>
      </c>
    </row>
    <row r="900" spans="1:7" x14ac:dyDescent="0.3">
      <c r="A900">
        <v>296548</v>
      </c>
      <c r="B900" t="s">
        <v>1504</v>
      </c>
      <c r="C900">
        <v>1430048</v>
      </c>
      <c r="D900">
        <v>39.865276999999999</v>
      </c>
      <c r="E900">
        <v>-76.704892000000001</v>
      </c>
      <c r="F900" s="5">
        <v>1430048</v>
      </c>
      <c r="G900" s="5" t="s">
        <v>1752</v>
      </c>
    </row>
    <row r="901" spans="1:7" x14ac:dyDescent="0.3">
      <c r="A901">
        <v>306782</v>
      </c>
      <c r="B901" t="s">
        <v>643</v>
      </c>
      <c r="C901">
        <v>1430048</v>
      </c>
      <c r="D901">
        <v>39.899006999999997</v>
      </c>
      <c r="E901">
        <v>-76.628190000000004</v>
      </c>
      <c r="F901" s="5">
        <v>1430048</v>
      </c>
      <c r="G901" s="5" t="s">
        <v>1752</v>
      </c>
    </row>
    <row r="902" spans="1:7" x14ac:dyDescent="0.3">
      <c r="A902">
        <v>440465</v>
      </c>
      <c r="B902" t="s">
        <v>1109</v>
      </c>
      <c r="C902">
        <v>1430048</v>
      </c>
      <c r="D902">
        <v>39.874155999999999</v>
      </c>
      <c r="E902">
        <v>-76.709158000000002</v>
      </c>
      <c r="F902" s="5">
        <v>1430048</v>
      </c>
      <c r="G902" s="5" t="s">
        <v>1752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opyDataToZoneRecommendation">
                <anchor moveWithCells="1" sizeWithCells="1">
                  <from>
                    <xdr:col>0</xdr:col>
                    <xdr:colOff>365760</xdr:colOff>
                    <xdr:row>0</xdr:row>
                    <xdr:rowOff>114300</xdr:rowOff>
                  </from>
                  <to>
                    <xdr:col>1</xdr:col>
                    <xdr:colOff>121920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alculateZoneRecommendation">
                <anchor moveWithCells="1" sizeWithCells="1">
                  <from>
                    <xdr:col>1</xdr:col>
                    <xdr:colOff>533400</xdr:colOff>
                    <xdr:row>0</xdr:row>
                    <xdr:rowOff>121920</xdr:rowOff>
                  </from>
                  <to>
                    <xdr:col>1</xdr:col>
                    <xdr:colOff>2011680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 by Zone</vt:lpstr>
      <vt:lpstr>Master</vt:lpstr>
      <vt:lpstr>Statistical Analysis</vt:lpstr>
      <vt:lpstr>Zone 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2024-03-28T18:52:28Z</dcterms:created>
  <dcterms:modified xsi:type="dcterms:W3CDTF">2024-04-02T14:54:08Z</dcterms:modified>
</cp:coreProperties>
</file>